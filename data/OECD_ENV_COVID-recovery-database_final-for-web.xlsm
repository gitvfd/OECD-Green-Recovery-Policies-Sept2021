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Botta_E\Downloads\"/>
    </mc:Choice>
  </mc:AlternateContent>
  <bookViews>
    <workbookView xWindow="-109" yWindow="-109" windowWidth="23257" windowHeight="12580" tabRatio="591" activeTab="2"/>
  </bookViews>
  <sheets>
    <sheet name="Description of columns" sheetId="1" r:id="rId1"/>
    <sheet name="Measures" sheetId="2" r:id="rId2"/>
    <sheet name="selection lists" sheetId="18" r:id="rId3"/>
  </sheets>
  <externalReferences>
    <externalReference r:id="rId4"/>
    <externalReference r:id="rId5"/>
    <externalReference r:id="rId6"/>
    <externalReference r:id="rId7"/>
  </externalReferences>
  <definedNames>
    <definedName name="_xlnm._FilterDatabase" localSheetId="1" hidden="1">Measures!$A$1:$R$1698</definedName>
    <definedName name="Countries">#REF!</definedName>
    <definedName name="Grant">Measures!$C$1829:$C$1835</definedName>
    <definedName name="Grant_Loan__including_interest_free_loans">'selection lists'!$C$2:$C$7</definedName>
    <definedName name="Z_9E1FDF60_6EDD_426D_BEDD_EF1B7062BA4A_.wvu.FilterData" localSheetId="1" hidden="1">Measures!$A$1:$R$1698</definedName>
  </definedNames>
  <calcPr calcId="162913"/>
  <customWorkbookViews>
    <customWorkbookView name="BOTTA Enrico - Personal View" guid="{9E1FDF60-6EDD-426D-BEDD-EF1B7062BA4A}" mergeInterval="0" personalView="1" maximized="1" xWindow="-8" yWindow="-8" windowWidth="1936" windowHeight="1053" tabRatio="591"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223" i="2" l="1"/>
  <c r="C1428" i="2"/>
  <c r="Q655" i="2"/>
  <c r="Q630" i="2"/>
  <c r="F664" i="2"/>
  <c r="F657" i="2"/>
  <c r="F655" i="2"/>
  <c r="F637" i="2"/>
  <c r="F636" i="2"/>
  <c r="F634" i="2"/>
  <c r="F630" i="2"/>
  <c r="F625" i="2"/>
  <c r="F624" i="2"/>
  <c r="Q1607" i="2"/>
  <c r="Q1545" i="2"/>
  <c r="Q1544" i="2"/>
  <c r="Q1543" i="2"/>
  <c r="Q1541" i="2"/>
  <c r="Q1540" i="2"/>
  <c r="Q1539" i="2"/>
  <c r="Q1538" i="2"/>
  <c r="Q1537" i="2"/>
  <c r="Q1385" i="2"/>
  <c r="B1147" i="2"/>
  <c r="Q1056" i="2"/>
  <c r="Q707" i="2"/>
  <c r="Q700" i="2"/>
  <c r="Q699" i="2"/>
  <c r="Q698" i="2"/>
  <c r="Q697" i="2"/>
  <c r="Q696" i="2"/>
  <c r="Q695" i="2"/>
  <c r="Q694" i="2"/>
  <c r="Q693" i="2"/>
  <c r="Q692" i="2"/>
  <c r="Q691" i="2"/>
  <c r="F590" i="2"/>
  <c r="F589" i="2"/>
  <c r="F588" i="2"/>
  <c r="F587" i="2"/>
  <c r="F586" i="2"/>
  <c r="F585" i="2"/>
  <c r="F584" i="2"/>
  <c r="F583" i="2"/>
  <c r="F582" i="2"/>
  <c r="F581" i="2"/>
  <c r="F580" i="2"/>
</calcChain>
</file>

<file path=xl/sharedStrings.xml><?xml version="1.0" encoding="utf-8"?>
<sst xmlns="http://schemas.openxmlformats.org/spreadsheetml/2006/main" count="21626" uniqueCount="5564">
  <si>
    <t>This list describes the column headings in the main "Measures" sheet</t>
  </si>
  <si>
    <t>Column letter</t>
  </si>
  <si>
    <t>Column heading</t>
  </si>
  <si>
    <t>Description</t>
  </si>
  <si>
    <t>A</t>
  </si>
  <si>
    <t>Identification number</t>
  </si>
  <si>
    <t>Unique identifier per line</t>
  </si>
  <si>
    <t>B</t>
  </si>
  <si>
    <t>Country</t>
  </si>
  <si>
    <t>3-letter country code</t>
  </si>
  <si>
    <t>C</t>
  </si>
  <si>
    <t>Type of measure</t>
  </si>
  <si>
    <t>Categorisatioin of policy type</t>
  </si>
  <si>
    <t>D</t>
  </si>
  <si>
    <t>Scope</t>
  </si>
  <si>
    <t>Economy-wide, sectoral, sub-national etc</t>
  </si>
  <si>
    <t>E</t>
  </si>
  <si>
    <t>Sector</t>
  </si>
  <si>
    <t>Which sector(s) covered</t>
  </si>
  <si>
    <t>F</t>
  </si>
  <si>
    <t>Value of measure (USD or specify)</t>
  </si>
  <si>
    <t>Total value of funding announced (if applicable)</t>
  </si>
  <si>
    <t>G</t>
  </si>
  <si>
    <t>Infrastructure relevant?</t>
  </si>
  <si>
    <t>Relevant to infrastructure or not</t>
  </si>
  <si>
    <t>H</t>
  </si>
  <si>
    <t>Environmental dimension 1</t>
  </si>
  <si>
    <t>Up to three environmental dimensions potentially affected by the measure (positively or negatively)</t>
  </si>
  <si>
    <t>I</t>
  </si>
  <si>
    <t>Environmental dimension 2</t>
  </si>
  <si>
    <t>J</t>
  </si>
  <si>
    <t>Environmental dimension 3</t>
  </si>
  <si>
    <t>K</t>
  </si>
  <si>
    <t>Summary description</t>
  </si>
  <si>
    <t>Description of measure</t>
  </si>
  <si>
    <t>L</t>
  </si>
  <si>
    <t>Source</t>
  </si>
  <si>
    <t>Online source for data</t>
  </si>
  <si>
    <t>M</t>
  </si>
  <si>
    <t>Source 2</t>
  </si>
  <si>
    <t>N</t>
  </si>
  <si>
    <t>Comments</t>
  </si>
  <si>
    <t>O</t>
  </si>
  <si>
    <t>Updated on</t>
  </si>
  <si>
    <t>Date that the entry was last updated</t>
  </si>
  <si>
    <t>P</t>
  </si>
  <si>
    <t>Original currency</t>
  </si>
  <si>
    <t>Currency conversion fields</t>
  </si>
  <si>
    <t>Q</t>
  </si>
  <si>
    <t>Original value (million)</t>
  </si>
  <si>
    <t>R</t>
  </si>
  <si>
    <t>Convert to USD millions</t>
  </si>
  <si>
    <t>Positive</t>
  </si>
  <si>
    <t>Mixed</t>
  </si>
  <si>
    <t>Negative</t>
  </si>
  <si>
    <t>Indeterminate</t>
  </si>
  <si>
    <t>AUS</t>
  </si>
  <si>
    <t>AUT</t>
  </si>
  <si>
    <t>BEL</t>
  </si>
  <si>
    <t>CAN</t>
  </si>
  <si>
    <t>CHL</t>
  </si>
  <si>
    <t>COL</t>
  </si>
  <si>
    <t>CZE</t>
  </si>
  <si>
    <t>DNK</t>
  </si>
  <si>
    <t>EST</t>
  </si>
  <si>
    <t>EUR</t>
  </si>
  <si>
    <t>FIN</t>
  </si>
  <si>
    <t>FRA</t>
  </si>
  <si>
    <t>DEU</t>
  </si>
  <si>
    <t>GRC</t>
  </si>
  <si>
    <t>HUN</t>
  </si>
  <si>
    <t>ISL</t>
  </si>
  <si>
    <t>IRL</t>
  </si>
  <si>
    <t>ISR</t>
  </si>
  <si>
    <t>ITA</t>
  </si>
  <si>
    <t>JPN</t>
  </si>
  <si>
    <t>KOR</t>
  </si>
  <si>
    <t>LVA</t>
  </si>
  <si>
    <t>LTU</t>
  </si>
  <si>
    <t>LUX</t>
  </si>
  <si>
    <t>MEX</t>
  </si>
  <si>
    <t>NLD</t>
  </si>
  <si>
    <t>NZL</t>
  </si>
  <si>
    <t>NOR</t>
  </si>
  <si>
    <t>POL</t>
  </si>
  <si>
    <t>PRT</t>
  </si>
  <si>
    <t>SVK</t>
  </si>
  <si>
    <t>SVN</t>
  </si>
  <si>
    <t>ESP</t>
  </si>
  <si>
    <t>SWE</t>
  </si>
  <si>
    <t>CHE</t>
  </si>
  <si>
    <t>TUR</t>
  </si>
  <si>
    <t>GBR</t>
  </si>
  <si>
    <t>USA</t>
  </si>
  <si>
    <t>CRI</t>
  </si>
  <si>
    <t>BRA</t>
  </si>
  <si>
    <t>CHN</t>
  </si>
  <si>
    <t>RUS</t>
  </si>
  <si>
    <t>IND</t>
  </si>
  <si>
    <t>IDN</t>
  </si>
  <si>
    <t>ZAF</t>
  </si>
  <si>
    <t>Fiscal</t>
  </si>
  <si>
    <t>Monetary</t>
  </si>
  <si>
    <t>NGEU: ReactEU - cohesion policy. An overall climate spending target of 30% will apply to the total amount of expenditure from the NGEU (which encompasses the ReactEU) and the MFF and be reflected in appropriate targets in sectoral legislation.</t>
  </si>
  <si>
    <t>EU - Positive</t>
  </si>
  <si>
    <t>NGEU: ReactEU - cohesion policy. An overall climate spending target of 30% will apply to the total amount of expenditure from the NGEU (which encompasses the ReactEU) and the MFF and be reflected in appropriate targets in sectoral legislation. ENTRY FOR OTHER 70%</t>
  </si>
  <si>
    <t>EU - Indeterminate</t>
  </si>
  <si>
    <t>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t>
  </si>
  <si>
    <t>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 Entry for 70% with indeterminate effect</t>
  </si>
  <si>
    <t>n.a.</t>
  </si>
  <si>
    <t>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t>
  </si>
  <si>
    <t>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 Entry for the 70 with indeterminate effect</t>
  </si>
  <si>
    <t>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t>
  </si>
  <si>
    <t>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 Entry for the 70% with indeterminate impact</t>
  </si>
  <si>
    <t>NGEU: Just Transition Fund - address social and economic consequences of the objective of reaching EU climate neutrality by 2050. An overall climate spending target of 30% will apply to the total amount of expenditure from the NGEU (which encompasses the Just Transition Fund) and the MFF and be reflected in appropriate targets in sectoral legislation.</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</si>
  <si>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</si>
  <si>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Entry for the 70% with indeterminate impact
</t>
  </si>
  <si>
    <t>Source 1</t>
  </si>
  <si>
    <t xml:space="preserve">Environmental impact category
</t>
  </si>
  <si>
    <t>Million original currency</t>
  </si>
  <si>
    <t>Grant/Loan (including interest-free loans)</t>
  </si>
  <si>
    <t>Sectoral</t>
  </si>
  <si>
    <t>Air transport</t>
  </si>
  <si>
    <t>AUD 100m</t>
  </si>
  <si>
    <t>No</t>
  </si>
  <si>
    <t>Climate Mitigation</t>
  </si>
  <si>
    <t>https://treasury.gov.au/sites/default/files/2020-07/Fact_Sheet-COVID-19_Relief_Fund.pdf</t>
  </si>
  <si>
    <t>AUD</t>
  </si>
  <si>
    <t>AUS2</t>
  </si>
  <si>
    <t>AUD 198m</t>
  </si>
  <si>
    <t>Regional Network Air Assistance -  to assist domestic commercial airlines to maintain a basic level of connectivity across their network of regional routes. This is supporting critical air services, connecting regional Australia to freight, medical testing, supplies and essential personnel.</t>
  </si>
  <si>
    <t>AUS4</t>
  </si>
  <si>
    <t>Tax reduction / Other subsidy</t>
  </si>
  <si>
    <t>Multiple or n.a.</t>
  </si>
  <si>
    <t>Biodiversity</t>
  </si>
  <si>
    <t>Levy Relief from Commonwealth Fisheries - The Australian Government is waiving the final two instalments of levies for Commonwealth managed fisheries, reducing levies for the 2019-20 financial year by two thirds. No estimate of revenue foregone provided</t>
  </si>
  <si>
    <t>AUS5</t>
  </si>
  <si>
    <t>Economy-wide</t>
  </si>
  <si>
    <t>AUD 12m</t>
  </si>
  <si>
    <t>Fee Waivers for Commonwealth National Parks plus support for businesses operating in Commonwealth National Parks</t>
  </si>
  <si>
    <t>AUS6</t>
  </si>
  <si>
    <t>AUD 8.1m</t>
  </si>
  <si>
    <t>Temporary waiver of environmental management change in the Great Barrier Reef Marine Park</t>
  </si>
  <si>
    <t>AUS7</t>
  </si>
  <si>
    <t>AUD 4m</t>
  </si>
  <si>
    <t>Seafood Sector COVID-19 Support - "Eat Seafood Australia" Campaign</t>
  </si>
  <si>
    <t>AUS8</t>
  </si>
  <si>
    <t>Industry</t>
  </si>
  <si>
    <t>AUD 10m</t>
  </si>
  <si>
    <t xml:space="preserve">Securing forestry resources for economic recovery -  funding to Australia’s forestry industries to help manage the compounding effects of the Coronavirus crisis and the 2019-20 bushfire season. This initiative will safeguard the future timber supply by assisting with the storage of fire-affected salvage logs, processed timber products, and other forestry products. </t>
  </si>
  <si>
    <t>AUS9</t>
  </si>
  <si>
    <t>Energy</t>
  </si>
  <si>
    <t>Waste &amp; recycling</t>
  </si>
  <si>
    <t>Water</t>
  </si>
  <si>
    <t>Temporary oil recycling sector support -  temporarily increases the subsidy paid to oil recyclers under the Product Stewardship Oil Scheme for category one oil from 50 cents per litre to 62 cents per litre. The Australian Government established the Product Stewardship Oil Scheme in 2001 to address the mismanagement of unconsumed used oils. The Australian Government pays a benefit to oil recyclers to incentivise the collection and re-refinement of waste oil. No estimate of subsidy provided.</t>
  </si>
  <si>
    <t>https://treasury.gov.au/sites/default/files/2020-03/Fact_sheet-Assistance_for_severely_affected_regions_and_sectors.pdf</t>
  </si>
  <si>
    <t>AUS11</t>
  </si>
  <si>
    <t>Yes</t>
  </si>
  <si>
    <t>Other</t>
  </si>
  <si>
    <t>AUS12</t>
  </si>
  <si>
    <t>City/regional</t>
  </si>
  <si>
    <t>AUD 51.8 billion</t>
  </si>
  <si>
    <t>Air Pollution</t>
  </si>
  <si>
    <t>Infrastructure guarantee fund - maintaining the current State infrastructure investment program at $51.8 billion over the next four years 2019-20 to 2022-23</t>
  </si>
  <si>
    <t>https://www.covid19.qld.gov.au/government-actions/our-economic-recovery-strategy</t>
  </si>
  <si>
    <t>AUS13</t>
  </si>
  <si>
    <t>Buildings</t>
  </si>
  <si>
    <t>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</si>
  <si>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https://treasury.gov.au/coronavirus/homebuilder</t>
  </si>
  <si>
    <t>https://treasury.gov.au/sites/default/files/2020-12/HomeBuilder_extension_factsheet.pdf</t>
  </si>
  <si>
    <t>AUS14</t>
  </si>
  <si>
    <t>Regulatory change</t>
  </si>
  <si>
    <t>Agriculture</t>
  </si>
  <si>
    <t>AUD 14.4m</t>
  </si>
  <si>
    <t>Improving Regulation post-COVID-19 including Targeted Interventions for Seafood and Live Animal Exporters</t>
  </si>
  <si>
    <t>https://www.awe.gov.au/sites/default/files/2020-10/budget-2020-21_cultivating-profitable-and-resilient-agricultural-businesses.pdf</t>
  </si>
  <si>
    <t>AUS15</t>
  </si>
  <si>
    <t>Other or not specified</t>
  </si>
  <si>
    <t>AUD 40.6m</t>
  </si>
  <si>
    <t>Protecting and restoring Sydney Harbour Federation Trust properties</t>
  </si>
  <si>
    <t>https://www.awe.gov.au/sites/default/files/2020-10/budget-2020-21_protecting-our-iconic-places.pdf</t>
  </si>
  <si>
    <t>AUS16</t>
  </si>
  <si>
    <t>AUD 3.2m</t>
  </si>
  <si>
    <t>Great Barrier Reef tourism industry activation and reef protection, maintenance and monitoring.</t>
  </si>
  <si>
    <t>AUS17</t>
  </si>
  <si>
    <t>AUD 5.5m</t>
  </si>
  <si>
    <t>Supplementing GBRMPA for waiving environmental management charges</t>
  </si>
  <si>
    <t>AUS18</t>
  </si>
  <si>
    <t>Tax reduction / other subsidy</t>
  </si>
  <si>
    <t>AUD 6m</t>
  </si>
  <si>
    <t>Extending waiver of the GBRMPA Environment Management Charge</t>
  </si>
  <si>
    <t>AUS19</t>
  </si>
  <si>
    <t>AUD 11.2m</t>
  </si>
  <si>
    <t xml:space="preserve">Supplementing our National Parks for waiving park entry fees to Kakadu, Uluru Kata-Tjuta and Booderee, to provide incentives for travellers to visit after restrictions relax </t>
  </si>
  <si>
    <t>AUS20</t>
  </si>
  <si>
    <t>AUD 5m</t>
  </si>
  <si>
    <t>Support critical capital works and capital projects to refurbish and replace external structures at Reef HQ.</t>
  </si>
  <si>
    <t>https://www.infrastructure.gov.au/department/statements/2020_2021/ministerial-statement/agriculture-water-environment.aspx#new</t>
  </si>
  <si>
    <t>AUS21</t>
  </si>
  <si>
    <t>Waste management</t>
  </si>
  <si>
    <t>AUD 59.6m</t>
  </si>
  <si>
    <t>National Waste Policy Action Plan implementation</t>
  </si>
  <si>
    <t>https://www.awe.gov.au/sites/default/files/2020-10/budget-2020-21_transforming-waste-recycling.pdf</t>
  </si>
  <si>
    <t>AUS22</t>
  </si>
  <si>
    <t>AUD 190m</t>
  </si>
  <si>
    <t xml:space="preserve">Recycling Modernisation Fund - will support waste recovery and combined with the National Waste Policy Action Plan will create over 10,000 jobs over the next 10 years. </t>
  </si>
  <si>
    <t>AUS23</t>
  </si>
  <si>
    <t>AUD 2.5m</t>
  </si>
  <si>
    <t>Adaptation</t>
  </si>
  <si>
    <t>Exploring market-based solutions for habitat restoration</t>
  </si>
  <si>
    <t>https://www.awe.gov.au/sites/default/files/2020-10/budget-2020-21_reforming-environmental-laws-regulations_0.pdf</t>
  </si>
  <si>
    <t>AUS24</t>
  </si>
  <si>
    <t>AUD 37.6m</t>
  </si>
  <si>
    <t>Projects that will sustain South Australia Riverland environments</t>
  </si>
  <si>
    <t>https://www.awe.gov.au/sites/default/files/2020-10/budget_2020-21_investing-in-communities-and-building-confidence-in-the-basin-plan.pdf</t>
  </si>
  <si>
    <t>AUS25</t>
  </si>
  <si>
    <t>AUD 24.5m</t>
  </si>
  <si>
    <t>Community driven projects to improve the health of rivers and wetlands</t>
  </si>
  <si>
    <t>AUS26</t>
  </si>
  <si>
    <t>AUD 4.2m</t>
  </si>
  <si>
    <t>First Nations River Ranger Program</t>
  </si>
  <si>
    <t>AUS27</t>
  </si>
  <si>
    <t>AUD 20m</t>
  </si>
  <si>
    <t>Reef builder - aiding the recovery of coastal communities</t>
  </si>
  <si>
    <t>https://www.awe.gov.au/sites/default/files/2020-10/budget-2020-21_supporting-healthy-oceans.pdf</t>
  </si>
  <si>
    <t>AUS28</t>
  </si>
  <si>
    <t>Skills training</t>
  </si>
  <si>
    <t>AUD 23m</t>
  </si>
  <si>
    <t>Green jobs - Employment of people with no prior skill in environmental restoration and conservation</t>
  </si>
  <si>
    <t>Green Recovery Measures for Western Australia - Sustainable Recovery 2020 (iisd.org)</t>
  </si>
  <si>
    <t>AUS29</t>
  </si>
  <si>
    <t>Investment directed towards the Clean Energy Future Fund to invest in clean energy technologies</t>
  </si>
  <si>
    <t>AUS30</t>
  </si>
  <si>
    <t>Installation of rooftop solar PV on social housing</t>
  </si>
  <si>
    <t>AUS31</t>
  </si>
  <si>
    <t>AUD 13m</t>
  </si>
  <si>
    <t>Upgrades at Volunteer Emergency Services stations and units across Western Australia (inclusing fire and rescue services and bush fire brigades)</t>
  </si>
  <si>
    <t>AUS32</t>
  </si>
  <si>
    <t xml:space="preserve">Creating jobs in Western Australia across sectors such as renewable energy, agriculture, construction and education. </t>
  </si>
  <si>
    <t>AUS33</t>
  </si>
  <si>
    <t>AUD 50m</t>
  </si>
  <si>
    <t>Carbon Capture Use and Storage Development Fund for piloting carbon capture projects to help cut emissions</t>
  </si>
  <si>
    <t>Investment in new energy technologies | Prime Minister of Australia (pm.gov.au)</t>
  </si>
  <si>
    <t>AUD 200m</t>
  </si>
  <si>
    <t>AUS41</t>
  </si>
  <si>
    <t>AUD 2b</t>
  </si>
  <si>
    <t>Funding for projects through the National Water Infrastructure Fund to deliver increased water security, build resilience, deliver jobs and grow agrocultural sector. I.e. National Water Grid.</t>
  </si>
  <si>
    <t>https://minister.infrastructure.gov.au/mccormack/media-release/infrastructure-investment-laying-foundations-australias-economic-recovery</t>
  </si>
  <si>
    <t>AUS42</t>
  </si>
  <si>
    <t>AUD 33.5m</t>
  </si>
  <si>
    <t>AUS44</t>
  </si>
  <si>
    <t>Surface transport</t>
  </si>
  <si>
    <t xml:space="preserve">Murray Basin Frieght Rail Project to better connect producers in Victoria with key domestic and export markets. </t>
  </si>
  <si>
    <t>https://budget.gov.au/2020-21/content/myefo/download/myefo-2020-21.pdf</t>
  </si>
  <si>
    <t>https://budget.gov.au/2021-22/content/bp2/download/bp2_2021-22.pdf (pag.69)</t>
  </si>
  <si>
    <t>https://budget.gov.au/2021-22/content/download/glossy_covid19.pdf</t>
  </si>
  <si>
    <t>https://budget.gov.au/2021-22/content/bp2/download/bp2_2021-22.pdf (p. 135)</t>
  </si>
  <si>
    <t>AUS51</t>
  </si>
  <si>
    <t>AUD 2.8 Mio</t>
  </si>
  <si>
    <r>
      <t>The State Government of Queensland introduced a multi-million dollar package of tax and fee exemptions in aid of coal and gas exploration. These include: a 12-month waiver of rent on exploration land due between 1 April and 1 September 2020; a freeze on fees and charges until 1 July 2021;  releasing almost 7 000 km</t>
    </r>
    <r>
      <rPr>
        <vertAlign val="superscript"/>
        <sz val="9"/>
        <rFont val="Arial"/>
        <family val="2"/>
      </rPr>
      <t>2</t>
    </r>
    <r>
      <rPr>
        <sz val="9"/>
        <rFont val="Arial"/>
        <family val="2"/>
      </rPr>
      <t xml:space="preserve"> of land for gas and mineral exploration; advancing AUD 2.8 million in grant funds for innovative exploration in the North West Minerals Province (May 2020)</t>
    </r>
  </si>
  <si>
    <t>OECD, forthcoming. Draft report on recent progress in reforms of fossil fuel subsidies</t>
  </si>
  <si>
    <t>AUS52</t>
  </si>
  <si>
    <t>AUD 233 Mio</t>
  </si>
  <si>
    <t xml:space="preserve">The government allocated further 233 Mio AUD to promote the National Low Emissions Coal Initiative </t>
  </si>
  <si>
    <t>https://climateactiontracker.org/countries/australia/</t>
  </si>
  <si>
    <t>AUS53</t>
  </si>
  <si>
    <t>AUD 258 Mio</t>
  </si>
  <si>
    <t>The government provides further $258 million in 2021/2022 for a small-scale water infrastructure and funding pathway and to build new dams and irrigation projects</t>
  </si>
  <si>
    <t>https://budget.gov.au/2021-22/content/download/glossy_jobs.pdf</t>
  </si>
  <si>
    <t>AUS54</t>
  </si>
  <si>
    <t>AUD 9 Mio</t>
  </si>
  <si>
    <t>Speeding up farmers’ access to new agricultural and veterinary chemicals with $9 million</t>
  </si>
  <si>
    <t>AUS55</t>
  </si>
  <si>
    <t xml:space="preserve">Broadened remit of the Australian Renewable Energy Agency. The broadened remit will allow ARENA to support technologies contained in the Low Emissions Technology Statement (LETS) such as hydrogen, energy storage to back up renewable energy, low emissions aluminium and steel production, carbon capture and soil carbon.
In addition, the regulation will ensure that ARENA can deliver the targeted programs outlined in the 2020-21 Federal Budget; the Future Fuels Fund, Industrial Energy Transformation Studies Program, Regional Australia Microgrids Pilot Program and the Freight Energy Productivity Program
</t>
  </si>
  <si>
    <t>https://arena.gov.au/news/arena-welcomes-expanded-mandate-to-support-the-next-generation-of-clean-energy-technologies/</t>
  </si>
  <si>
    <t xml:space="preserve"> </t>
  </si>
  <si>
    <t>AUS56</t>
  </si>
  <si>
    <t xml:space="preserve">• New South Wales 490 million in tax cuts and incentives for electric vehicles. Stamp duty will be waived for eligible electric vehicles (battery and hydrogen fuel cell vehicles) priced under $78,000 purchased from 1 September 2021;
Rebates of $3,000 will be offered on private purchases of the first 25,000 eligible EVs (battery and hydrogen fuel cell vehicles) under $68,750 sold in NSW from 1 September 2021;
$171 million for new charging infrastructure across the State. This includes $131 million to spend on new ultra-fast vehicle chargers, $20 million in grants for destination chargers to assist regional tourism, and $20 million for charging infrastructure at public transport hubs on Transport for NSW owned land.
$33 million to help transition the NSW Government passenger fleet to EVs where feasible, with the target of a fully electric fleet by 2030. These vehicles typically are onsold after three to five years, providing availability for private buyers in the second hand market.
</t>
  </si>
  <si>
    <t>https://www.environment.nsw.gov.au/news/nsw-leading-the-charge-with-electric-vehicle-revolution</t>
  </si>
  <si>
    <t>AUS57</t>
  </si>
  <si>
    <t>R&amp;D subsidies</t>
  </si>
  <si>
    <t>AUD 1.2 billion</t>
  </si>
  <si>
    <t xml:space="preserve">the Government will provide a further $1.2 billion to establish Australia at the forefront of low emissions technology innovation.
$565.8 million to establish international partnerships on practical low emissions projects;
$275.5 million to support up to four additional hydrogen hubs;
$263.7 million to accelerate the development of Carbon Capture Use and Storage; and
$59.6 million to support a National Soil Carbon Innovation Challenge and trial new agricultural feed technologies that reduce emissions from livestock.
</t>
  </si>
  <si>
    <t>https://budget.gov.au/2021-22/content/resilient.htm#nine</t>
  </si>
  <si>
    <t>EUR 750 million</t>
  </si>
  <si>
    <t>AUT3</t>
  </si>
  <si>
    <t xml:space="preserve">EUR 260 million </t>
  </si>
  <si>
    <t>Investment in renewable energy generation expansion. Funding for 100 million roofs covered with solar panels (to further enhance progress towards 100% renewable energy generation by 2030)</t>
  </si>
  <si>
    <t xml:space="preserve">EUR 300 million </t>
  </si>
  <si>
    <t>AUT 7</t>
  </si>
  <si>
    <t>Investment premium/grant of 14% that can be obtained for climate friendly investments by companies; this includes digitalisation, investments in health, investments in nature/ecosystems; energy efficiency, renewable energies. Out of a total sum of 3 bn € of grants,  750 Mio. € are specifically used for climate-friendly green investments.</t>
  </si>
  <si>
    <t>AUT 8</t>
  </si>
  <si>
    <t>Forestry</t>
  </si>
  <si>
    <t>EUR 350 million</t>
  </si>
  <si>
    <t>Forest Fund aimed at funding research projects that help enhance climate adaptation of forests; this includes measures to protect and enhance biodviersity, increase the natural forest protected areas, etc…</t>
  </si>
  <si>
    <t>n/a</t>
  </si>
  <si>
    <t>AUT 9</t>
  </si>
  <si>
    <t>air transport</t>
  </si>
  <si>
    <t>EUR 600 million</t>
  </si>
  <si>
    <t>The main airline, Austrian Airlines (a daughter of Lufthansa) is to receive 300 million in form of bank credits guaranteed by the state; 150  million are flowing in form of a direct grant; 150 million are transferred via Lufthansa; the one green condition: 150 million investment for climate efficinet technologies (for ultra short distances up to 350 km an addition ticket tax of EUR 30 was agreed)</t>
  </si>
  <si>
    <t>https://platform2020redesign.org/countries/austria/</t>
  </si>
  <si>
    <t>AUT 10</t>
  </si>
  <si>
    <t>EUR 158.9 Mio</t>
  </si>
  <si>
    <t>1.A.2 Exchange of oil and gas heating systems (Heating system rennovation and conversion to renewable
energy sources)</t>
  </si>
  <si>
    <t>National Climate and Resilience Plan - https://www.oesterreich.gv.at/nachrichten/allgemein/EU-Aufbauplan.html</t>
  </si>
  <si>
    <t>AUT 11</t>
  </si>
  <si>
    <t>1.A.1 Renewable Heating Law, that aims to accelerate the phasing out of oil boilers and the
roll-out of renewable heating technology</t>
  </si>
  <si>
    <t>AUT 12</t>
  </si>
  <si>
    <t>EUR 50 Mio</t>
  </si>
  <si>
    <t>1.A.3 Combating energy poverty (through energy efficiency measures)</t>
  </si>
  <si>
    <t>AUT 13</t>
  </si>
  <si>
    <t>1.B.1 Release of a new comprehensive Mobility Masterplan 2030 that will frame various sector-specific
strategies and actions that are necessary to bring about a permanent and continuous reduction
in transport-related CO2 emissions</t>
  </si>
  <si>
    <t>AUT 14</t>
  </si>
  <si>
    <t>1.B.2 Introduction of 1-2-3 Climate ticket that will facilitate the modal shift towards rail and public transport</t>
  </si>
  <si>
    <t>AUT 15</t>
  </si>
  <si>
    <t>EUR 256 Mio</t>
  </si>
  <si>
    <t>1.B.3 Zero-emission buses</t>
  </si>
  <si>
    <t>AUT 16</t>
  </si>
  <si>
    <t>1.B.4 Zero-emission commercial vehicles, used for the transport of persons, goods, or for towing trailers</t>
  </si>
  <si>
    <t>AUT 17</t>
  </si>
  <si>
    <t>EUR 542.6 Mio</t>
  </si>
  <si>
    <t>1.B.5 Construction of new railway lines and electrification of regional railways</t>
  </si>
  <si>
    <t>AUT 18</t>
  </si>
  <si>
    <t>Plastics</t>
  </si>
  <si>
    <t>1.C.1 introduction of framework that strengthens the collection, prevention and sorting of waste</t>
  </si>
  <si>
    <t>AUT 19</t>
  </si>
  <si>
    <t>1.C.2 Biodiversity fund</t>
  </si>
  <si>
    <t>AUT 20</t>
  </si>
  <si>
    <t>EUR 110 Mio</t>
  </si>
  <si>
    <t>1.C.3 Investments in reverse vending systems and measures to increase the reuse quota of beverage containers</t>
  </si>
  <si>
    <t>AUT 21</t>
  </si>
  <si>
    <t>EUR 60 Mio</t>
  </si>
  <si>
    <t>1.C.4 Retrofitting of existing and construction of new sorting facilities</t>
  </si>
  <si>
    <t>AUT 22</t>
  </si>
  <si>
    <t>EUR 130 Mio</t>
  </si>
  <si>
    <t>1.C.5 Promotion of the repairing of electrical and electronic equipment (repair bonus)</t>
  </si>
  <si>
    <t>AUT 23</t>
  </si>
  <si>
    <t>1.D.1 framework to extend Austria’s renewables production capacity</t>
  </si>
  <si>
    <t>AUT 24</t>
  </si>
  <si>
    <t>EUR 100 Mio</t>
  </si>
  <si>
    <t>1.D.2 Transforming industry towards climate neutrality</t>
  </si>
  <si>
    <t>AUT 25</t>
  </si>
  <si>
    <t>EUR 504 Mio</t>
  </si>
  <si>
    <t>2.D.3 Green investments in enterprises</t>
  </si>
  <si>
    <t>AUT 26</t>
  </si>
  <si>
    <t>EUR 125 Mio</t>
  </si>
  <si>
    <t>3.D.1 Participation in Research and Innovation Projects of Common European Interest for Microelectronics and Connectivity, to promote the production of semi conductors for renewable energy application</t>
  </si>
  <si>
    <t>AUT 27</t>
  </si>
  <si>
    <t>3.D.2 Participation in Research and Innovation Projects of Common European Interest for Hydrogen, to promote innovation in industrial hydrogen uses</t>
  </si>
  <si>
    <t>AUT 28</t>
  </si>
  <si>
    <t>4.B.3 Investment in climate-friendly town centres</t>
  </si>
  <si>
    <t>AUT 29</t>
  </si>
  <si>
    <t>EUR 35 Mio</t>
  </si>
  <si>
    <t>4.C.3 Renovation of Volkskundemuseum Wien and Prater Ateliers – energy efficiency measures</t>
  </si>
  <si>
    <t>AUT 30</t>
  </si>
  <si>
    <t>EUR 15 Mio</t>
  </si>
  <si>
    <t>4.C.5 Investment fund for climate-friendly cultural businesses</t>
  </si>
  <si>
    <t>BEL1</t>
  </si>
  <si>
    <t xml:space="preserve">700 million </t>
  </si>
  <si>
    <t>Flanders has put together a relance plan (Flemish resilience - Vlaamse veerkracht) for a total budget of 4,3 billion euro (5 billion $). It is an economy-wide plan that focuses on 7 pillars (so roughly said 700 million $ per pillar). One of the seven pillars is Climate, Sustainability and Innovation. Key focal points for innovation are: CO2 captation in harbours, biogas and bio-based products, hydrogen, blue deal for drought management, renovation of buildings, greening the modal shift (bicycle lanes, car sharing, bike sharing, ...), transition to the circular economy.</t>
  </si>
  <si>
    <t>https://www.vlaanderen.be/publicaties/relanceplan-vlaamse-regering-vlaamse-veerkracht</t>
  </si>
  <si>
    <t>https://www.vlaio.be/nl/nieuws/43-miljard-euro-voor-relanceplan-vlaamse-veerkracht</t>
  </si>
  <si>
    <t>BEL2</t>
  </si>
  <si>
    <t xml:space="preserve">Brussels has put together a Relance and redevelopment Plan (Relance- en herontwikkelingsplan voor Brussel - Plan de relance et de redéploiment de RBC). One out of the three pillars concerns urban planning and environment. Focal points are: cycling paths, renovation of buildings and the procurement of an area to foster biodiversity in urban context. The total budget concerns 120 million € but is mainly focused on short term relance and econmic survival measures. The medium term priorities and almost all environmental measures still need to be developed. </t>
  </si>
  <si>
    <t>https://rudivervoort.brussels/wp-content/uploads/2020/07/Plan-de-relance-Dossier-de-presse-NL.pdf</t>
  </si>
  <si>
    <t>https://www.voka.be/nieuws/brussels-herstelplan-eerste-stap-relance</t>
  </si>
  <si>
    <t>BEL3</t>
  </si>
  <si>
    <t>12 million</t>
  </si>
  <si>
    <t>In the Relance and Redevelopment plan discussed above, there is a measure to enhance renovation of buildings: 8 million euros goes energy saving subsidies and 2 million goes to support for landlords that are planning a renovation.</t>
  </si>
  <si>
    <t>BEL4</t>
  </si>
  <si>
    <t xml:space="preserve">Wallonia has launched the 'Get Up Wallonia' plan. It has an economy-wide focus with sustainability as one of the three pillars. A processus involving a range of experts and stakeholders should lead to concrete relance measures and an analysis of the budgetary impacts in the first quarter of 2021. </t>
  </si>
  <si>
    <t>https://gouvernement.wallonie.be/files/%255BNote%20du%20Gouvernement%20de%20Wallonie%255D%20-%20Get%20up%20Wallonia%20!.pdf</t>
  </si>
  <si>
    <t>https://www.lecho.be/economie-politique/belgique/wallonie/le-covid-ne-peut-servir-de-paravent-a-la-relance-de-la-wallonie/10256438.html</t>
  </si>
  <si>
    <t>BEL5</t>
  </si>
  <si>
    <t>The new Belgian government (October 2020) has included Green Relance as one of its six pillars for its governmental agreement (Regeringsakkoord). The measures still have to be made concrete.</t>
  </si>
  <si>
    <t>https://www.belgium.be/sites/default/files/Regeerakkoord_2020.pdf</t>
  </si>
  <si>
    <t>BEL6</t>
  </si>
  <si>
    <t>EUR 191 million</t>
  </si>
  <si>
    <t>The Value Added Tax for Demolition and Reconstruction will be reduced from 21% to 6% to speed up energy savings in residential buildings in Belgium.</t>
  </si>
  <si>
    <t>https://www.tijd.be/netto/analyse/vastgoed/strikte-regels-voor-sloop-en-heropbouw-aan-6-procent-btw/10257614.html</t>
  </si>
  <si>
    <t>BEL7</t>
  </si>
  <si>
    <t>EUR 23 millions</t>
  </si>
  <si>
    <t xml:space="preserve">Increase with 20% of salary fraction that can be deducted for donations: from 45% to 60%. The measure applies to all registered charities including charities that purchase and restore nature. </t>
  </si>
  <si>
    <t>https://financien.belgium.be/nl/particulieren/belastingvoordelen/giften#q3</t>
  </si>
  <si>
    <t>BEL8</t>
  </si>
  <si>
    <t>EUR 203 millions</t>
  </si>
  <si>
    <t>Increase of the investment deduction percentage to 25% for investments made between 12/03/2020 and 31/12/2022</t>
  </si>
  <si>
    <t>Loi-programme du 20/12/2020 
https://finances.belgium.be/fr/loi-programme/augmentation-deduction-investissement</t>
  </si>
  <si>
    <t>BEL9</t>
  </si>
  <si>
    <t>EUR 40 millions</t>
  </si>
  <si>
    <t>Asbestos removal policy in Flanders (subsidies for removal &amp; treatment)</t>
  </si>
  <si>
    <t>BEL11</t>
  </si>
  <si>
    <t>EUR 1.95 millions</t>
  </si>
  <si>
    <t>Digital mapping of material flows in Flanders</t>
  </si>
  <si>
    <t>1.95</t>
  </si>
  <si>
    <t>BEL14</t>
  </si>
  <si>
    <t>EUR 20.35 Mio</t>
  </si>
  <si>
    <t xml:space="preserve">Improved energy subsidy scheme of the Flemish Region (investment part) – smart control </t>
  </si>
  <si>
    <t>EU assessed national recovery and resilience plan - https://eur-lex.europa.eu/legal-content/EN/TXT/?uri=CELEX%3A52021SC0172&amp;qid=1624626286892</t>
  </si>
  <si>
    <t>BEL15</t>
  </si>
  <si>
    <t>EUR 212.97 Mio</t>
  </si>
  <si>
    <t>Improved energy subsidy scheme of the Flemish Region (investment part) – (except smart control)</t>
  </si>
  <si>
    <t>BEL16</t>
  </si>
  <si>
    <t>EUR 16 Mio</t>
  </si>
  <si>
    <t>Improved energy subsidy scheme (investment part) – Brussels-Capital region</t>
  </si>
  <si>
    <t>BEL17</t>
  </si>
  <si>
    <t>EUR 5 Mio</t>
  </si>
  <si>
    <t>Improved energy subsidy scheme (investment part) – German-speaking community</t>
  </si>
  <si>
    <t>BEL18</t>
  </si>
  <si>
    <t>EUR 30 Mio</t>
  </si>
  <si>
    <t>Renovation of social housing of the Flemish Region</t>
  </si>
  <si>
    <t>BEL19</t>
  </si>
  <si>
    <t>BEL20</t>
  </si>
  <si>
    <t>EUR 43.44 Mio</t>
  </si>
  <si>
    <t>Renovation of social housing of the BrusselsCapital Region</t>
  </si>
  <si>
    <t>BEL21</t>
  </si>
  <si>
    <t>EUR 20 Mio</t>
  </si>
  <si>
    <t>Renovation of social and residential housing of the German-speaking Community</t>
  </si>
  <si>
    <t>BEL22</t>
  </si>
  <si>
    <t>EUR 6.32 Mio</t>
  </si>
  <si>
    <t>Renovation of the Palais de la Bourse – Federal State - energy efficiency measures</t>
  </si>
  <si>
    <t>BEL23</t>
  </si>
  <si>
    <t>Renovation of public buildings – Flemish Region</t>
  </si>
  <si>
    <t>BEL24</t>
  </si>
  <si>
    <t>EUR 59.54 Mio</t>
  </si>
  <si>
    <t>Public building renovations – Walloon Region</t>
  </si>
  <si>
    <t>BEL25</t>
  </si>
  <si>
    <t>EUR 73 Mio</t>
  </si>
  <si>
    <t>Public building renovations - Walloon Region – local authorities</t>
  </si>
  <si>
    <t>BEL26</t>
  </si>
  <si>
    <t>EUR 55.18 Mio</t>
  </si>
  <si>
    <t>Public building renovations - Walloon Region - sport (energy efficiency related works)</t>
  </si>
  <si>
    <t>BEL27</t>
  </si>
  <si>
    <t>EUR 32 Mio</t>
  </si>
  <si>
    <t>Public building renovations - Brussels-Capital region</t>
  </si>
  <si>
    <t>BEL28</t>
  </si>
  <si>
    <t>EUR 71.66 Mio</t>
  </si>
  <si>
    <t>School renovation – Federation WalloniaBrussels - energy efficiency related construction and renovation works</t>
  </si>
  <si>
    <t>BEL29</t>
  </si>
  <si>
    <t>EUR 23.60 Mio</t>
  </si>
  <si>
    <t>School renovation – Federation WalloniaBrussels - energy efficiency related works achieving at least 30% average primary
energy demand reduction (medium-deep)</t>
  </si>
  <si>
    <t>BEL30</t>
  </si>
  <si>
    <t>EUR 21.07 Mio</t>
  </si>
  <si>
    <t>Public building renovations - sport &amp; IPPJ - Federation Wallonia-Brussels - ADEPS et IPPJ (energy efficiency related works)</t>
  </si>
  <si>
    <t>BEL31</t>
  </si>
  <si>
    <t>Public building renovations - universities - Federation Wallonia-Brussels (share allowing at least 30% average primary energy demand reduction)</t>
  </si>
  <si>
    <t>BEL32</t>
  </si>
  <si>
    <t>EUR 25 Mio</t>
  </si>
  <si>
    <t>Public building renovations - universities - Federation Wallonia-Brussels (energy efficiency related works)</t>
  </si>
  <si>
    <t>BEL33</t>
  </si>
  <si>
    <t>EUR 20.68 Mio</t>
  </si>
  <si>
    <t>Public building renovations - culture - Federation Wallonia-Brussels (share allowing at least 30% average primary energy demand reduction)</t>
  </si>
  <si>
    <t>BEL34</t>
  </si>
  <si>
    <t>EUR 18.64 Mio</t>
  </si>
  <si>
    <t>Public building renovations - culture - Federation Wallonia-Brussels (energy efficiency related works)</t>
  </si>
  <si>
    <t>BEL35</t>
  </si>
  <si>
    <t>EUR 13.43 Mio</t>
  </si>
  <si>
    <t>Renovation of buildings - Renolab, to promote renovation projects and illustrate best practices</t>
  </si>
  <si>
    <t>BEL36</t>
  </si>
  <si>
    <t>EUR 95 Mio</t>
  </si>
  <si>
    <t>Investment project Backbone for H2 and CO2,  to create future interconnections with neighbouring countries of the initial H2 and CO2 transport networks</t>
  </si>
  <si>
    <t>BEL37</t>
  </si>
  <si>
    <t>An industrial value chain for hydrogen transition - Federal State</t>
  </si>
  <si>
    <t>BEL38</t>
  </si>
  <si>
    <t>EUR 47,86 Mio</t>
  </si>
  <si>
    <t>An industrial value chain for hydrogen transition of the Flemish Region - R&amp;D&amp;I projects</t>
  </si>
  <si>
    <t>BEL39</t>
  </si>
  <si>
    <t>EUR 27.39 Mio</t>
  </si>
  <si>
    <t>An industrial value chain for hydrogen transition of the Flemish Region - production from renewable energy</t>
  </si>
  <si>
    <t>BEL40</t>
  </si>
  <si>
    <t>EUR 36.54 Mio</t>
  </si>
  <si>
    <t>An industrial value chain for hydrogen transition of the Flemish Region - transmission, distribution, storage and energy systems</t>
  </si>
  <si>
    <t>BEL41</t>
  </si>
  <si>
    <t>EUR 8.07 Mio</t>
  </si>
  <si>
    <t>An industrial value chain for hydrogen transition of the Flemish Region - end user refuelling &amp; transport</t>
  </si>
  <si>
    <t>BEL42</t>
  </si>
  <si>
    <t>EUR 5.15 Mio</t>
  </si>
  <si>
    <t>An industrial value chain for hydrogen transition of the Flemish Region - end user industrial</t>
  </si>
  <si>
    <t>BEL43</t>
  </si>
  <si>
    <t>EUR 117.20 Mio</t>
  </si>
  <si>
    <t>An industrial value chain for hydrogen transition’ of the Walloon Region – IPCEI and non IPCEI projects</t>
  </si>
  <si>
    <t>BEL44</t>
  </si>
  <si>
    <t>Developing the low-carbon industry of the Walloon Region –R&amp;D&amp;I projects, to reduce emissions in connectionto energy usage and emissions in industry</t>
  </si>
  <si>
    <t>BEL45</t>
  </si>
  <si>
    <t>EUR 26.44 Mio</t>
  </si>
  <si>
    <t>Research platform for energy transition of the Walloon Region</t>
  </si>
  <si>
    <t>BEL46</t>
  </si>
  <si>
    <t>EUR 44.30 Mio</t>
  </si>
  <si>
    <t>Support of investments to establish renewable heat networks of the Flemish Region</t>
  </si>
  <si>
    <t>BEL47</t>
  </si>
  <si>
    <t>EUR 99 Mio</t>
  </si>
  <si>
    <t>Support to establish off-shore energy islands, projects</t>
  </si>
  <si>
    <t>BEL48</t>
  </si>
  <si>
    <t>EUR 1 Mio</t>
  </si>
  <si>
    <t xml:space="preserve">Support to establish off-shore energy islands, biodiversity studies and impact assessment </t>
  </si>
  <si>
    <t>BEL49</t>
  </si>
  <si>
    <t>EUR 34 Mio</t>
  </si>
  <si>
    <t>Biodiversity and adaptation to climate change of the Walloon Region – Forests &amp; Remeandering</t>
  </si>
  <si>
    <t>BEL50</t>
  </si>
  <si>
    <t>Biodiversity and adaptation to climate change of the Walloon Region – Protected areas &amp; National parks</t>
  </si>
  <si>
    <t>BEL51</t>
  </si>
  <si>
    <t>EUR 24.70 Mio</t>
  </si>
  <si>
    <t>invest in green infrastructure works to reconnec ecological defragmentated areas of the Flemish Region</t>
  </si>
  <si>
    <t>BEL52</t>
  </si>
  <si>
    <t>EUR 280.96 Mio</t>
  </si>
  <si>
    <t>Blue Deal of the Flemish Region (Projects A - B - C - E - F - G - H -I), for the creation of wetlands</t>
  </si>
  <si>
    <t>BEL53</t>
  </si>
  <si>
    <t>EUR 10 Mio</t>
  </si>
  <si>
    <t>Blue Deal of the Flemish Region (Project D), for the creation of wetlands</t>
  </si>
  <si>
    <t>BEL54</t>
  </si>
  <si>
    <t>EUR 345.46 Mio</t>
  </si>
  <si>
    <t>investment reform to extent cycling infrastructure of the Flemish Region</t>
  </si>
  <si>
    <t>BEL55</t>
  </si>
  <si>
    <t>EUR 13.74 Mio</t>
  </si>
  <si>
    <t>investment reform to extent cycling infrastructure – Corridors Vélo of the Walloon Region</t>
  </si>
  <si>
    <t>BEL56</t>
  </si>
  <si>
    <t>EUR 34.10 Mio</t>
  </si>
  <si>
    <t>investment reform to extent cycling infrastructure – Vélo Plus</t>
  </si>
  <si>
    <t>BEL57</t>
  </si>
  <si>
    <t>EUR 17.40 Mio</t>
  </si>
  <si>
    <t>investment reform to extent cycling infrastructure – Schuman</t>
  </si>
  <si>
    <t>BEL58</t>
  </si>
  <si>
    <t>EUR 105 Mio</t>
  </si>
  <si>
    <t>Tram extension Liège</t>
  </si>
  <si>
    <t>BEL59</t>
  </si>
  <si>
    <t>Metro extension Charleroi</t>
  </si>
  <si>
    <t>BEL60</t>
  </si>
  <si>
    <t>EUR 26.64 Mio</t>
  </si>
  <si>
    <t>Smart road signals – Walloon Region</t>
  </si>
  <si>
    <t>BEL61</t>
  </si>
  <si>
    <t>EUR 59.29 Mio</t>
  </si>
  <si>
    <t>Accessible and multimodal train stations of the Federal State – urban stations</t>
  </si>
  <si>
    <t>BEL62</t>
  </si>
  <si>
    <t>EUR 15.71 Mio</t>
  </si>
  <si>
    <t>Accessible and multimodal train stations of the Federal State – rural stations</t>
  </si>
  <si>
    <t>BEL63</t>
  </si>
  <si>
    <t>EUR 239 Mio</t>
  </si>
  <si>
    <t>Rail renovation – efficient network of the Federal State (TEN-T and electric/zero emission)</t>
  </si>
  <si>
    <t>BEL64</t>
  </si>
  <si>
    <t>EUR 26 Mio</t>
  </si>
  <si>
    <t>Rail renovation – efficient network of the Federal State (other rail renovation)</t>
  </si>
  <si>
    <t>BEL65</t>
  </si>
  <si>
    <t>Rail renovation – efficient network of the Federal State – automatisation of the Traffic Management System</t>
  </si>
  <si>
    <t>BEL66</t>
  </si>
  <si>
    <t>EUR 25.93 Mio</t>
  </si>
  <si>
    <t>Canal Albert and Trilogiport of the Walloon Region</t>
  </si>
  <si>
    <t>BEL67</t>
  </si>
  <si>
    <t>Rail – Smart mobility of the Federal State</t>
  </si>
  <si>
    <t>BEL68</t>
  </si>
  <si>
    <t>EUR 5.65 Mio</t>
  </si>
  <si>
    <t>Mobility-as-a-Service (MaaS) deployment of the Brussels-Capital Region</t>
  </si>
  <si>
    <t>BEL69</t>
  </si>
  <si>
    <t>EUR 8 Mio</t>
  </si>
  <si>
    <t>Modal shift grants of the Brussels-Capital Region, aims to improve the provision
of public transport services to make public transport an attractive alternative to the use of
personal cars and reduce congestion and greenhouse gas emissions</t>
  </si>
  <si>
    <t>BEL70</t>
  </si>
  <si>
    <t>EUR 51 Mio</t>
  </si>
  <si>
    <t>Smart move of the Brussels-Capital Region, to establish smart mobility</t>
  </si>
  <si>
    <t>BEL71</t>
  </si>
  <si>
    <t>EUR 55.5 Mio</t>
  </si>
  <si>
    <t>Greening the bus fleet of the Flemish Region</t>
  </si>
  <si>
    <t>BEL72</t>
  </si>
  <si>
    <t>EUR 55 Mio</t>
  </si>
  <si>
    <t>Greening the bus fleet of the Brussels-Capital Region</t>
  </si>
  <si>
    <t>BEL73</t>
  </si>
  <si>
    <t>Charging stations of the Federal State</t>
  </si>
  <si>
    <t>BEL74</t>
  </si>
  <si>
    <t>EUR 29.46 Mio</t>
  </si>
  <si>
    <t>Charging stations of the Flemish Region</t>
  </si>
  <si>
    <t>BEL75</t>
  </si>
  <si>
    <t>EUR 120.80</t>
  </si>
  <si>
    <t>Development of public utility housing and housing for vulnerable persons of the Walloon Region</t>
  </si>
  <si>
    <t>BEL76</t>
  </si>
  <si>
    <t>EUR 61 Mio</t>
  </si>
  <si>
    <t>Creation and renovation of early childcare infrastructure of the Walloon Region – construction &amp; renovation</t>
  </si>
  <si>
    <t>BEL77</t>
  </si>
  <si>
    <t>R&amp;D: Minimization of waste during dismantling of the Federal State (nuclear waste)</t>
  </si>
  <si>
    <t>BEL78</t>
  </si>
  <si>
    <t>EUR 120 Mio</t>
  </si>
  <si>
    <t>Strengthen R&amp;D of the Flemish Region - Bioeconomy impulse program and scientific and technological infrastructure</t>
  </si>
  <si>
    <t>BEL79</t>
  </si>
  <si>
    <t>Strengthen R&amp;D of the Flemish Region - Business Projects ETS Innovation Fund &amp; CCS-CCU</t>
  </si>
  <si>
    <t>BEL80</t>
  </si>
  <si>
    <t xml:space="preserve">Relocation of food and development of logistics platforms of the Walloon Region, for a shorter and more sustainable food chain </t>
  </si>
  <si>
    <t>BEL81</t>
  </si>
  <si>
    <t>Recycling Hub of the Flemish Region, to promote local circular production</t>
  </si>
  <si>
    <t>BEL82</t>
  </si>
  <si>
    <t>EUR 28.97 Mio</t>
  </si>
  <si>
    <t>Belgium Builds Back Circular of the Federal State</t>
  </si>
  <si>
    <t>BEL83</t>
  </si>
  <si>
    <t>EUR 85 Mio</t>
  </si>
  <si>
    <t>Deployment of the circular economy’ in the Walloon Region</t>
  </si>
  <si>
    <t>BEL84</t>
  </si>
  <si>
    <t>Circular economy &amp; circular construction of the Flemish Region</t>
  </si>
  <si>
    <t>BEL85</t>
  </si>
  <si>
    <t>An adaption of the tax system for fossil fuels to make it more sustainable</t>
  </si>
  <si>
    <t>BEL86</t>
  </si>
  <si>
    <t>Owners of zero emission company cars will profit from an advantageous tax assessment</t>
  </si>
  <si>
    <t>BRA1</t>
  </si>
  <si>
    <t xml:space="preserve">US$ 20.6 billion
</t>
  </si>
  <si>
    <t>Up to US$ 45.4 billion for workers and the most vulnerable population. Fiscal impact: US$ 20.6 billion</t>
  </si>
  <si>
    <t>https://www.gov.br/economia/pt-br/centrais-de-conteudo/publicacoes/publicacoes-em-outros-idiomas/covid-19/covid-19-2020-04-24-brazil-policy-measures-1830-1.pdf/view</t>
  </si>
  <si>
    <t>USD</t>
  </si>
  <si>
    <t>BRA2</t>
  </si>
  <si>
    <t>USD 14.4 billion</t>
  </si>
  <si>
    <t>Up to US$ 26.7 billion in aid to states and municipalities. Fiscal impact: US$ 14.4 billion</t>
  </si>
  <si>
    <t>BRA3</t>
  </si>
  <si>
    <t>USD 54.8 billion</t>
  </si>
  <si>
    <t>US$ 54.8 billion in credit measures</t>
  </si>
  <si>
    <t>BRA4</t>
  </si>
  <si>
    <t>USD 10.3 billion.</t>
  </si>
  <si>
    <t>Up to US$ 104.9 billion in cash flow measures and a program for employment in companies. Fiscal impact of US$ 10.3 billion.</t>
  </si>
  <si>
    <t>BRA5</t>
  </si>
  <si>
    <t>USD 3.6 billion</t>
  </si>
  <si>
    <t>US$ 4.9 billion to fight the COVID-19 (funds and measures to assure supplies, treatment and protection). Fiscal impact: US$ 3.6 billion</t>
  </si>
  <si>
    <t>BRA6</t>
  </si>
  <si>
    <t>Liquidity assistance of US$ 240 billion from the Central Bank</t>
  </si>
  <si>
    <t>BRA7</t>
  </si>
  <si>
    <t>Capital release of US$ 640 billion</t>
  </si>
  <si>
    <t>BRA8</t>
  </si>
  <si>
    <t>Creation of new financial mechanisms for green bonds issuance for sustainable infrastructure, expected to attract up to US$34 billion by 2029.</t>
  </si>
  <si>
    <t>http://www.planalto.gov.br/ccivil_03/_ato2019-2022/2020/decreto/D10387.htm</t>
  </si>
  <si>
    <t>BRA9</t>
  </si>
  <si>
    <t>Ease of regularisations of private occupation of public lands, weakening compliance with environmental law after regularization and granting amnesty to those practicing illegal logging. This PL ("law project") is a proposal presented to the deputy chambers, as a result of the expiring of a similar provisory measure that deputees were unable to agree upon, presented in December 2019. The government is now presenting this PL, asking for voting on an urgency regime, during the COVID crisis, seen by many as a strategy to push forward easures for easing regulation in the environmental sector while society is "distracted" by the pandemics.</t>
  </si>
  <si>
    <t>https://www.camara.leg.br/proposicoesWeb/fichadetramitacao?idProposicao=2252589</t>
  </si>
  <si>
    <t>positive</t>
  </si>
  <si>
    <t>BRA10</t>
  </si>
  <si>
    <t>Congress added important points in the MP (Provisional Measure) that had been set by the President early in the pandemic. The airline companies will not be held responsible for flight delays due to "force majeure" and they may use the National Civil Aviation Fund (FNAC) for loan guarantees of up to BRL 3 billion.</t>
  </si>
  <si>
    <t>https://www.camara.leg.br/noticias/674316-camara-aprova-texto-base-de-mp-sobre-remarcacao-de-passagens-aereas
http://www.planalto.gov.br/ccivil_03/_ato2019-2022/2020/lei/L14034.htm</t>
  </si>
  <si>
    <t>https://www.in.gov.br/en/web/dou/-/lei-n-14.034-de-5-de-agosto-de-2020-270712514 (accessed 07/08/2020)</t>
  </si>
  <si>
    <t>BRL</t>
  </si>
  <si>
    <t>BRA11</t>
  </si>
  <si>
    <t>The National Program for Electrical Energy Conservation (Procel) committed 30 million BRL for the National Development Bank's (BNDES) energy efficiency fund. The resources will be used as grants to support energy efficiency projects through guarantees in different sectors of the economy. The objective is to reduce risks of default and increase access to credits for such projects.</t>
  </si>
  <si>
    <t>https://agenciadenoticias.bndes.gov.br/detalhe/noticia/Fundo-para-eficiencia-energetica-do-BNDES-recebera-aporte-de-R$-30-milhoes-do-Procel/</t>
  </si>
  <si>
    <t>BRA12</t>
  </si>
  <si>
    <t>It provides for the reduction of royalties and the incentive for small or medium-sized companies in the activities of exploration, development and production of oil and natural gas.</t>
  </si>
  <si>
    <t>https://www.gov.br/anp/pt-br/canais_atendimento/imprensa/noticias-comunicados/reducao-de-royalties-para-empresas-de-pequeno-e-medio-portes-e-tema-de-workshop-1</t>
  </si>
  <si>
    <t>https://web.archive.org/web/20200722013932/, http://www.in.gov.br/en/web/dou/-/despacho-do-presidente-da-republica-264424998</t>
  </si>
  <si>
    <t>mixed</t>
  </si>
  <si>
    <t>BRA13</t>
  </si>
  <si>
    <t>The "More Light for the Amazon" program foresees the use of renewable sources of electricity generation, mainly photovoltaic systems, and the replacement of small diesel or gasoline electric power generators, which today are the only source of electricity for many families that live in these remote regions, thus contributing to the reduction of greenhouse gas emissions and encouraging the sustainable use of resources in the Amazon Forest.</t>
  </si>
  <si>
    <t>https://www.gov.br/casacivil/pt-br/assuntos/noticias/2020/junho/mais-luz-para-a-amazonia-manual-de-operacionalizacao-do-programa-e-aprovado</t>
  </si>
  <si>
    <t>BRA14</t>
  </si>
  <si>
    <t xml:space="preserve">Aims to encourage the entry of new actors and attract investments to the oil refinery sector. </t>
  </si>
  <si>
    <t>https://web.archive.org/web/20200713014452/
http://www.mme.gov.br/web/guest/todas-as-noticias/-/asset_publisher/pdAS9IcdBICN/content/diretrizes-para-desinvestimentos-no-setor-de-refino-brasileiro
http://www.mme.gov.br/web/guest/todas-as-noticias/-/asset_publisher/pdAS9IcdBICN/content/diretrizes-para-desinvestimentos-no-setor-de-refino-brasileiro?inheritRedirect=false&amp;redirect=
http://antigo.mme.gov.br/web/guest/todas-as-noticias/-/asset_publisher/pdAS9IcdBICN/content/cade-e-petrobras-celebram-acordo-para-venda-de-refinarias-de-petrol-1/pop_up?_101_INSTANCE_pdAS9IcdBICN_viewMode=print&amp;_101_INSTANCE_pdAS9IcdBICN_languageId=pt_BR</t>
  </si>
  <si>
    <t xml:space="preserve">https://web.archive.org/web/20200713014452/, http://www.mme.gov.br/web/guest/todas-as-noticias/-/asset_publisher/pdAS9IcdBICN/content/diretrizes-para-desinvestimentos-no-setor-de-refino-brasileiro? </t>
  </si>
  <si>
    <t>BRA15</t>
  </si>
  <si>
    <t>Establishes procedures for controlling and reducing oil and gas burns and losses. Aims to foster, on economic grounds, an increase in the share of domestic natural gas production in serving the Brazilian market, including by reducing the burning of natural gas in exploration and production activities.</t>
  </si>
  <si>
    <t>https://web.archive.org/web/20200713012922/, http://www.anp.gov.br/noticias/5589-anp-aperfeicoa-regras-para-queima-de-gas</t>
  </si>
  <si>
    <t>BRA16</t>
  </si>
  <si>
    <t>To allow the extension of deadlines related to oil and natural gas exploration and production contracts in the context of COVID.</t>
  </si>
  <si>
    <t>https://web.archive.org/web/20200713010848/, http://www.in.gov.br/web/dou/-/resolucao-n-815-de-20-de-abril-de-2020-253195842</t>
  </si>
  <si>
    <t>BRA17</t>
  </si>
  <si>
    <t>Temporary measures to confront Covid-19 for the oil and gas sector, specifically changes in procedures to be adopted by regulated agents from from the Oil National Agency</t>
  </si>
  <si>
    <t>https://web.archive.org/web/20200421193251/, http://www.in.gov.br/web/dou/-/resolucao-n-816-de-20-de-abril-de-2020-253195837</t>
  </si>
  <si>
    <t>BRA18</t>
  </si>
  <si>
    <t>Relief to the electricity sector (creation of "COVID-account", destined to receive resources to cover deficits or antecipate costs)</t>
  </si>
  <si>
    <t>https://web.archive.org/web/20200712204420/, http://www.in.gov.br/en/web/dou/-/decreto-n-10.350-de-18-de-maio-de-2020-257267211</t>
  </si>
  <si>
    <t>https://www.demarest.com.br/wp-content/uploads/2020/06/Boletim-Energia-Junho-2020-Demarest-Advogados_.pdf</t>
  </si>
  <si>
    <t>BRA19</t>
  </si>
  <si>
    <t>Relief to the electricity sector (temporary measures to confront Covid-19 for the electricity sector)</t>
  </si>
  <si>
    <t>https://web.archive.org/web/20200712203630/, http://www.in.gov.br/en/web/dou/-/medida-provisoria-n-950-de-8-de-abril-de-2020-251768271</t>
  </si>
  <si>
    <t>BRA20</t>
  </si>
  <si>
    <t xml:space="preserve">To postpone energy auctions indefinitely in order to adopt measures to deal with the public health emergency of international importance resulting from the coronavirus  </t>
  </si>
  <si>
    <t>https://web.archive.org/web/20200712161825/, http://www.in.gov.br/en/web/dou/-/portaria-n-134-de-28-de-marco-de-2020-250263670</t>
  </si>
  <si>
    <t>BRA21</t>
  </si>
  <si>
    <t xml:space="preserve">The objective is the guarantee of the provision of energy services; the preservation of the mineral goods production and supply chain; of petroleum and its derivatives; of natural gas; and biofuels. </t>
  </si>
  <si>
    <t>https://web.archive.org/web/20200712144231/, http://www.in.gov.br/en/web/dou/-/portaria-n-131-de-27-de-marco-de-2020-250710862</t>
  </si>
  <si>
    <t xml:space="preserve">https://www.iea.org/reports/sustainable-recovery/a-sustainable-recovery-plan-for-the-energy-sector </t>
  </si>
  <si>
    <t>BRA22</t>
  </si>
  <si>
    <t xml:space="preserve">To prevent electricity service from being interrupted or cut during the COVID crisis. </t>
  </si>
  <si>
    <t>https://web.archive.org/web/20200712142308/, http://www.in.gov.br/en/web/dou/-/resolucao-normativa-n-878-de-24-de-marco-de-2020-249621270</t>
  </si>
  <si>
    <t>BRA23</t>
  </si>
  <si>
    <t>To help facilitate environmental licensing for uranium and phosphate mining projects.</t>
  </si>
  <si>
    <t>https://www.istoedinheiro.com.br/governo-aprova-politica-para-agilizar-licenciamento-de-projetos-de-mineracao/</t>
  </si>
  <si>
    <t>BRA24</t>
  </si>
  <si>
    <t>The Project contributes to the reduction of greenhouse gas emissions per MWh of energy from the Brazilian electric matrix by adding energy generation capacity through a clean and renewable source of resources; and it also contributes to the strengthening of the supply chain for the wind turbine sector established in the country.</t>
  </si>
  <si>
    <t>https://web.archive.org/web/20200712024353/, https://www.bndes.gov.br/wps/portal/site/home/imprensa/noticias/conteudo/projeto-eolico-no-rio-grande-do-norte-apoiado-pelo-bndes-fornece-a-energia-limpa-a-800-mil-residencias/%21ut/p/z1/zZRLb9swDMc_yw45EqJl-XV00zzauA22PtL4UsiynKiLJddR222ffnLRAVuHxBiyDPNFoEj__qRJk-TkjuSaP6sVt8povnH2Mg_vs2Q2mrI5ZhhcM0xP_YjdRCOcxZTckpzkQtvGrsmy0KXc3iu9tco-iVfCANemlgNUddNKveUD1MYqofh2gMJoK59KM8CmNQ_SGpBmo4QBbaBVBlYtd0Aou4vWSuCNUdxZjdwYeNWCyrRaCucCqWW7Uhw2Tok7O0aEWm2glVtVSt0pdqk2QpVkGSeFpGHpgYiqEFgQxFB4nge8LApRJdSPaUEWfbXnzo07nhTf3t8TkO_GszHu1-8C8v3pLbp6ezLoy-FdwOQ0o5hmwRjHHy8no5S-D5if-SNMp8MsYKOZN0l8snRVRLvT9MniWckXcuNaXLuBu_rDJk2xR2FOD1TowQfHxUdHxTN2IP68bwjdAqHtxfBi5bDcrkHpypC7f_S_O3H18PiYp25FdbvmiyV3__uO2tswNvZ2NywKMUFRlhB6DIEhp5AEYQlRxTmjzhuK3-fh6sR3-OgsyCYJTmn0l_G_Zn8bHhcfHBd_6Mc579u2B88raeo69r8qBZ8_Tb-dXMJkWMQv11X9dixi-7P54zb98B2x5CNI/dz/d5/L2dBISEvZ0FBIS9nQSEh/</t>
  </si>
  <si>
    <t>BRA25</t>
  </si>
  <si>
    <t>To increase the diversification of the power supply through investment in renewables, and also to improve energy security.</t>
  </si>
  <si>
    <t>BRA26</t>
  </si>
  <si>
    <t xml:space="preserve">Financing to support an investment plan in the electricity sector, with a view to expanding the system, reduction commercial losses, improving the quality of energy supply, expanding the customer base and improving the operation of the electricity system. </t>
  </si>
  <si>
    <t>https://web.archive.org/save/, https://www.bndes.gov.br/wps/portal/site/home/imprensa/noticias/conteudo/bndes-financia-investimentos-em-empresas-de-energia-de-pi-al-desestatizadas-com-apoio-do-banco/!ut/p/z1/zVTbbqMwEP2WfeDR8gDm9kjT3EmjVZum4aUyxkm8KjYNNNn06zuJol3tViGVIqQiJBt8fGbmnLFpSp9oqvlWrXitjOYv-L1I_eckGncHbAoJeA8M4ls3YLOgC-PQofMjAM48MdD0_H7WA_pIU5oKXZf1mi4yncvqWemqVvWbOGZgwdoU0gJVlBupK26BNrUSilcWCKNr-ZYbC44byVJprnGJKL2VyFFIXZuKyAJf3F3xiuSSSC03KwThtFSEv-CkQjRW_M5zhAhTEF4aZUhuSIaE5pBiKVROF2Fuc8-OXCLtyCbMFpJw6WXEky4TdmYLJwhOkjTUnH5F0gZA2qz46FIANNXZTDqTFZbF6zXKtTT0qWUNMaj69fqaxmj3wbff9SnkN_R7fnD8gof_Avq3iQNx4vWg9_Ou342d_wHToduFeNBJPNYd2_3IPQEafFxgHwTnc7DpfKvkjs602RR4VO__tmngQwQiz4lvMyAMuEMiz89JsOScObjqi4wOPke4v3ExQjD0kn4EAye4MkJzAY9-u_Reu_TXijO61GFXH5jmCsahe76CL91zzfRTp116r136oFV6xq6kL4tZEbp7RdJs74IaksVou9s9LItOFp6Gvft-c3f4_2eYxD8-AHWazoo!/dz/d5/L2dBISEvZ0FBIS9nQSEh/</t>
  </si>
  <si>
    <t>BRA27</t>
  </si>
  <si>
    <t>To diversify the energy mix in Brazil, increase the installed capacity of the national electricity system, and contribute to the strengthening of the wind turbine sector's supply chain established in the country.</t>
  </si>
  <si>
    <t>https://web.archive.org/web/20200712021311/, https://www.bndes.gov.br/wps/portal/site/home/imprensa/noticias/conteudo/bndes-aprova-1-3-bilhao-para-implantacao-de-projeto-eolico-na-paraiba/%21ut/p/z1/xZVdc6IwFIZ_Sy-4jIkQQPeO1m9pO65rrdw4IUSNAwkNUbv76zdYb6oVZ8c6ywUM4c1zTt5z5gAj-AojQbZ8STSXgqTmfRZ587A5bPfwMwqR-wujoOX4eOK30bBhw-legM5cAYLR-f24g-ALjGBEhc71Cs5ikbBizkWhud7QfQYWWsmMWYhnuWKiIBYSUnPKSWEhKoVmm0RaaL8RkFzJLQF14ICYpysiQU4UAWZrSoQm1CwkDBjRmmkJmEw5lUCQvYrHpMwkpzyBM9-uI-LYGDQc2wGYxhgQbBPgYoYXNm3gmHqHk1dYE1UbU7m_tCaqxg-OBGjURkE4-vncd0Yo6Dtl7Wz1-PC4NMciegW4WEj4Wt5VRqg0hklFScaMNcr4eQI8ifg18Hu8N2y-fnuLAtMNZVnf9YH8_9phWjbEhRJ9FnRboW1q4HZQZ_TUbQf2scDUxhSp9xC6uD2sd5vOQVDRJjPTJv75qjhwuuVsByeirGoKx__Yxb1LEZ7tKyNcwLu3xfs3xWN8Szzu1CvwHmoimiTAq2MEMCI2aLpeAvwFMWHMV4_GJ_jxvWPwft8Nu03Us_1vxn_O_sW7Ld69Lf5acwaXhsfVI68MsUxl_PGfDkTsNMxoVmzBFFO1jTLLK63z4oeFLLTb7Wp7em0pt7VYmZXcDM1cKl3GKLhmFZG-4K9kYRI-xsI8m2QN5zcHUeym23Ax7q_dZTZv3T-B2WD759zjQx3c3f0FQOyfDA%21%21/dz/d5/L2dBISEvZ0FBIS9nQSEh/</t>
  </si>
  <si>
    <t>BRA28</t>
  </si>
  <si>
    <t xml:space="preserve">The stimulus aims to help move Brazil toward a low-carbon economy, and to expand the private energy market in the country. </t>
  </si>
  <si>
    <t xml:space="preserve">https://web.archive.org/save/, https://www.bndes.gov.br/wps/portal/site/home/imprensa/noticias/conteudo/com-financiamento-do-bndes-parque-eolico-na-bahia-vai-gerar-energia-limpa-para-850-mil-domicilios/!ut/p/z1/xVVNc9owFPwtOXB8o4ctf3B0CZgPJyQhhOALI2QZ1MEysQ2U_vrKJJk2pODJUKa-yJZW-3b2rWQSkmcSKraRc1bIVLGl_p6E9jRo9FsdOsAArUeK3rXp0JHTwr5rkPFHwKBrttDrNAOLtvp1v2GS8Ph-2kbyREISclWsigWZzFQk8qlUeSGLNd8rqOEiTUQNZbLKhMpZDVVaSC5ZXkOeqkKso7R8SyCWiim9kAhVpBClsGeDFcte1gJEupQ8BcVgxhaSwYZJmIuMZSCUyOZ6ZqlLsBLOwLUQErnUJIkutZRpXqpccRmRiVMX1HQjA2wztoFybgEzGgbEnEczFxlllnXoymfbSlfwyOPh2_4TgApXT9YvAeFpeb2PAP8B6-hZ_bb3dN030aBlLozspnkz17awYgFSxSl5jsuG5JAJvs5ybZpGye8vL6GnW1wu_SjI84keFxlTuW6AKNtYw1e2aSSm74Tvc78rHAgdBL6DXuAPusPhHd7fOseEJsklxK1VtB81-6Gwh46rhTWDx7u2i_6IXrJ8OeqkvxJAso70uWDAdcAZxCrhNVxlKRe53gWRgLI8y4GpNZP5HnDEtapd4_KUVOS2KrkHAP86MLRvVhvb97d-yzMOAZ8vnInOvnM83CYZb6TYkpFKs0TfcMMvHu0OVlQYGGdWqKC3LkvvXJSe0jPpe1VX19-je_kfxBfP8__-n51sE23XT7TJxgbyKAK7ThEoMgMalh2BEzNGDb1q89kn-uE3U9M7XSvwG9gxnH9M_1H9k31Zeuuy9Oea06u6Y8-OKlklo8Q1d1JCONuZPwMx3r-g7MKkt9luH-OkOXPfhp253Pzx-T679a6ufgGovzVl/dz/d5/L2dBISEvZ0FBIS9nQSEh/ </t>
  </si>
  <si>
    <t>BRA29</t>
  </si>
  <si>
    <t xml:space="preserve">The stimulus aims to diversify the Brazilian energy matrix and to help economic recovery after the coronavirus pandemic. </t>
  </si>
  <si>
    <t>https://web.archive.org/save/, https://www.bndes.gov.br/wps/portal/site/home/imprensa/noticias/conteudo/bndes-aprova-financiamento-a-implantacao-de-parque-eolico-no-rio-grande-do-norte/!ut/p/z1/zVTBjpswFPyWPXB0_BZDQnpDuyRpQxq13TQLl8gYA26DTYwD27-vSXOoVk1W1Xal-mL56b2Z8ZgBp_gRp5J2oqRGKEn39pyk4108XUYLbw0x-A8ehPdk4m0mESwDF29PDXBhhYDTy_PeDPBXnOKUSdOYCieZzHm7E7I1whzZSYEDlaq5A6JuNJctdUAqI5igrQNMScOPuXLgNIhoo1VHUSEklbaj5tIoRJEd3VNpKKMK5Rw1VB-OHHG1F0whqZAWCpWaWgiUDwVt-CCqYSLHyRimGWM5Q8GtS5A3JlMUeBlFxCekANf3Cc_OJlxxKb3u0Xbg-x1hfh-7EMb-DGafPs6j0H3esH5PIggXd7HvRcvb-ZScG66QJFbk5LJIgred4D3eWANq-_Jf_tKDxUsMa_eVDC_A-28LP3lTeM97JfyHa0EbPkGbZFev7lalhaWmQkIWCj_-8-BYGvHtcEhDm-ohnk_mTPJfxNq6VO5V9uvHFsqMBNYOzQuuuR4dtS1XxjTtOwcc6Pt-dBIwKlU3yrStNFZdY4EG_a0w_PIt_oRfqdaa8RwWN_WmDsgP9P1z0D8UVVnvVhHxz9u-i4uV8ZPw5uYn_0fGBQ!!/dz/d5/L2dBISEvZ0FBIS9nQSEh/</t>
  </si>
  <si>
    <t>BRA30</t>
  </si>
  <si>
    <t>The operation was organized to avoid major readjustments in electricity tariffs, which would have been caused by the effects foreseen in the distributors' next ordinary tariff process. With Conta-Covid, these amounts will be diluted in 60 months, reducing the readjustment indexes to be approved in 2020.</t>
  </si>
  <si>
    <t>https://web.archive.org/save/, https://www.bndes.gov.br/wps/portal/site/home/imprensa/noticias/conteudo/bndes-fecha-com-bancos-a-operacao-da-conta-covid-destinada-ao-setor-eletrico/!ut/p/z1/xVTBcpswFPyWHDjKUpAo0BuTYLs1rqdt3AQuHiEJUGskImRo_77C9aGTqZ3ppJlygOHpaXe10goW8AEWig6yplZqRffuPy_e7LJ4lS7JBmUouCMoucUh2YYpWkU-vD82oDNPgmBxfj6ZI_gFFrBgyna2gXmpuOh3UvVW2gM7KvBQo1vhIdl2RqieekhpK5mkvYeYVlYcuPbQcSKoBGsoYLoFJVVM94AC3QlDGdWATwPKTu9BcuDarVTUVd1YL6w2QOyFNZLpSVDHJId5JDinPMCg5NcxIDwKAY1xDMoqrDiJI-oH-GTABYeKy_7cT3y_IyxuMx8lWTBH848fFmniP23YvMMpSpY3WUDS1fUixqeGCyS5ExmeF-lWMUgxwq3SpnW7_vkvPVg-x7DxX8jwDHzwuvDhq8IT8kL495dCNh1Bl2LfrG_WtYOltgFSVRo-_NPQOAr59fGxSFyap1h-tyeC_x5n50691-WvyyxRJY6cDUZUwggzOxhXbqzt-rce8tA4jrMj-azWw6w0rtI5ZZ02dtLeSyvOr-BP-I3unRFPYWHXbtsI_wDfPkXjXdXU7W6d4uD02Q9ZtbZBnlxd_QSwMBFD/dz/d5/L2dBISEvZ0FBIS9nQSEh/</t>
  </si>
  <si>
    <t>BRA31</t>
  </si>
  <si>
    <t xml:space="preserve">The purchase of biodiesel is intended to comply with the mandatory mixture of 12% biodiesel to the diesel sold for the months of July and August. </t>
  </si>
  <si>
    <t>eb.archive.org/web/20200701115203/, http://www.mme.gov.br/web/guest/todas-as-noticias/-/asset_publisher/pdAS9IcdBICN/content/73-leilao-de-biodiesel-negocia-1-19-bilhao-de-litros?inheritRedirect=false&amp;redirect=, http%253A%252F%252Fwww.mme.gov.br%252Fweb%252Fguest%252Ftodas-as-noticias%253Fp_p_id%253D101_INSTANCE_pdAS9IcdBICN%2526p_p_lifecycle%253D0%2526p_p_state%253Dnormal%2526p_p_mode%253Dview%2526p_p_col_id%253Dcolumn-1%2526p_p_col_count%253D1</t>
  </si>
  <si>
    <t>eb.archive.org/web/20200701115203/; http://www.mme.gov.br/web/guest/todas-as-noticias/-/asset_publisher/pdAS9IcdBICN/content/73-leilao-de-biodiesel-negocia-1-19-bilhao-de-litros?inheritRedirect=false&amp;redirect=</t>
  </si>
  <si>
    <t>BRA32</t>
  </si>
  <si>
    <t>Strengthen the electricity sector's liquidity amid the COVID-19 pandemic scenario.</t>
  </si>
  <si>
    <t>https://web.archive.org/save/, https://www.aneel.gov.br/sala-de-imprensa-exibicao-2/-/asset_publisher/zXQREz8EVlZ6/content/covid-19-aneel-e-ccee-liberam-r-207-milhoes-para-distribuidoras-e-consumidores-livres/656877</t>
  </si>
  <si>
    <t>BRA33</t>
  </si>
  <si>
    <t>The international oil price reduction made biofuels less competitive compared to gasoline, thus increasing the COVID-19 crisis impact on the biofuel industry. The program aims to support the sector, incentivize the maintenance of jobs, and reduce the risk of fuel shortages during the period of economic recovery.</t>
  </si>
  <si>
    <t>https://web.archive.org/web/0/, https://www.bndes.gov.br/wps/portal/site/home/imprensa/noticias/conteudo/setor-sucroalcooleiro-tera-apoio-do-bndes-para-enfrentar-pandemia</t>
  </si>
  <si>
    <t>BRA34</t>
  </si>
  <si>
    <t>Exempts all beneficiaries of the Social Tariff Program (2002) from paying electric bills from April 8th to June 30th aiming to provide support to low income families.</t>
  </si>
  <si>
    <t>https://web.archive.org/save/, http://www.planalto.gov.br/ccivil_03/_ato2019-2022/2020/Mpv/mpv950.htm; https://www.camara.leg.br/noticias/652787-MEDIDA-PROVISORIA-ISENTA-CONSUMIDOR-DE-BAIXA-RENDA-DE-PAGAR-CONTA-DE-LUZ</t>
  </si>
  <si>
    <t>BRA35</t>
  </si>
  <si>
    <t>The presidential decree aims to maintain the renewable power mix (83% renewable), attract foreign investments, reduce consumer tariffs and generate employment. The discussion about green bonds in Brazil has been led by CBI to introduce this green finance mechanism for Brazilian infrastructure projects.</t>
  </si>
  <si>
    <t>https://web.archive.org/web/20200707221455/, http://www.mme.gov.br/web/guest/todas-as-noticias/-/asset_publisher/pdAS9IcdBICN/content/decreto-cria-novas-perspectivas-para-fontes-renovaveis?inheritRedirect=false&amp;redirect=, http%3A%2F%2Fwww.mme.gov.br%2Fweb%2Fguest%2Ftodas-as-noticias%3Fp_p_id%3D101_INSTANCE_pdAS9IcdBICN%26p_p_lifecycle%3D0%26p_p_state%3Dnormal%26p_p_mode%3Dview%26p_p_col_id%3Dcolumn-1%26p_p_col_count%3D1</t>
  </si>
  <si>
    <t>https://www.in.gov.br/en/web/dou/-/decreto-n-10.387-de-5-de-junho-de-2020-260391759; https://www.tauilchequer.com.br/en/perspectives-events/publications/2020/06/decreto-n-1038720</t>
  </si>
  <si>
    <t>BRA36</t>
  </si>
  <si>
    <t>Law No. 14.026/2020, also called as Brazil’s New Sanitation Legal Framework. This measure regulates the investment on water treatment and sewage systems, making it possible to enhance investments in clean water and sewage facilities in order to achieve 100% coverage in the country by 2033 (today 50%).</t>
  </si>
  <si>
    <t>BRA37</t>
  </si>
  <si>
    <t>Dec. Law n. 10.623/2021, called Adopt a Park Programme to fosters investment by the private sector in public conservation units</t>
  </si>
  <si>
    <t>BRA38</t>
  </si>
  <si>
    <t>Floresta+ Program aims to regulate payments for environmental services and the conservation of native forests.</t>
  </si>
  <si>
    <t>https://www.gov.br/mma/pt-br/noticias/mma-institui-programa-floresta-para-remunerar-quem-protege-a-mata-nativa</t>
  </si>
  <si>
    <t>BRA39</t>
  </si>
  <si>
    <t>Priority project in the National Congress, on the modernization of the electric sector, discussed in Senate Law Project no. 232/2016. Incentives to develop new sources of clean energy and improve efficiency on the grid.</t>
  </si>
  <si>
    <t>https://www25.senado.leg.br/web/atividade/materias/-/materia/126049</t>
  </si>
  <si>
    <t>BRA40</t>
  </si>
  <si>
    <t>Approval on the modifications of the law number 12,344/2010 on the national policy for the safety on dams. This measure focusses on more environmental and social protection by prioritization of resources in recovery degraded areas by environmental disasters. It increases business responsibility in order to assure urgency and preventing measures as well as obligations to repair damages. (Law n. 14.066/2020)</t>
  </si>
  <si>
    <t xml:space="preserve">http://www.planalto.gov.br/ccivil_03/_Ato2019-2022/2020/Lei/L14066.htm#art2 
https://www12.senado.leg.br/noticias/materias/2020/10/01/brasil-tem-nova-lei-de-seguranca-de-barragens
</t>
  </si>
  <si>
    <t>BRA41</t>
  </si>
  <si>
    <t xml:space="preserve">Approval of the law number 14,119/2021 on payment for environmental services. This measure creates economic incentives and market instruments to mitigate climate change, conserve biodiversity, protect the Environment and increase local water quality. It focuses on supporting landowners to comply with environmental regulations which helps them to adopt sustainable practices. </t>
  </si>
  <si>
    <t>https://www.camara.leg.br/noticias/721368-sancionada-lei-de-pagamento-por-servicos-ambientais/#:~:text=O%20presidente%20Jair%20Bolsonaro%20sancionou,em%20troca%20do%20bem%20preservado.</t>
  </si>
  <si>
    <t>BRA42</t>
  </si>
  <si>
    <t>Priority Project in the National Congress about the legal framework for gas, on the Law Project number 4476/2020 known as “Gas Law” aiming to help push forward a green recovery, create new jobs, support energy supply across the country, providing secure, affordable, and lower-carbon energy and products. Currently discussed as law "Lei nº 14.134"</t>
  </si>
  <si>
    <t>https://www.correiobraziliense.com.br/economia/2021/06/4929598-nova-lei-do-gas-traz-mudancas-para-o-setor-mas-efeito-para-o-consumidor-e-incerto.html</t>
  </si>
  <si>
    <t>BRA43</t>
  </si>
  <si>
    <t>Priority project in the National Congress, on infrastructure debentures to attract financing to projects, discussed in Law Project number 2,646 / 2020. Law Project number 2,646 / 2020 expands the list of infrastructure projects that can be classified as priorities, in addition to including partnership contracts subject to extension or re-bidding. The expansion and modernization of the infrastructure reduces negative externalities to the environment. The measure attracts investments in projects aimed at sustainable development, with tax benefits for application in sustainable projects, with direct impacts on the environment and regional development.</t>
  </si>
  <si>
    <t xml:space="preserve">https://www.gov.br/casacivil/pt-br/assuntos/noticias/2020/junho/debentures-verdes-governo-federal-publica-decreto-que-incentiva-projetos-de-infraestrutura-ambientalmente-sustentaveis
https://congressoemfoco.uol.com.br/opiniao/forum/debentures-de-infraestrutura-e-crescimento-economico/
</t>
  </si>
  <si>
    <t>BRA44</t>
  </si>
  <si>
    <t>Maritime transport</t>
  </si>
  <si>
    <t>Priority project in the National Congress, on incentives to cabotage navigation, discussed in Law Project no. 4,199 / 2020. Maritime transport is comparatively more efficient and less costly than the road or rail modal. In addition, it provides greater security for the users, reduces the volume of traffic congestions and accidents (less human and animal victims). Cabotage transport has lower fuel consumption and emission of pollutants as well as it generates less environmental impact</t>
  </si>
  <si>
    <t xml:space="preserve">https://www.gov.br/infraestrutura/pt-br/brdomar
https://www.marinha.mil.br/economia-azul/noticias/br-do-mar-como-e-o-projeto-do-governo-para-aumentar-o-transporte-entre-os-portos
</t>
  </si>
  <si>
    <t>BRA45</t>
  </si>
  <si>
    <t>Edition of Decree no. 10,531 / 2020, on the Federal Development Strategy for Brazil from 2020 to 2031. Brazil has adopted an institutional long-term plan for economic recovery with specific commitments towards a resilient and low-carbon economy.</t>
  </si>
  <si>
    <t>https://www.gov.br/casacivil/pt-br/assuntos/noticias/2020/outubro/decreto-institui-a-estrategia-federal-de-desenvolvimento-para-o-brasil-ate-2031</t>
  </si>
  <si>
    <t>BRA47</t>
  </si>
  <si>
    <t>Priority project in the National Congress, on the toll-free system, discussed in Complementary Law Project no. 8/2013. Reduces negative externalities to the environment due to the reduction of traffic jams and travel times, with direct impacts on the reduction of pollution and the quality of the urban environment</t>
  </si>
  <si>
    <t>https://www25.senado.leg.br/web/atividade/materias/-/materia/111929;</t>
  </si>
  <si>
    <t>BRA48</t>
  </si>
  <si>
    <t>Establishes the criteria and conditions for the Surplus Sale Mechanism and the management mechanisms for the commercialization contracts of electric energy from new generation undertakings.</t>
  </si>
  <si>
    <t>https://www.in.gov.br/en/web/dou/-/resolucao-normativa-n-904-de-8-de-dezembro-de-2020-294942157#:~:text=Estabelece%20os%20crit%C3%A9rios%20e%20condi%C3%A7%C3%B5es,de%20novos%20empreendimentos%20de%20gera%C3%A7%C3%A3o. (accessed 4/3/2021)</t>
  </si>
  <si>
    <t>BRA49</t>
  </si>
  <si>
    <t>R 80892338</t>
  </si>
  <si>
    <t>Two loans for the construction of the wind farms located in the municipalities of Caiçara do Rio do Vento and Ruy Barbosa, in the state of Rio Grande do Norte.</t>
  </si>
  <si>
    <t>https://agenciadenoticias.bndes.gov.br/detalhe/noticia/Dois-novos-parques-eolicos-no-RN-produzirao-energia-limpa-e-renovavel-para-242-mil-residencias/</t>
  </si>
  <si>
    <t>BRA50</t>
  </si>
  <si>
    <t>Ministry of Mines and Energy established guidelines for electricity auctions to thermoelectric, hydro and windpower entreprises</t>
  </si>
  <si>
    <t>https://www.gov.br/mme/pt-br/assuntos/noticias/mme-estabelece-diretrizes-para-leiloes-de-compra-de-energia-eletri; https://www.mme.gov.br/energiaemineracaoprobrasil/leilao-de-energia-nova-a-3-e-a-4-de-2021</t>
  </si>
  <si>
    <t>BRA51</t>
  </si>
  <si>
    <t>ANEEL concludes the largest infrastructure auction in Brazil in 2020, with approximately R$ 7.34 billion in investments for energy transmission</t>
  </si>
  <si>
    <t>http://www.aneel.gov.br/sala-de-imprensa-exibicao-2/-/asset_publisher/zXQREz8EVlZ6/content/aneel-conclui-maior-leilao-de-infraestrutura-do-brasil-em-2020-com-cerca-de-r-7-34-bilhoes-em-investimentos/656877?inheritRedirect=false&amp;redirect=, http%3A%2F%2Fwww.aneel.gov.br%2Fsala-de-imprensa-exibicao-2%3Fp_p_id%3D101_INSTANCE_zXQREz8EVlZ6%26p_p_lifecycle%3D0%26p_p_state%3Dnormal%26p_p_mode%3Dview%26p_p_col_id%3Dcolumn-2%26p_p_col_pos%3D2%26p_p_col_count%3D3 (accessed 18/1/2021)</t>
  </si>
  <si>
    <t>BRA52</t>
  </si>
  <si>
    <t>R 110184288</t>
  </si>
  <si>
    <t>BNDES approves financing for expansion of the Jerusalem Wind Complex, in Rio Grande do Norte</t>
  </si>
  <si>
    <t>https://www.bndes.gov.br/wps/portal/site/home/imprensa/noticias/conteudo/bndes-aprova-financiamento-para-expansao-do-complexo-eolico-jerusalem-no-rio-grande-do-norte/!ut/p/z1/zVNNb-owEPwtPeS48jYfDRwjGqCQFlUtr40vleM44ArbaWI-2l__DOLSSoAqhFRLlmVpdmY9OyaUvBKq2UrOmJVGs4W75_TmLeuO02E4wQyj5xCT2yAOp3GK445PXnYAPLASJPRwfdhH8o9QQrm2tZ2TvNClaN-kbq20S77rwMO5UcJDqepG6JZ5qI2VXLLWQ260FcvSeLgrBFY3ZsWgkppph1BCWwM1axiITc1csYHSADeqXoiNAWEWkht4F82yZQuhQBtopIFZwxzdFqpNY8W2wZrLkuRl0AkiPyrgJmYIIccIurxbAYsrP8KiuHZ7b8gRx-hxv0bHHNvWu5H4zX3vfubaYnYOUleGvF7UAScp3z8-aOJGtfV8Y_eCf25Wo1N5O_spbsD0u8jgNvMxyaI-9h8fBmni_wRM7oIUk2Evi8J0fD3oBnvAkRTkLkXx4RQE5GUlxZpM3auV-6ZPvwzp8JTCxD9T4QR9dFn6-KL0YXgmfa2mqhN8Ai0-g6-serqDfLRar58r1Ss6uyO_-g8VcEK8/dz/d5/L2dBISEvZ0FBIS9nQSEh/</t>
  </si>
  <si>
    <t>BRA53</t>
  </si>
  <si>
    <t>R 193986421</t>
  </si>
  <si>
    <t>The National Bank for Economic and Social Development (BNDES) issued R$ 1 billion BRL in Green Bonds</t>
  </si>
  <si>
    <t>https://www.bndes.gov.br/wps/portal/site/home/imprensa/noticias/conteudo/bndes-desenvolve-ciclo-sustentavel-com-emissao-de-letras-financeiras-verdes/!ut/p/z1/tZZLc5swEID_SnvwUdYCAkFvxPEjsRNPGudhLhkBwlZrJAdku-mvr3BySNMYMnVghgGJ1bcP7a7AEb7HkWRbsWBaKMlWZjyPvIdJMO6PyBQm4M4IhKcOJTe0D2Pfxnd7AThwhYCjw-vJAPAtjnCUSL3WSzyPZcrLByFLLfQm2VvQgaXKeQdEvi64LFkHpNIiEazsQKKk5ptUdWC_EJmby61abTlKRLJSqNyUmkvNtnyFEpUjnouyZMoIohXXBStRJiSTCRfV-5YXhlDZs05EiueUWpymrocsCgQRmgKKHfAQIxRYkDk-9bMX_-nVsDcKiTUZzi4HEM7GA783ozaMnCb_75oCHNWHt3Z9pSBq2r-oycQ3AsPTiQ3hxB3A4Opy2A_ttwLTM6cP4ag3cUl_bA0D50Wgxou58YIeiuJ0bMzcCr7DN1IVucnK61eb5LEkDbiDwPYCRBhLkc-8GHE7ix3Ht21iWXjUoMHvH6uh3oEebRVfpUGL-CvvSPz5fvtrasR0Gbu46F0sDJbpJRIyU_he8yJhKKuK84uDclYk-8q1wYZqhfjx-BiFpnlUXeCXxvcf6h5swWVqnnXw53AcLBqnJhwfaRn1-KndLt5tF09bxRNyJP68qR_-d2K1fSy9XyOfqaE29GRg1XUBCCBJU-RZBBABZqPA9VJEM8aIbb56SfwP_vrEMXh65k6GAYxs-sn4v62_9drFu-3ijw3OedMZf3TaVyoWKxU__zOGMnZ8k6kFz3jBi-6mMNNLrdfltw50YLfbdff07kJtu3FhZtamcNaq0JWOUmheo-kd_lKVxuC3WLzOb3LfeRIC_fw--n1yiYa92N_Nsvzlcefr18P6WRTFT7vw6x9vo160/dz/d5/L2dBISEvZ0FBIS9nQSEh/</t>
  </si>
  <si>
    <t>BRA54</t>
  </si>
  <si>
    <t>Authorization to import imported raw material for the manufacture of biofuels</t>
  </si>
  <si>
    <t>http://antigo.mme.gov.br/documents/36074/1045888/Resolu%C3%A7%C3%A3o+CNPE+N%C2%BA+9_2020.pdf/0635580f-73bf-038c-ee6c-7e8f6810d91c; https://www.biodieselbr.com/noticias/usinas/info/liberacao-da-importacao-de-biodiesel-preocupa-abiove-241120</t>
  </si>
  <si>
    <t>BRA55</t>
  </si>
  <si>
    <t>The Ministry of Mines and Energy (MME) approved the National Energy Plan 2050</t>
  </si>
  <si>
    <t>https://www.epe.gov.br/pt/publicacoes-dados-abertos/publicacoes/Plano-Nacional-de-Energia-2050</t>
  </si>
  <si>
    <t>BRA56</t>
  </si>
  <si>
    <t>Transfer from the Conta-Covid fund to the creditors of Amazonas ENergia</t>
  </si>
  <si>
    <t>https://www.aneel.gov.br/sala-de-imprensa-exibicao-2/-/asset_publisher/zXQREz8EVlZ6/content/autorizado-repasse-direto-de-recursos-da-conta-covid-para-credores-da-amazonas-energia/656877?inheritRedirect=false&amp;redirect=, https://www.aneel.gov.br/sala-de-imprensa-exibicao-2%3Fp_p_id%3D101_INSTANCE_zXQREz8EVlZ6%26p_p_lifecycle%3D0%26p_p_state%3Dnormal%26p_p_mode%3Dview%26p_p_col_id%3Dcolumn-2%26p_p_col_pos%3D1</t>
  </si>
  <si>
    <t>BRA57</t>
  </si>
  <si>
    <t>BNDES invests in improving electricity services for 14 million people</t>
  </si>
  <si>
    <t>https://www.bndes.gov.br/wps/portal/site/home/imprensa/noticias/conteudo/bndes-investe-na-melhoria-de-servicos-de-energia-eletrica-para-14-milhoes/!ut/p/z1/vVbJUuMwEP0WDjkKy7a8ZG4mZIEYQtjxJSVLcqIpWzKSkgzz9SMHqGKLUxQwuThud7_Xer3YTubcOpnAKz7HhkuBS3t_l4WztDvuj9AEpjC4RDA59CN0FfXhOPacm40D3PJLoJNtj0cD6Fw7mZMRYWqzcO5yQZmecaENN0uyyaADF7JiHcirWjGhcQcKaTjhWHcgkcKwJZUduAkEXKyYNgwIDCpWLqTiGFAGNFMrTqRu_jPB1NyaWcmM4gSDGisMXAQqbgOYbrKpCafOnR8iFCBMAC2KHKCwiEHuFQzEqIhi2s0DQp5P3yJP1i5Oa3wjT9YOf_zaYXgOXZgE40FyfTj2h0nU1M9TJ72TuT0WNgsrUSGd20ZhtST2vIDKtSglpsDKywRZ8IoJI0FdYmEVwTaActJI-lgO_hcTLN_xnp0OLO_0AA77yJ2M3S28ipV4w0pk9VQtTqWyslt__vv-PktsMzRV_WOc25Zu2ABh-Q7n6cmHFK1aQQ99NgejsNC2faxq3LZl0YToGWUzxchSafmOcXI-imGS9tLLs0EMYTfYolLJ5lxvzvftKVnbUtDmWnPrqFndgS_oHhOOpsPeKEFuOjkNBnDqnoXHgyD0w6n32Xwex7LxtENGpJLNblFLS18xyinWgFV2Hjfpcv3SY4s0O8NumgF-JfqR34fJqJcGqD92h13_yaFtY-3aWW8choepZ-tqtRpMT4f9xHPu7FhH2-fWd25WnK2dKyFVZZfsxSe3zgjuYJh4X2TYAR_8LHz0o_AIfRH-eNdW_uSU_K9X28cj9X34rbKjgbtd9iiEXUgoBaGLIEAQe6AbhBREBcbIs09Dkr-DvzjwLXx0FKTDLhx50TfDv87-OvxZ-OBn4b8qzvGulfjllm8o5qXMH785E5H7se1TxQqmmNpfKmteGFPrXx3Ygev1en-Dvj-Xq_1cWUvdvNOkMg2H5oa1MH2Av5DaJvwW1qmrqyr2HzjI8qBcpcWJiR_8clXdxKZ7xM-qXh6f9P1gXs2eLybIX94-W5uw-d7ePzH8k9U!/dz/d5/L2dBISEvZ0FBIS9nQSEh/</t>
  </si>
  <si>
    <t>BRA58</t>
  </si>
  <si>
    <t>BNDES approves financing for national manufacturer of blades for wind generators</t>
  </si>
  <si>
    <t>https://www.bndes.gov.br/wps/portal/site/home/imprensa/noticias/conteudo/bndes-aprova-financiamento-para-fabricante-nacional-de-pas-para-geradores-eolicos/!ut/p/z1/vVZbc6IwFP4t-8AjEu64b9R6aaVVe5cXJyQBswMJDVG3--s3oJ1ta8XptF1fGE7O-b6T71zQiI0HI2ZwTTMoKWcwV-_z2FtE3XF_5ExABNwbB4Sntu_c-n0wDizjvnEAB34hMOLD8c4AGHdGbMSIyVIujXnCMKkWlFWSyhVqMtDAkhdEA7QoBWEV1ADjkiIKKw0gziRZYa6BJlCHpeBrqKeUQaY8CsIk10solAkmgiKo3HUGt8A6Juqs2p5nREDMhcIgPKeIV3VWJaLYmHumnQRpl-i2abu6E6SJDiFGumdjD6YBwVbq7lRokSluF6k1vpYpboc_f-0wvAImCN3xILw7HdvD0K_raImL3kWmrgXlUqcs5cZDrbRYIa7ujfmG5RxiXclMGFrSnXo5ZDRfQhWAKfqnHv0DEeR7vNPLgeKdnYBh3zEnY_MAryA5bFgRL5RpTVTBG_lrf_rr8TEOVVPU1f0tjYeWrmiAIN_D2Z28S9GqFbCcj-YgBWSV6iJS95wG0jqkWmCyEAStRMX3GCdXowCEUS-6mQ4CALruAZVyktGqud-Xp6RsK4brZ0mVY0VKDbyg2ybsz4a9UeiY0eTSHYCZOfXOB65nezPro_lsx7P2VLOGuOD1jhErRV8QTLGaQlIQkTXp0uqlxwFpjobd1wP8SvQzuw_CUS9ynf7YHHbtnUPb5jq2u944DE8jS9VVaTWYXQ77oWXM1Vj7h-fWNu7XlGyMW8ZFoZbt9Qe3zggcYZhYn2Q4Au9-L7z_rfCO80n482Nb-YNT8r8_ce-P1tfztJbBGZiHy-B7oAsQxrpnOkB3ALT0ruth3U8hdCx16qFkD_76xFbw_pkbDbtgZPlfDP86-zvve-Hd74X_rDjnx1bkp0egpshynmz_i4YssQPVr4KkRBDRWQllXkpZVj81oIHNZtNp0DsZX3cSoSxl_Y3jQtYcFZWkhekd_CWvVMJvYY2yuC0C-4nqceLm6yi9kMGTna-L-0B2z-i06CXBRd92s2Lx_JBu8vL12VqHZT9-_AWNOdGa/dz/d5/L2dBISEvZ0FBIS9nQSEh/</t>
  </si>
  <si>
    <t>BRA59</t>
  </si>
  <si>
    <t>Working group for monitoring areas and assets for oil and gas exploration</t>
  </si>
  <si>
    <t>http://antigo.mme.gov.br/documents/36074/1045888/Resolu%C3%A7%C3%A3o_01_CNPE_GT_AJB.pdf/40c3f48c-fd30-df2f-f8d5-1a4875b66627</t>
  </si>
  <si>
    <t>BRA60</t>
  </si>
  <si>
    <t>Changes to the Oil and Natural Gas Exploration and Production Policy</t>
  </si>
  <si>
    <t>http://antigo.mme.gov.br/documents/36074/1045888/Resolu%C3%A7%C3%A3o_CNPE_3_2020.pdf/c9401c5b-11b4-e53a-7cef-a6a4838f8d29</t>
  </si>
  <si>
    <t>BRA61</t>
  </si>
  <si>
    <t>Reduction of royalties to up to five percent, for fields granted to small or medium-sized companies, classified according to the criteria established by the National Petroleum Agency.</t>
  </si>
  <si>
    <t>http://antigo.mme.gov.br/documents/36074/1045888/Resolu%C3%A7%C3%A3o_CNPE_4_2020.pdf/12636987-c33d-7573-539d-446609e1c122</t>
  </si>
  <si>
    <t>BRA62</t>
  </si>
  <si>
    <t>Institutes the Committee for the Revitalization of Exploration and Production Activities for Oil and Natural Gas in Land Areas.</t>
  </si>
  <si>
    <t>http://antigo.mme.gov.br/documents/36074/1045888/Resolu%C3%A7%C3%A3o_5_CNPE_Alt_Res_27-2019.pdf/2a295dca-e75b-86f1-bfbc-2517fd787b1e</t>
  </si>
  <si>
    <t>BRA63</t>
  </si>
  <si>
    <t>Resolution approved to authorize the possible extension of the term of the concession contracts resulting from bids for oil and gas blocks carried out since 1999.</t>
  </si>
  <si>
    <t>http://antigo.mme.gov.br/documents/36074/1045888/Resolu%C3%A7%C3%A3o_6_CNPE_Prorroga%C3%A7%C3%A3o_Contratos.pdf/d672337f-96c1-6452-dd21-bcb864a96ed2</t>
  </si>
  <si>
    <t>BRA64</t>
  </si>
  <si>
    <t>Authorizes the National Agency of Petroleum, Natural Gas and Biofuels ANP to hold Bidding Rounds for concession blocks for exploration and production of oil and natural gas, in the years 2021 and 2022</t>
  </si>
  <si>
    <t>http://antigo.mme.gov.br/documents/36074/1045888/Resolu%C3%A7%C3%A3o_7_CNPE_Altera_Res_10_2018.pdf/e5f41478-6eab-e2a5-83a5-f182c0913677</t>
  </si>
  <si>
    <t>BRA65</t>
  </si>
  <si>
    <t>privatization (via capitalization) of Eletrobras, an SOE in the electricity generation and distribution industries which has around 30 and 38% market share, respectively.  The privatization may affect GHGs emissions either positively or negatively</t>
  </si>
  <si>
    <t>https://www.in.gov.br/web/dou/-/lei-n-14.182-de-12-de-julho-de-2021-331549377  ;  https://www.gov.br/economia/pt-br/centrais-de-conteudo/apresentacoes/2021/junho/eletrobras-20jun21-v2-versao2.pdf/view</t>
  </si>
  <si>
    <t>https://valor.globo.com/politica/noticia/2021/06/21/camara-aprova-texto-base-da-mp-da-eletrobras.ghtml  ;  https://valor.globo.com/brasil/noticia/2021/07/13/bolsonaro-sanciona-com-vetos-mp-de-privatizao-da-eletrobras.ghtml</t>
  </si>
  <si>
    <t>CAN1</t>
  </si>
  <si>
    <t>CAD 1.72 billion</t>
  </si>
  <si>
    <t xml:space="preserve">Cleaning up orphan and inactive oil and gas wells.
Specific to the Covid-19 economic response plan, the Canadian federal government is providing up to CAD 1.72 billion to the governments of Alberta, Saskatchewan and BC and to the AB orphan well association to clean up orphan and inactive oil and gas wells, helping to maintain approximately 5 200 jobs in AB alone. 
</t>
  </si>
  <si>
    <t>https://www.canada.ca/en/department-finance/economic-response-plan.html#energy</t>
  </si>
  <si>
    <t xml:space="preserve">https://www.canada.ca/en/natural-resources-canada/news/2020/09/cleaning-up-dormant-oil-and-gas-wells-supporting-1200-jobs-in-bc9.html </t>
  </si>
  <si>
    <t>CAD</t>
  </si>
  <si>
    <t>CAN2</t>
  </si>
  <si>
    <t>CAD 65 billion (up to)</t>
  </si>
  <si>
    <t xml:space="preserve">On 21 April, the Canadian Federal Government also launched the Business Credit Availability Program for medium-sized businesses, including those in the energy sector, to help maintain operations and keep employees on the job. The program will provide up to CAD 65 billion in direct lending but in market terms (no preferential rate). </t>
  </si>
  <si>
    <t>https://www.fasken.com/en/knowledge/2020/04/17-covid-19-aid-package-to-the-canadian-oil-and-gas-industry/</t>
  </si>
  <si>
    <t>CAN3</t>
  </si>
  <si>
    <t>Up to CAD 750 million</t>
  </si>
  <si>
    <t>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</si>
  <si>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https://www.nrcan.gc.ca/science-data/funding-partnerships/funding-opportunities/current-funding-opportunities/emissions-reduction-fund/22781</t>
  </si>
  <si>
    <t>CAN4</t>
  </si>
  <si>
    <t>50 million (initially)</t>
  </si>
  <si>
    <t>We launched the Surplus Food Purchase Program with an initial $50 million fund designed to help redistribute existing and unsold inventories, which could include products such as potatoes and poultry, to local food organizations who are serving vulnerable Canadians.</t>
  </si>
  <si>
    <t>https://www.agr.gc.ca/eng/agricultural-programs-and-services/surplus-food-rescue-program/?id=1591298974329</t>
  </si>
  <si>
    <t>CAN5</t>
  </si>
  <si>
    <t>CAD 330 million</t>
  </si>
  <si>
    <t>We are waiving ground lease rents from March 2020 through to December 2020 for the 21 airport authorities that pay rent to the federal government. We are also providing comparable treatment for PortsToronto, which operates Billy Bishop Toronto City Airport and pays a charge to the federal government.</t>
  </si>
  <si>
    <t>https://www.canada.ca/en/department-finance/economic-response-plan.html</t>
  </si>
  <si>
    <t>https://climateactiontracker.org/countries/canada/</t>
  </si>
  <si>
    <t>CAN6</t>
  </si>
  <si>
    <t>Up to CAD 22.7 million</t>
  </si>
  <si>
    <t>We are providing up to $17.3 million to the governments of Yukon, Northwest Territories, and Nunavut to support critical air services to Northern and remote communities, in partnership with investments by the territorial governments, to ensure the continued supply of food, medical supplies, and other essential goods and services to remote and fly-in communities.</t>
  </si>
  <si>
    <t>CAN7</t>
  </si>
  <si>
    <t>We will work with tourism operators in national parks, historic sites, and marine conservation areas to defer payments on commercial leases and licences of occupation without interest until September 1, 2020.
In addition, we will waive up to 75 percent of eligible commercial rents for the months of April, May and June 2020 or equivalent amounts of annual rents.</t>
  </si>
  <si>
    <t>CAN8</t>
  </si>
  <si>
    <t>CAD 2.2 billion</t>
  </si>
  <si>
    <t>We are accelerating $2.2 billion in annual federal infrastructure funding for communities through the Gas Tax Fund. The funding will be delivered in one payment in June will help communities quickly move forward with infrastructure projects that will improve our quality of life and help restart local economies. Communities have flexibility to use the funding to meet their local needs. Projects could include access to high-speed broadband, improvements to water and road systems, and the building of cycling and walking paths.</t>
  </si>
  <si>
    <t>https://www.infrastructure.gc.ca/plan/gtf-fte-eng.html</t>
  </si>
  <si>
    <t>CAN9</t>
  </si>
  <si>
    <t>CAD 113 million</t>
  </si>
  <si>
    <t>(Alberta-specific) Alberta Energy Regulator industry levy for a 6 months, achieving $113 million in industry relief.</t>
  </si>
  <si>
    <t>https://www.alberta.ca/relief-for-the-energy-sector.aspx</t>
  </si>
  <si>
    <t>CAN10</t>
  </si>
  <si>
    <t>(Alberta-specific) Extending the term of mineral agreements expiring between March 20, 2020 and March 31, 2021 by 1 year to provide increased certainty for industry by allowing additional time to raise capital and plan future activities.</t>
  </si>
  <si>
    <t>CAN11</t>
  </si>
  <si>
    <t>CAD 1 billion</t>
  </si>
  <si>
    <t>(Alberta-specific, with federal funding) Advancing strategic infrastructure investments, including participation in the Canada Infrastructure Bank’s potential $1 billion project that would develop high-speed rail between Calgary and Banff.</t>
  </si>
  <si>
    <t>https://www.alberta.ca/recovery-plan.aspx#economy</t>
  </si>
  <si>
    <t>CAN12</t>
  </si>
  <si>
    <t>(Alberta-specific) Support to air transport:
- Seeking partnerships to grow and expand remotely piloted aircraft systems by leveraging assets such as the aircraft testing range in Foremost
- Promoting Alberta’s position as a growing hub for logistics, including the significant scope to grow services in both Edmonton and Calgary
- Enacting regulatory changes that  permit increased airline traffic and services in Alberta, including expansion by WestJet, and other airlines that have a significant presence and focus in Alberta, such as Swoop and Flair
- Working with post-secondary institutions and private sector investors to address the massive shortage in trained pilots and maintenance personnel within the aviation sector</t>
  </si>
  <si>
    <t>CAN13</t>
  </si>
  <si>
    <t>(Saskatchewan) Provincial relief measures by the Government of Saskatchewan include:
Extending a series of filing and other deadlines to assist the oil and gas sector in stabilizing operations, as their employees transition to working from home.  These extensions do not impact health or environmental safety and apply to routine reporting activities, which will be addressed when the sector returns to normal operations.
Extending mineral rights, scheduled to expire in 2020, by one year.  This includes rights granted under the terms of an oil and gas lease, exploration license or permit.  The extension will provide oil and gas disposition holders with the time necessary to properly evaluate their properties once the current situation stabilizes.
Reducing the industry portion of the Oil and Gas Administrative Levy by 50 per cent this fiscal year and delaying the invoicing of the remaining balance until October 1, 2020.  This will provide the sector with relief of $11.4 million to address immediate liquidity challenges. (It is important to note that unlike other sectors, the oil and gas sector pays for 90 per cent of its own regulatory costs).</t>
  </si>
  <si>
    <t>https://www.saskatchewan.ca/government/news-and-media/2020/april/14/oil-industry-support</t>
  </si>
  <si>
    <t>CAN14</t>
  </si>
  <si>
    <t>CAD 200 million</t>
  </si>
  <si>
    <t>We have increased the Canadian Dairy Commission’s borrowing limit by $200 million to support costs associated with the temporary storage of cheese and butter to avoid food waste.</t>
  </si>
  <si>
    <t>CAN15</t>
  </si>
  <si>
    <t>CAD 62.5 million</t>
  </si>
  <si>
    <t>We are providing $62.5 million of new assistance to the fish and seafood processing sector through the Canadian Seafood Stabilization Fund.
This will help businesses:
add storage capacity for unsold product;
comply with new health and safety measures for workers;
support new manufacturing/automated technologies to improve productivity and quality of finished seafood products; and,
adapt products to respond to changing requirements and new market demands.
Regional Development Agencies are now accepting applications to the Fund.</t>
  </si>
  <si>
    <t>CAN16</t>
  </si>
  <si>
    <t>CAD 3 billion</t>
  </si>
  <si>
    <t>The new stream (part of the CAD 33 billion Investing in Canada Infrastructure Program) will support the following types of projects:
Retrofits, repairs and upgrades for municipal, territorial, provincial and Indigenous buildings, health infrastructure and schools;
COVID-19 response infrastructure, including measures to support physical distancing;
Active transportation infrastructure, including parks, trails, foot bridges, bike lanes and multi-use paths;
Disaster mitigation and adaptation projects, including natural infrastructure, flood and fire mitigation, and tree planting and related infrastructure; and
Ventilation improvements projects.
The stream supports near-term, quick- start projects and projects must respect the following timeframes:
Construction must start no later than September 30, 2023; and,
Projects must be completed by the end of 2023, or by the end of 2024 in the territories and in remote communities.</t>
  </si>
  <si>
    <t>https://www.infrastructure.gc.ca/plan/covid-19-resilience-eng.html</t>
  </si>
  <si>
    <t>CAN17</t>
  </si>
  <si>
    <t>CAD 320 million</t>
  </si>
  <si>
    <t>Air pollution</t>
  </si>
  <si>
    <t>We are providing $320 million in funding, towards an agreement with the Newfoundland and Labrador government, to support Canadians with offshore energy jobs. This agreement will allow the province to support workers through activities such as safety improvements, maintenance and upgrades of existing facilities, and research and development.</t>
  </si>
  <si>
    <t>https://www.cbc.ca/news/canada/newfoundland-labrador/offshore-announcement-o-regan-furey-1.5738954</t>
  </si>
  <si>
    <t>CAN18</t>
  </si>
  <si>
    <t>CAD 2.3 billion</t>
  </si>
  <si>
    <t>the Government of Canada will also cost-match more than $2.3 billion to support any additional provincial/territorial contributions for public transit.</t>
  </si>
  <si>
    <t>https://www.canada.ca/en/intergovernmental-affairs/services/safe-restart-agreement.html</t>
  </si>
  <si>
    <t>https://montreal.ctvnews.ca/provincial-federal-governments-announce-2-3-billion-for-cities-and-public-transit-1.5120417</t>
  </si>
  <si>
    <t>CAN19</t>
  </si>
  <si>
    <t>CAD 469 million</t>
  </si>
  <si>
    <t>Support for Canada’s Fish Harvesters</t>
  </si>
  <si>
    <t>https://www.canada.ca/en/department-finance/economic-response-plan/fiscal-summary.html</t>
  </si>
  <si>
    <t>CAN20</t>
  </si>
  <si>
    <t>CAD 30 million</t>
  </si>
  <si>
    <t>Emergency Funding for Safety Measures in Forest Operations</t>
  </si>
  <si>
    <t>Energy Policy Tracker</t>
  </si>
  <si>
    <t>CAN21</t>
  </si>
  <si>
    <t>CAD 53 million</t>
  </si>
  <si>
    <t>Develop and implement the National Ecosystem Fund to support Black-led business organizations across the country</t>
  </si>
  <si>
    <t>CAN22</t>
  </si>
  <si>
    <t>CAD 141.5 million</t>
  </si>
  <si>
    <t>(Alberta) Investments from the Technology Innovation and Emissions Reduction (TIER) fund for carbon capture and storage and emissions reductions projects. Objective: Reduce methane emissions, cut costs for industry and get Albertans back to work.</t>
  </si>
  <si>
    <t>https://www.alberta.ca/release.cfm?xID=7329228BE88D1-0322-5F49-C6C11B795F47B4C0
https://www.alberta.ca/release.cfm?xID=73318C6591C57-0E3B-1147-1811898B8A0131A5 Accessed 28 September 2020</t>
  </si>
  <si>
    <t>CAN23</t>
  </si>
  <si>
    <t>CAD 64.4 million</t>
  </si>
  <si>
    <t>(Ontario) Provincial investment in modern, green public transit for residents of Oakville, Brampton, and Sault Ste-Marie</t>
  </si>
  <si>
    <t>https://www.canada.ca/en/office-infrastructure/news/2020/07/backgrounder-canada-and-ontario-invest-in-modern-green-public-transit-for-residents-of-oakville.htm, , https://www.canada.ca/en/office-infrastructure/news/2020/07/backgrounder-canada-and-ontario-invest-in-sustainable-public-transit-to-support-residents-of-sault-ste-marie.html Accessed 1 August 2020; https://www.canada.ca/en/office-infrastructure/news/2020/07/backgrounder-canada-and-ontario-invest-in-sustainable-public-transit-for-brampton-residents.html Accessed 1 August 2020</t>
  </si>
  <si>
    <t>CAN24</t>
  </si>
  <si>
    <t>CAD 58 million</t>
  </si>
  <si>
    <t>(Alberta) Incent investment in innovation for methane emissions reductions - Exploration or production or processing or storage or transportation</t>
  </si>
  <si>
    <t>https://www.alberta.ca/release.cfm?xID=728627405CE2F-953D-C71A-39908B074E8213CE Accessed 21 July 2020</t>
  </si>
  <si>
    <t>CAN25</t>
  </si>
  <si>
    <t>CAD 50 million</t>
  </si>
  <si>
    <t>(Alberta) Grants for energy efficiency projects and emissions reduction`(research, innovation in technologies to reduce methane emissions and improve industrial energy efficiency)</t>
  </si>
  <si>
    <t>https://www.alberta.ca/release.cfm?xID=745642FF8ABED-9314-3005-E8D65AF4E905EAB2 Accessed 3 November 2020</t>
  </si>
  <si>
    <t>CAN26</t>
  </si>
  <si>
    <t>CAD 2.9 billion</t>
  </si>
  <si>
    <t>(Ontario) Securing power plant ownership under the provincial crown corporation in order to provide electricity</t>
  </si>
  <si>
    <t>https://www.opg.com/media_release/opg-subsidiary-atura-power-finalizes-acquisition-of-natural-gas-assets/ Accessed 11 May 2020</t>
  </si>
  <si>
    <t>CAN27</t>
  </si>
  <si>
    <t>CAD 295 million</t>
  </si>
  <si>
    <t>(Ontario) Provincial funding for battery electric vehicle production at Ford Canada&amp;#8217;s Oakville Assembly Complex</t>
  </si>
  <si>
    <t>https://news.ontario.ca/en/release/58736/historic-ford-canada-investment-transforming-ontario-into-global-electric-vehicle-manufacturing-hub Accessed 13 October 2020</t>
  </si>
  <si>
    <t>CAN28</t>
  </si>
  <si>
    <t>CAD 70 million</t>
  </si>
  <si>
    <t>(Quebec) Support for production and distribution of renewable natural gas-Reduce GHG emissions in natural gas networks and support local industry</t>
  </si>
  <si>
    <t>https://mern.gouv.qc.ca/gouvernement-quebec-attribue-70-m-soutenir-gaz-naturel-renouvelable-2020-07-07/ Accessed 15  July 2020</t>
  </si>
  <si>
    <t>CAN29</t>
  </si>
  <si>
    <t>CAD 16.67 million</t>
  </si>
  <si>
    <t>(Prince Edward Island) Supporting clean electricity investments in the western part of the island</t>
  </si>
  <si>
    <t>https://www.canada.ca/en/office-infrastructure/news/2020/07/canada-and-prince-edward-island-invest-in-new-transmission-line-to-support-wind-energy-production.html Accessed 1 August 2020</t>
  </si>
  <si>
    <t>CAN30</t>
  </si>
  <si>
    <t>CAD 18 million</t>
  </si>
  <si>
    <t>(British Columbia) Green energy infrastructure and transportation investment matching funding</t>
  </si>
  <si>
    <t>https://www.canada.ca/en/office-infrastructure/news/2020/09/backgrounder-canada-and-british-columbia-invest-in-green-energy-solutions.html Accessed 28 September 2020</t>
  </si>
  <si>
    <t>CAN31</t>
  </si>
  <si>
    <t>CAD 6 billion</t>
  </si>
  <si>
    <t>(Alberta) Increasing Alberta's takeaway capacity and access to international markets</t>
  </si>
  <si>
    <t>https://www.alberta.ca/investing-in-keystone-xl-pipeline.aspx Accessed 8 July 2020</t>
  </si>
  <si>
    <t>CAN32</t>
  </si>
  <si>
    <t>CAD 80 million</t>
  </si>
  <si>
    <t xml:space="preserve">(Alberta) Reduce fiscal burdens for energy sector. </t>
  </si>
  <si>
    <t xml:space="preserve">https://www.alberta.ca/release.cfm?xID=7450191EACDD1-D715-3078-59DF6480E106FC9E Accessed 26 October 2020 </t>
  </si>
  <si>
    <t>CAN33</t>
  </si>
  <si>
    <t>CAD 32 million</t>
  </si>
  <si>
    <t>(Newfoundland and Labrador) Support initiatives to develop the province's oil and gas industry</t>
  </si>
  <si>
    <t>https://www.gov.nl.ca/budget/2020/wp-content/uploads/sites/3/2020/09/Innovation-Industry-Development.pdf Accessed 5 October 2020</t>
  </si>
  <si>
    <t>CAN34</t>
  </si>
  <si>
    <t>(Saskatchewan): I) Postponed deadline for companies to report GHG emissions; ii) deferral environmental reporting requirements; iii) suspension of penaltities for oils/gas companis; iv) enforcement flexibility for companies breaching environmental regulations</t>
  </si>
  <si>
    <t>https://www.saskatchewan.ca/government/health-care-administration-and-provider-resources/treatment-procedures-and-guidelines/emerging-public-health-issues/2019-novel-coronavirus/covid-19-information-for-businesses-and-workers Accessed 17 June 2020</t>
  </si>
  <si>
    <t>CAN35</t>
  </si>
  <si>
    <t>(Nova Scotia) Fee deferrals for air pollution and onshore petroleum drilling applications until June 30</t>
  </si>
  <si>
    <t>https://novascotia.ca/coronavirus/fees/ Accessed 17 June 2020</t>
  </si>
  <si>
    <t>CAN36</t>
  </si>
  <si>
    <t>(British Columbia): i) Increased flexibility in environmental reporting; ii) Decrease in natural gas levy; III) Deferral of carbon tax and fuel tax payments; iv) Delay in British Columbia carbon tax increase</t>
  </si>
  <si>
    <t>https://www2.gov.bc.ca/gov/content/environment/natural-resource-stewardship/natural-resource-law-enforcement/environmental-compliance/compliance-covid-19 Accessed 17 June 2020; https://www.bcogc.ca/news/natural-gas-levy-rate-change-indb-2020-13/ Accessed 17 June 2020</t>
  </si>
  <si>
    <t>CAN37</t>
  </si>
  <si>
    <t>(Alberta): i) Temporary suspension of reporting requirement for companies exceeding certain air quality guidelines; ii) Deadline extension for large, industrial GHG emitters to submit compliance reports and emissions reduction plans; iii) Reduction of environmental protections to prevent coal mining in the Foothills and Rockies; iv) Suspension of additional reporting requirements for oil, gas and coal companies; v) Utility bill payment deferral for electricity and natural gas for select consumers; vi) Extensions for oil and gas tenures by one year; vii) Temporary 90% reduction of the operating budget of Canadian Energy Centre; viii) Suspension of certain environmental reporting requirements for the Environmental Protection and Enhancement Act (EPEA), the Water Act and the Public Lands Act</t>
  </si>
  <si>
    <t xml:space="preserve">https://open.alberta.ca/publications/ministerial-order-15-2020-environment-and-parks  Accessed 17 June 2020; https://web.archive.org/web/20200704000544/, https://www.alberta.ca/release.cfm?xID=72670D5511C29-EB2E-3C4B-BAF86938580C3532; https://www.aer.ca/documents/news-releases/IndustryMeasures_Table.pdf Accessed 16 June 2020
</t>
  </si>
  <si>
    <t>CAN38</t>
  </si>
  <si>
    <t>(Newfoundland and Labrador): Extension of fuel tax exemption permits</t>
  </si>
  <si>
    <t>https://www.gov.nl.ca/releases/2020/fin/0330n03/ Accessed 16 June 2020</t>
  </si>
  <si>
    <t>CAN39</t>
  </si>
  <si>
    <t>(Ontario): Fixed electricity price for all time-of-use electricity customers; Deferral of Global Adjustment charges for industrial and commercial electricity consumers</t>
  </si>
  <si>
    <t>https://news.ontario.ca/mndmf/en/2020/05/ontario-provides-consumers-with-greater-stability-and-predictability-with-their-electricity-bills.html Accessed 1 June 2020; https://news.ontario.ca/mndmf/en/2020/05/ontario-providing-support-for-industrial-and-commercial-electricity-consumers-during-covid-19.html Accessed 6 May 2020
, http://www.ieso.ca/en/Learn/Electricity-Pricing/What-is-Global-Adjustment Accessed 6 May 2020</t>
  </si>
  <si>
    <t>CAN40</t>
  </si>
  <si>
    <t>CAD 2.5 billion</t>
  </si>
  <si>
    <t xml:space="preserve">Within the framework of the Canada Infrastructure  Bank’s (CIB) Growth Plan, this initiative focuses on clean power to support renewable generation and storage and to  transmit clean electricity between provinces, territories, and regions, including to  northern and Indigenous communities. </t>
  </si>
  <si>
    <t>https://cib-bic.ca/en/the-canada-infrastructure-bank-announces-a-plan-to-create-jobs-and-grow-the-economy/</t>
  </si>
  <si>
    <t>CAN41</t>
  </si>
  <si>
    <t>CAD 2 billion</t>
  </si>
  <si>
    <t xml:space="preserve">Investment  in large-scale building retrofits to increase energy efficiency  and help make communities more sustainable (Financing from the Canada's Infrastructure Bank's (CIB) Growth Plan)  </t>
  </si>
  <si>
    <t>CAN42</t>
  </si>
  <si>
    <t>CAD 1.5 billion</t>
  </si>
  <si>
    <t>Agriculture irrigation projects to help the agriculture sector enhance production, strengthen Canada’s food security, and expand export  opportunities (Financing from the Canada's Infrastructure Bank's (CIB) Growth Plan)  .</t>
  </si>
  <si>
    <t>CAN43</t>
  </si>
  <si>
    <t>Accelerate the adoption of zero-emission buses and charging  infrastructure so Canadians can have cleaner commutes (Financing from the Canada's Infrastructure Bank's (CIB) Growth Plan).</t>
  </si>
  <si>
    <t>CAN44</t>
  </si>
  <si>
    <t>CAD 300 million</t>
  </si>
  <si>
    <t>Second phase of Community Efficiency Financing initiative. Help homeowners cut their energy bills and emissions and keep the local economy moving</t>
  </si>
  <si>
    <t>https://www.canada.ca/en/office-infrastructure/news/2020/06/new-initiative-to-help-homeowners-cut-their-energy-bills-and-emissions-and-keep-the-local-economy-moving.html Accessed 10  July 2020</t>
  </si>
  <si>
    <t>CAN45</t>
  </si>
  <si>
    <t xml:space="preserve">Federal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t>
  </si>
  <si>
    <t>CAN46</t>
  </si>
  <si>
    <t>CAD 251.1 million</t>
  </si>
  <si>
    <t>Infrastructure Canada - Funding infrastructure projects for Canadians</t>
  </si>
  <si>
    <t>https://open.canada.ca/data/en/dataset/beee0771-dab9-4be8-9b80-f8e8b3fdfd9d Last accessed 5 October 2020</t>
  </si>
  <si>
    <t>CAN47</t>
  </si>
  <si>
    <t>CAD 57.128</t>
  </si>
  <si>
    <t>Infrastructure Canada project funding for renewable green energy projects since March 2020</t>
  </si>
  <si>
    <t>https://open.canada.ca/data/en/dataset/beee0771-dab9-4be8-9b80-f8e8b3fdfd9d Last accessed 1 September 2020</t>
  </si>
  <si>
    <t>CAN48</t>
  </si>
  <si>
    <t>CAD 26.5 million</t>
  </si>
  <si>
    <t>Infrastructure Canada project funding for active transportation since March 2020</t>
  </si>
  <si>
    <t>CAN49</t>
  </si>
  <si>
    <t>CAD 100 million</t>
  </si>
  <si>
    <t>Natural Resources Canada - Low Carbon Economy Fund investment in Alberta</t>
  </si>
  <si>
    <t xml:space="preserve">https://www.canada.ca/en/environment-climate-change/news/2020/11/government-of-canada-announces-over-100m-to-spur-job-creation-in-alberta-and-fight-climate-change.html Accessed 10 November 2020. </t>
  </si>
  <si>
    <t>CAN50</t>
  </si>
  <si>
    <t xml:space="preserve">Support oil and gas sector to rebound, create good jobs for workers and reduce its carbon footprint. </t>
  </si>
  <si>
    <t>https://www.canada.ca/en/innovation-science-economic-development/news/2020/10/government-of-canada-invests-in-clean-technology-ecosystems.html Accessed 27 October 2020.</t>
  </si>
  <si>
    <t>CAN51</t>
  </si>
  <si>
    <t>CAD 93 million</t>
  </si>
  <si>
    <t>Government of Alberta - Loan guarantee for investment in Clean Resource Innovation Network, exploration or production or processing or storage or transportation</t>
  </si>
  <si>
    <t xml:space="preserve">https://www.theaioc.com/about/news/alberta-indigenous-opportunities-corporation-announces-first-participation-in-cascade-power-project/
</t>
  </si>
  <si>
    <t>CAN52</t>
  </si>
  <si>
    <t>CAD 18.3 million</t>
  </si>
  <si>
    <t>Funding for South Baffin Energy Management Project</t>
  </si>
  <si>
    <t>https://www.canada.ca/en/environment-climate-change/news/2020/08/government-of-canada-partners-with-nunavut-for-renewable-and-energy-efficiency-projects.html Accessed 25 August 2020</t>
  </si>
  <si>
    <t>CAN53</t>
  </si>
  <si>
    <t>CAD 17 million</t>
  </si>
  <si>
    <t>(Manitoba&amp;Saskatchewan - Funding for school energy efficiency and retrofits-Environment and Climate Change Canada</t>
  </si>
  <si>
    <t>https://www.canada.ca/en/environment-climate-change/news/2020/09/canada-supports-energy-efficiency-projects-in-saskatchewan-schools.html
, https://www.canada.ca/en/environment-climate-change/news/2020/09/canada-supports-energy-efficiency-projects-in-manitoba-schools.html
, https://www.canada.ca/en/environment-climate-change/services/climate-change/carbon-pollution-pricing-proceeds-programming/climate-action-incentive-fund/municipalities-universities-schools-hospitals.html Accessed 21 September 2020</t>
  </si>
  <si>
    <t>CAN54</t>
  </si>
  <si>
    <t>CAD 16.2 million</t>
  </si>
  <si>
    <t>SDTC funding for cleantech projects for energy efficiency and low-emissions vehicle cleantech projects</t>
  </si>
  <si>
    <t>https://www.canada.ca/en/innovation-science-economic-development/news/2020/09/list-of-cleantech-projects-receiving-funding-from-sustainable-development-technology-canada-sdtc.html Accessed 21 September 2020</t>
  </si>
  <si>
    <t>CAN55</t>
  </si>
  <si>
    <t>CAD 15.7 milllion</t>
  </si>
  <si>
    <t>Funding for the conversion of the aluminum plant's anode baking furnaces (Aluminerie Alouette) from fuel oil to liquefied natural gas.</t>
  </si>
  <si>
    <t xml:space="preserve">http://www.fil-information.gouv.qc.ca/Pages/Article.aspx?Page=2&amp;idArticle=2810232141 Accessed 26 October 2020. </t>
  </si>
  <si>
    <t>CAN56</t>
  </si>
  <si>
    <t>CAD 12 million</t>
  </si>
  <si>
    <t xml:space="preserve">(BC and/or Alberta) Indigenous Natural Resources Partnership in the field of exploration or production or processing or storage or transportation- Increase the participation of Indigenous communities and organizations in oil and gas infrastructure development. </t>
  </si>
  <si>
    <t>https://www.canada.ca/en/natural-resources-canada/news/2020/11/government-of-canada-extends-funding-to-increase-indigenous-participation-in-oil-and-gas-infrastructure-development.html
, https://www.nrcan.gc.ca/our-natural-resources/indigenous-natural-resources/indigenous-natural-resource-partnerships/22197</t>
  </si>
  <si>
    <t>CAN57</t>
  </si>
  <si>
    <t>CAD 10 million</t>
  </si>
  <si>
    <t>(Ontario) FedDev Ontario investment in biodiesel - exploration or production or processing or storage or transportation</t>
  </si>
  <si>
    <t>https://www.canada.ca/en/economic-development-southern-ontario/news/2020/07/two-renewable-fuel-producers-scale-up-to-increase-productivity-and-economic-growth-in-rural-southwestern-ontario.html</t>
  </si>
  <si>
    <t>CAN58</t>
  </si>
  <si>
    <t>CAD 9.4 million</t>
  </si>
  <si>
    <t>Funding for four tidal energy projects through NRCan's Energy Innovation, Clean Growth, and Emerging Renewables Power programs</t>
  </si>
  <si>
    <t>https://www.canada.ca/en/natural-resources-canada/news/2020/09/government-invests-in-canadas-tidal-power-industry</t>
  </si>
  <si>
    <t>CAN59</t>
  </si>
  <si>
    <t>CAD 8 million</t>
  </si>
  <si>
    <t>(Northern Territories) This funding will support communities in their efforts to build a cleaner future and reduce their reliance on diesel fuel for heat and power while creating jobs</t>
  </si>
  <si>
    <t>https://www.canada.ca/en/natural-resources-canada/news/2020/09/canada-invests-in-clean-energy-projects-in-the-northwest-territories.html</t>
  </si>
  <si>
    <t>CAN60</t>
  </si>
  <si>
    <t>CAD 12.545 million</t>
  </si>
  <si>
    <t>(Québec)-Investment in 30 projects relating to the adoption and development of clean technologies in Quebec.</t>
  </si>
  <si>
    <t xml:space="preserve">https://www.canada.ca/en/economic-development-quebec-regions/news/2020/07/investment-in-clean-technologies-for-a-sustainable-future.html </t>
  </si>
  <si>
    <t>CAN61</t>
  </si>
  <si>
    <t>CAD 6 million</t>
  </si>
  <si>
    <t>(Alberta) Support R&amp;D on the detection and mitigation of methane emissions from oil and gas</t>
  </si>
  <si>
    <t>https://www.canada.ca/en/natural-resources-canada/news/2020/07/canada-invests-in-clean-technology-for-albertas-natural-resources-sectors.html</t>
  </si>
  <si>
    <t>CAN62</t>
  </si>
  <si>
    <t>CAD 5.1 million</t>
  </si>
  <si>
    <t>(Ontario) Smart Grid technology investment in London Hydro</t>
  </si>
  <si>
    <t xml:space="preserve">https://www.canada.ca/en/natural-resources-canada/news/2020/07/canada-invests-in-smart-grid-technology-for-london-net-zero-energy-community.html </t>
  </si>
  <si>
    <t>CAN63</t>
  </si>
  <si>
    <t>CAD 5 million</t>
  </si>
  <si>
    <t>Federal Funding for Biocarbon Briquettes for Ferroalloy Production</t>
  </si>
  <si>
    <t>https://www.canada.ca/en/natural-resources-canada/news/2020/09/canada-invests-in-clean-technology-solutions-in-quebec.html</t>
  </si>
  <si>
    <t>CAN64</t>
  </si>
  <si>
    <t>CAD 4.5 million</t>
  </si>
  <si>
    <t>Federal investment in Quebec Bioenergy</t>
  </si>
  <si>
    <t xml:space="preserve">https://www.canada.ca/en/natural-resources-canada/news/2020/09/canada-invests-in-bioenergy-in-quebec.html </t>
  </si>
  <si>
    <t>CAN65</t>
  </si>
  <si>
    <t>CAD 4 million</t>
  </si>
  <si>
    <t>Funding for Algoma Steel's climate action initiatives</t>
  </si>
  <si>
    <t>https://www.canada.ca/en/environment-climate-change/news/2020/08/government-of-canada-announces-support-for-algoma-steels-climate-action-initiatives.html</t>
  </si>
  <si>
    <t>CAN66</t>
  </si>
  <si>
    <t>CAD 3 million</t>
  </si>
  <si>
    <t>(Alberta) Support SMEs to adopt clean tech</t>
  </si>
  <si>
    <t xml:space="preserve">https://www.canada.ca/en/western-economic-diversification/news/2020/09/government-of-canada-invests-in-albertas-construction-industry-to-help-strengthen-energy-efficiency-and-green-building-practices.html </t>
  </si>
  <si>
    <t>CAN67</t>
  </si>
  <si>
    <t>CAD 2 milion</t>
  </si>
  <si>
    <t>(City of Calgary) Support of Natural Resources Canada to biomass production and carbon sequestration project</t>
  </si>
  <si>
    <t xml:space="preserve">https://www.canada.ca/en/environment-climate-change/news/2020/08/government-of-canada-reducing-emissions-in-calgary-by-expanding-the-willow-plantation.html </t>
  </si>
  <si>
    <t>CAN68</t>
  </si>
  <si>
    <t>CAD 1.717 milion</t>
  </si>
  <si>
    <t>Funding for research for electric and alternative fuel vehicles</t>
  </si>
  <si>
    <t>https://www.canada.ca/en/natural-resources-canada/news/2020/09/investing-in-canadas-zero-emission-vehicle-sector</t>
  </si>
  <si>
    <t>CAN69</t>
  </si>
  <si>
    <t>CAD 0.57 million</t>
  </si>
  <si>
    <t>Encourage economic growth and climate action through investment for the development of electric vehicles</t>
  </si>
  <si>
    <t>https://www.canada.ca/en/natural-resources-canada/news/2020/11/new-electric-vehicle-chargers-coming-to-york-region.html ; https://www.canada.ca/en/natural-resources-canada/news/2020/08/new-electric-vehicle-chargers-coming-to-oakville.html</t>
  </si>
  <si>
    <t>CAN70</t>
  </si>
  <si>
    <t>CAD 1.1 million</t>
  </si>
  <si>
    <t>Funding to reduce emissions from Toront's emergency response vehicles</t>
  </si>
  <si>
    <t>https://www.canada.ca/en/environment-climate-change/news/2020/08/government-of-canada-supports-innovative-climate-action-by-the-city-of-toronto.html</t>
  </si>
  <si>
    <t>CAN71</t>
  </si>
  <si>
    <t>(Alberta) Approval of NOVA Gas Transmission Ltd. expansion project: create jobs, support recovery and help phase out coal-powered electricity.</t>
  </si>
  <si>
    <t>https://www.canada.ca/en/natural-resources-canada/news/2020/10/government-of-canada-approves-the-nova-gas-transmission-ltd-2021-system-expansion-project.html</t>
  </si>
  <si>
    <t>CAN72</t>
  </si>
  <si>
    <t>CAD 5.4 million</t>
  </si>
  <si>
    <t>(Yukon) Support for clean energy projects and job creation</t>
  </si>
  <si>
    <t>https://www.canada.ca/en/natural-resources-canada/news/2020/09/government-invests-in-clean-energy-initiatives-in-yukon.html</t>
  </si>
  <si>
    <t>CAN73</t>
  </si>
  <si>
    <t>Delay of publication and implementation of the Clean Fuel Standard</t>
  </si>
  <si>
    <t xml:space="preserve">https://www.canada.ca/en/environment-climate-change/services/managing-pollution/energy-production/fuel-regulations/clean-fuel-standard.html </t>
  </si>
  <si>
    <t>CAN74</t>
  </si>
  <si>
    <t>Extension of deadline for pollution data reporting by industry to reduce burdens for industry during COVID-19.</t>
  </si>
  <si>
    <t>https://www.canada.ca/en/services/environment/pollution-waste-management/national-pollutant-release-inventory.html; https://www.canada.ca/en/environment-climate-change/services/climate-change/greenhouse-gas-emissions/facility-reporting/reporting.html</t>
  </si>
  <si>
    <t>CAN75</t>
  </si>
  <si>
    <t>The Municipal Energy Roadmap is a decision-support tool that provides specific guidance to identify the most impactful solutions for reducing GHG emissions. The Municipal Energy Roadmap helps municipalities discover solutions for energy efficiency in municipal, commercial, and residential buildings; learn about solutions for community sustainable energy generation; and implement strategies to drive these solutions forward.</t>
  </si>
  <si>
    <t>https://www.canada.ca/en/office-infrastructure/news/2020/07/new-green-municipal-fund-tool-drives-energy-efficiency.html</t>
  </si>
  <si>
    <t>Platform2020redesign</t>
  </si>
  <si>
    <t>CAN76</t>
  </si>
  <si>
    <t>(British Columbia) The government allocated $10 million to the construction and operation of 10 hydrogen fuelling stations in the province, as well as three years of support for the work of Hydrogen BC</t>
  </si>
  <si>
    <t>https://news.gov.bc.ca/releases/2020EMPR0046-001696</t>
  </si>
  <si>
    <t>CAN77</t>
  </si>
  <si>
    <t>(Ontario) Ontario introduced the Energy Affordability Program (EAP). Beginning the week of January 4, 2021, EAP will provide electricity saving measures to help participating households manage their electricity-use and lower their electricity costs by up to $1,000 per year; tailor energy-efficiency upgrades based on household income, home heating system, location, and an energy needs assessment; and, simplify access to new and updated electricity saving measures through a single program that replaces the Affordability Fund Trust and Home Assistance Program, which are ending in 2020.</t>
  </si>
  <si>
    <t>https://news.ontario.ca/en/release/58782/ontario-helps-keep-energy-costs-low-for-families-small-businesses-and-farmers</t>
  </si>
  <si>
    <t>CAN78</t>
  </si>
  <si>
    <t>(Alberta) Investments from the Technology Innovation and Emissions Reduction (TIER) fund for a CAD 45-million clean energy and organic fertilizer facility in Lacombe. Objective: generate renewable natural gas for heating, reduce emissions, support job-creation</t>
  </si>
  <si>
    <t>https://eralberta.ca/projects/details/lacombe-biorefinery/</t>
  </si>
  <si>
    <t>CAN79</t>
  </si>
  <si>
    <t>CAD 20 million</t>
  </si>
  <si>
    <t>Investments from the Strategic Innovation Fund to develop small modular reactor (SMR) technology. Objective: contribute to reaching carbon neutrality, maintain/create jobs, contribute to gender equity and diversity.</t>
  </si>
  <si>
    <t>https://www.canada.ca/en/innovation-science-economic-development/news/2020/10/government-of-canada-invests-in-innovative-small-modular-reactor-technology.html</t>
  </si>
  <si>
    <t>CAN80</t>
  </si>
  <si>
    <t>(Alberta) A series of measures to reduce fiscal burdens for oil and gas companies, including a 3-year tax exemption for companies building new pipelines or drilling new wells</t>
  </si>
  <si>
    <t>https://www.alberta.ca/release.cfm?xID=7450191EACDD1-D715-3078-59DF6480E106FC9E</t>
  </si>
  <si>
    <t>CAN81</t>
  </si>
  <si>
    <t>(Quebec) Funding for Sollum Technologies to advance energy efficient LED lighting solutions for greenhouse fruit and vegetable production</t>
  </si>
  <si>
    <t>CAN82</t>
  </si>
  <si>
    <t>(Quebec) Adoption of Bill 44, that will promote governance for climate action and electrification across Quebec. The current Green Fund, which has been criticised for funding fossil fuel projects, will be replaed by a new fund "Fonds d'électrification et de changements climatiques".</t>
  </si>
  <si>
    <t>https://www.quebec.ca/nouvelles/actualites/details/adoption-du-projet-de-loi-no-44-une-gouvernance-efficace-et-responsable-pour-repondre-a-lurgence-cli/</t>
  </si>
  <si>
    <t>CAN83</t>
  </si>
  <si>
    <t>Investment to help the Clean Resource Innovation Network (CRIN) accelerate the development and adoption of innovative technologies that lower the oil and gas industry’s environmental impacts. Objectives: reduce the sector’s GHG emissions by 100 megatons by 2033, create jobs, support recovery of oil and gas sector.</t>
  </si>
  <si>
    <t>https://www.canada.ca/en/innovation-science-economic-development/news/2020/10/government-of-canada-invests-in-clean-technology-ecosystems.html</t>
  </si>
  <si>
    <t>CAN84</t>
  </si>
  <si>
    <t>CAD 1.5 million</t>
  </si>
  <si>
    <t>(Quebec) construction on highway 15 to improve traffic circulation, safety, and facilitate public transportation</t>
  </si>
  <si>
    <t>https://www.quebec.ca/nouvelles/actualites/details/cest-le-temps-daller-de-lavant-avec-la-15-le-gouvernement-annonce-des-investissements-majeurs-de-plu/</t>
  </si>
  <si>
    <t>CAN85</t>
  </si>
  <si>
    <t xml:space="preserve">(Alberta)  from the federal Low Carbon Economy Leadership Fund &amp; the industry-supported Technology Innovation and Emissions Reduction (TIER) system to support initiatives in Alberta aimed at growing the clean economy. Objectives: create 3100 jobs in the areas of construction, energy efficiency retrofits, clean technology innovation, industrial transformation, and research. </t>
  </si>
  <si>
    <t>https://www.canada.ca/en/environment-climate-change/news/2020/11/government-of-canada-announces-over-100m-to-spur-job-creation-in-alberta-and-fight-climate-change.html</t>
  </si>
  <si>
    <t>CAN86</t>
  </si>
  <si>
    <t>CAD 20.1 million</t>
  </si>
  <si>
    <t>(Northwest Territories) support essential air access to remote communities</t>
  </si>
  <si>
    <t>https://www.canada.ca/en/transport-canada/news/2020/11/government-of-canada-announces-agreement-with-the-government-of-the-northwest-territories-to-support-essential-air-access-to-remote-communities.html</t>
  </si>
  <si>
    <t>CAN87</t>
  </si>
  <si>
    <t xml:space="preserve">Investment to support the design and development of an electric propulsion system for a mining truck, along with a battery technology and a fast-charging infrastructure adapted to mining operations. </t>
  </si>
  <si>
    <t>https://www.canada.ca/en/natural-resources-canada/news/2020/11/ottawa-and-quebec-invest-in-clean-technology-for-quebecs-mining-industry.html</t>
  </si>
  <si>
    <t>CAN88</t>
  </si>
  <si>
    <t>CAD 3.1 million</t>
  </si>
  <si>
    <t>Investment to support the scale-up and growth of Formula Solutions Inc., a composite manufacturer that specializes in Carbon Fibre Reinforced Plastic aerospace components.</t>
  </si>
  <si>
    <t>https://www.canada.ca/en/economic-development-southern-ontario/news/2020/11/government-of-canada-invests-in-scale-up-of-aerospace-manufacturer-in-burlington.html</t>
  </si>
  <si>
    <t>CAN89</t>
  </si>
  <si>
    <t>Funding for blockchain-based EV charging platform that will reduce costs and enhance grid efficiency</t>
  </si>
  <si>
    <t>https://www.canada.ca/en/natural-resources-canada/news/2020/11/canada-invests-in-innovative-ev-charging-technology.html</t>
  </si>
  <si>
    <t>CAN90</t>
  </si>
  <si>
    <t>CAD 6.7 billion</t>
  </si>
  <si>
    <t>(Quebec) The Plan for a Green Economy is the electrification and climate change policy framework that engages Québec in an ambitious project to lay the groundwork for a green economy by 2030 that is both resilient to climate change and more prosperous. Objectives: climate mitigation and adaptation, support innovation and key strategic sectors, accelerate research.</t>
  </si>
  <si>
    <t>https://cdn-contenu.quebec.ca/cdn-contenu/adm/min/environnement/publications-adm/plan-economie-verte/plan-mise-oeuvre-2021-2026.pdf?1605539784</t>
  </si>
  <si>
    <t>CAN91</t>
  </si>
  <si>
    <t>CAD 140.4</t>
  </si>
  <si>
    <t xml:space="preserve">(Prince Edward Island) part of funds alloacted via the 2021-22 Capital Budget to replace diesel-powered school buses with electric ones, to build EV charging stations, and create Active Transportation Lanes. </t>
  </si>
  <si>
    <t>https://www.princeedwardisland.ca/en/information/finance/capital-budget</t>
  </si>
  <si>
    <t>CAN92</t>
  </si>
  <si>
    <t>(Quebec, New Brunswick) funding for EV chargers coming from the federal Natural Resources Canada's Zero-Emission Vehicle Infrastructure Program</t>
  </si>
  <si>
    <t>https://www.canada.ca/en/natural-resources-canada/news/2020/11/new-electric-vehicle-chargers-coming-to-quebec-and-new-brunswick.html</t>
  </si>
  <si>
    <t>CAN93</t>
  </si>
  <si>
    <t>Updated Greening Government Strategy: the Government has committed to reduce its own operational GHG emissions to net zero by 2050. The new strategy includes commitments to achieve net-zero emissions from national safety and security fleet, green procurement and employee commuting.</t>
  </si>
  <si>
    <t>https://www.canada.ca/en/treasury-board-secretariat/news/2020/11/the-government-of-canada-is-leading-by-example-on-combatting-climate-change.html</t>
  </si>
  <si>
    <t>CAN94</t>
  </si>
  <si>
    <t>(Ontario) Ontario becomes the first province to require fuel suppliers to increase the amount of "renewable" content in regular-grade gasoline to 15 per cent. The regulation also delays the compliance period for fuel suppliers in response to the pandemic.</t>
  </si>
  <si>
    <t>https://news.ontario.ca/en/release/59352/ontario-to-be-national-leader-and-require-cleaner-and-greener-gasoline</t>
  </si>
  <si>
    <t>CAN95</t>
  </si>
  <si>
    <t>CAD 150 million</t>
  </si>
  <si>
    <t>Funding provided to Natural Resources Canada to make investments for zero-emission vehicles and increase confidence that charging and refueling stations are widely available</t>
  </si>
  <si>
    <t>https://www.budget.gc.ca/fes-eea/2020/report-rapport/toc-tdm-en.html </t>
  </si>
  <si>
    <t>CAN96</t>
  </si>
  <si>
    <t>CAD 2.6 billion</t>
  </si>
  <si>
    <t>Funding provided to Natural Resources Canada to make investments to improve energy-efficiency in homes</t>
  </si>
  <si>
    <t>https://www.budget.gc.ca/fes-eea/2020/report-rapport/toc-tdm-en.html</t>
  </si>
  <si>
    <t>CAN97</t>
  </si>
  <si>
    <t>CAD 262 million</t>
  </si>
  <si>
    <t xml:space="preserve">(Saskatchewan) Saskatchewan Economic Recovery Rebate, a 10% tax rebate for all SaskPower customers. This will run from December 1, 2020 to the end of November 2021. </t>
  </si>
  <si>
    <t>https://www.saskatchewan.ca/government/news-and-media/2020/december/01/ten-per-cent-economic-recovery-rebate-now-in-effect-for-all-saskpower-customers</t>
  </si>
  <si>
    <t>CAN98</t>
  </si>
  <si>
    <t>CAD 8 billion</t>
  </si>
  <si>
    <t xml:space="preserve">Under the new federal climate plan, ""A Healthy Environment and a Health Economy"", Canada has pledged to create the new Strategic Innovation Fund – Net Zero Accelerator fund of $3 billion over five years to drive investment into large emissions reducing and job-creating projects. The fund will have 3 focus areas: 1) Support for the development and adoption of clean technology solutions in all industrial sectors; 2) Support for clean technology development in Canada’s aerospace and automobile manufacturing sectors; 3) Support for the development of a Canadian battery innovation and industrial ecosystem. In Budget 2021, an additional CAD 5 billion was announced for this fund. </t>
  </si>
  <si>
    <t>https://www.canada.ca/content/dam/eccc/documents/pdf/climate-change/climate-plan/healthy_environment_healthy_economy_plan.pdf</t>
  </si>
  <si>
    <t>CAN99</t>
  </si>
  <si>
    <t xml:space="preserve">The federal climate plan, "A Healthy Environment and a Health Economy" also includes many uncosted or regulatory measures, such as efforts to build out supply chains for building materials and EVs, commitment to conduct first ever national infrastruture investment review, promise for permanent funding for public transit, national active transportation strategy, achieve net-zero electricity generation before 2050 and pursue strategic interties for transmission, border carbon adjustments, improved oil and gas methane targets </t>
  </si>
  <si>
    <t>CAN100</t>
  </si>
  <si>
    <t>Under the new federal climate plan, "A Healthy Environment and a Health Economy", Canada is proposing to increase the carbon price by $15 per year, starting in 2023, rising to $170 per tonne of carbon pollution in 2030. The federal carbon price will continue to be revenue neutral, and the Government will continue to return all fuel charge proceeds back to Canadian families and their communities.</t>
  </si>
  <si>
    <t>CAN101</t>
  </si>
  <si>
    <t>Under the new federal climate plan, "A Healthy Environment and a Health Economy", Canada has pledged to invest an additional $300 million over five years to ensure that rural, remote and Indigenous communities that currently rely on diesel have the opportunity to be powered by clean, reliable energy by 2030.</t>
  </si>
  <si>
    <t>CAN102</t>
  </si>
  <si>
    <t>CAD 964 million</t>
  </si>
  <si>
    <t>Under the new federal climate plan, "A Healthy Environment and a Health Economy", Canada has pledged to invest an additional $964 million over four years to advance smart renewable energy and grid modernization projects to enable the clean grid of the future. This includes support to increase renewable power generation capacity such as wind and solar, and the deployment of grid modernization technologies such as power storage. This work will support the electrification of the broader economy and help jurisdictions minimize the role of fossil fuel-fired electricity generation in their electricity systems.</t>
  </si>
  <si>
    <t>CAN103</t>
  </si>
  <si>
    <t>CAD 287 million</t>
  </si>
  <si>
    <t>Under the new federal climate plan, "A Healthy Environment and a Health Economy", Canada pledged to invest an additional $287 million over two years to continue the Incentives for Zero-Emission Vehicles (iZEV) program until March 2022. The program provides a rebate of up to $5,000 on a light-duty zero-emission vehicle. The Government has also pledged to work with the United States on consumer availability of EVs, align Canada's Light Duty Vehicle regulations with stringent performance standards post-2025, and work on supply side policies for adoption of EVs.</t>
  </si>
  <si>
    <t>CAN104</t>
  </si>
  <si>
    <t>Under the new federal climate plan, "A Healthy Environment and a Health Economy", Canada has pledged to invest $1.5 billion in a Low-carbon and Zero-emissions Fuels Fund to increase the production and use of low-carbon fuels (e.g., hydrogen, biocrude, renewable natural gas and diesel, cellulosic ethanol).</t>
  </si>
  <si>
    <t>CAN105</t>
  </si>
  <si>
    <t>Under the new federal climate plan, "A Healthy Environment and a Health Economy", Canada has pledged to invest $1.5 billion over three years for green and inclusive community buildings through retrofits, repairs, upgrades and new builds. They will require that at least 10% of this $1.5 billion in funding be allocated to projects serving First Nations, Inuit and Métis communities, including Indigenous populations in urban centres. This funding builds on previous announcements in 2020 from the Fall Economic Statement and through the Canada Infrastructure Bank.</t>
  </si>
  <si>
    <t>CAN106</t>
  </si>
  <si>
    <t>(British Columbia) The new emission target requires greenhouse gases to be 16% below 2007 levels by 2025. It provides a benchmark on the road to British Columbia’s legislated emission targets for 2030, 2040 and 2050 of 40%, 60% and 80% below 2007 levels, respectively.</t>
  </si>
  <si>
    <t>https://news.gov.bc.ca/releases/2020ENV0061-002075</t>
  </si>
  <si>
    <t>CAN107</t>
  </si>
  <si>
    <t>CAD 500,000</t>
  </si>
  <si>
    <t>14 projects in the Indigenous Off-Diesel Initiative (IODI) have moved to Phase 2 and received CAD 500,000 in funding to develop a community energy plan, identify and deliver training, and develop a detailed clean energy implementation plan. The IODI is a CAD 20-million Impact Canada Initiative aimed at generating new opportunities by reducing diesel reliance in remote Indigenous communities. Each community receives hands-on support and up to $1.3 million in funding to develop an ambitious clean energy plan and break ground on their first clean energy projects.</t>
  </si>
  <si>
    <t>https://www.canada.ca/en/natural-resources-canada/news/2020/12/celebrating-indigenous-leadership-in-clean-energy.html</t>
  </si>
  <si>
    <t>CAN108</t>
  </si>
  <si>
    <t>(British Columbia) Select residential rebates to switch to high-efficiency heating equipment, while saving energy and reducing greenhouse gases, have increased as follows until June 30, 2021: - double the rebate from $3,000 to $6,000 when switching from a fossil fuel heating system to a high-efficiency heat pump; - double the rebate from $1,000 to $2,000 when switching from a fossil fuel water heater to a heat pump water heater; - double the rebate from $500 to $1,000 for an electrical service upgrade when switching from a fossil fuel heating system to a heat pump; and a $3,000 rebate on an interest-free loan when switching from a fossil fuel heating system to a high-efficiency heat pump and accessing the CleanBC low-interest financing program.</t>
  </si>
  <si>
    <t>https://news.gov.bc.ca/releases/2020EMLI0068-002140</t>
  </si>
  <si>
    <t>CAN109</t>
  </si>
  <si>
    <t>CAD 1.12 million</t>
  </si>
  <si>
    <t>(Nova Scotia) Investments to help establish cost-effective energy solutions for an EV smart grid–integrated system. Federal funding provided through Natural Resources Canada’s Green Infrastructure – Electric Vehicle Infrastructure Demonstration program.</t>
  </si>
  <si>
    <t>https://www.canada.ca/en/natural-resources-canada/news/2021/01/canada-invests-in-electric-vehicle-grid-integration-pilot-project-in-nova-scotia.html</t>
  </si>
  <si>
    <t>CAN110</t>
  </si>
  <si>
    <t>CAD 42 million</t>
  </si>
  <si>
    <t>(British Columbia) The Specialty-Use Vehicle Incentive (SUVI) program is receiving $31 million in funding through the Province’s economic recovery plan (StrongerBC) to double the maximum rebates for medium and heavy-duty vehicles available for B.C. businesses, local and regional governments, public sector organizations and non-profit organizations in their adoption of specialty-use zero-emission vehicles. Organizations in B.C. can also access $11 million in support for piloting unique or large deployments of medium- and heavy-duty or very large electric vehicles (EVs), such as domestic air, marine or rail transportation through the Commercial Vehicle Pilot program.</t>
  </si>
  <si>
    <t>https://news.gov.bc.ca/releases/2021EMLI0002-000037 </t>
  </si>
  <si>
    <t>CAN111</t>
  </si>
  <si>
    <t>CAD 16.6 million</t>
  </si>
  <si>
    <t>(Newfoundland and Labrador) Funding agreement between the Provincial Government and North Atlantic Refining Limited Partnership to support 75% of eligible labour costs of refinery employees and 50% of eligible non-labour costs in Newfoundland and Labrador associated with the refinery warm idle and restart preparation related activities while the refinery remains offline. The support is in the form of a non-repayable contribution over a seven-month period ending on June 30, 2021 or until the refinery is restarted or resold.</t>
  </si>
  <si>
    <t>https://www.gov.nl.ca/releases/2021/exec/0115n13/</t>
  </si>
  <si>
    <t>CAN113</t>
  </si>
  <si>
    <t>CAD 32.3 million</t>
  </si>
  <si>
    <t>(Manitoba) Funding from the Low Carbon Economy Leadership Fund to support natural-gas programs offered by Efficiency Manitoba, a new Crown corporation established by the Government of Manitoba. The commercial, industrial, and agricultural programs include rebates and incentives to support energy savings from reducing natural-gas use through mechanical upgrades of space or process heating systems; building-envelope renovation improvements; and upgrades or equipment for new buildings that achieve greater energy savings.</t>
  </si>
  <si>
    <t>https://www.canada.ca/en/environment-climate-change/news/2021/01/government-of-canada-announces-support-for-manitoba-energy-efficiency-programs.html</t>
  </si>
  <si>
    <t>CAN114</t>
  </si>
  <si>
    <t>CAD 375 million</t>
  </si>
  <si>
    <t>Financial support to Sunwing airlines provided under the Large Employer Emergency Financing Facility (LEEFF). The funding comes with number of conditions, including refunds to air travellers and climate risk disclosure as required by the LEEFF program. Companies must agree to sustain their domestic operations, make reasonable commercial efforts to minimize the loss of jobs, and demonstrate a clear plan to return to financial stability. They must also agree to place restrictions on executive compensation, dividends, and share buybacks.</t>
  </si>
  <si>
    <t>https://www.newswire.ca/news-releases/leeff-loan-to-sunwing-airlines-protects-canadian-jobs-870625246.html
https://www.ceefc-cfuec.ca/approved-loans/</t>
  </si>
  <si>
    <t>CAN115</t>
  </si>
  <si>
    <t>(Manitoba) maintain scheduled transporated service to 21 communities that rely on air service as the only year-round mode of transportation to ensure the continued supply of food, medical supplies, and other essential goods and services.</t>
  </si>
  <si>
    <t>https://news.gov.mb.ca/news/index.html?item=50539&amp;posted=2021-02-01</t>
  </si>
  <si>
    <t>CAN116</t>
  </si>
  <si>
    <t>(British Columbia) The Go Electric Fleets program offers rebates for the purchase and installation of level 2 and direct-current fast-charging stations for fleets of one or more EVs. For a limited time, eligible businesses purchasing and installing level 2 charging stations can access a higher rebate of up to $4,000 per station, representing an increase from 50% to 75% of basic rates. Those purchasing EVs for a fleet are eligible for the same $3,000 point-of-purchase vehicle rebates as the general public in B.C.</t>
  </si>
  <si>
    <t>https://news.gov.bc.ca/releases/2021PREM0006-000153</t>
  </si>
  <si>
    <t>CAN117</t>
  </si>
  <si>
    <t>CAD 14.9 billion</t>
  </si>
  <si>
    <t>Public transit funding for: a) major public transit projects, including planning funding, b) switching public transit systems to cleaner electrical power, including supporting the use of zero-emission vehicles, c) active transportation projects, including by building walkways and paths for cycling, walking, scooters, e-bikes, and wheelchairs, d) transit solutions for Canadians living in rural and remote areas. This measure also establishes the creation of a permanent public transit fund of CAD 3 billion per year, beginning in 2026-27.</t>
  </si>
  <si>
    <t>https://www.canada.ca/en/office-infrastructure/news/2021/02/a-plan-to-permanently-fund-public-transit-and-support-economic-recovery.html </t>
  </si>
  <si>
    <t>CAN118</t>
  </si>
  <si>
    <t>CAD 10.6 million</t>
  </si>
  <si>
    <t>Sustainable Development Technology Canada (SDTC) investments for clean energy</t>
  </si>
  <si>
    <t>https://www.sdtc.ca/en/investing-in-innovators-how-cleantech-entrepreneurs-are-leading-the-way-to-net-zero/</t>
  </si>
  <si>
    <t>CAN119</t>
  </si>
  <si>
    <t>CAD 9.5 million</t>
  </si>
  <si>
    <t>(Nova Scotia) Rebate program for new and used EVs, plug-in hybrids and e-bikes. Rebates will be $3,000 per new vehicle and $2,000 for used vehicles, with $500 for e-bikes. This will be in addition to the $5,000 federal rebate available for new electric vehicles.</t>
  </si>
  <si>
    <t>https://novascotia.ca/news/release/?id=20210224001</t>
  </si>
  <si>
    <t>CAN120</t>
  </si>
  <si>
    <t>(Nova Scotia) $9.5 million, which will come from the Green Fund, is to go into the HomeWarming and the Affordable Multi-Family Housing energy efficiency programs. This will help 1,200 more low-income Nova Scotians make their homes more comfortable and protect their family budgets.</t>
  </si>
  <si>
    <t>CAN121</t>
  </si>
  <si>
    <t>CAD 3.9 billion</t>
  </si>
  <si>
    <t>(Alberta) Alberta's Capital Plan, announced in Budget 2021, includes CAD 1.5 billion over three years to maintain Alberta’s inventory of existing road and bridge infrastructure, and CAD 2.4 billion over the next three years for projects that expand Alberta’s road network.</t>
  </si>
  <si>
    <t>https://open.alberta.ca/dataset/6f47f49d-d79e-4298-9450-08a61a6c57b2/resource/ec1d42ee-ecca-48a9-b450-6b18352b58d3/download/budget-2021-fiscal-plan-2021-24.pdf </t>
  </si>
  <si>
    <t>CAN122</t>
  </si>
  <si>
    <t>CAD 265 million</t>
  </si>
  <si>
    <t>(Saskatchewan) SGI will pass on roughly $350 million in earnings to the people of Saskatchewan by issuing one-time rebates to all registered vehicle owners, and also improving injury benefits for its most seriously injured customers. The provincial government has approved the one-time rebate of $285 million. The amount each customer receives will vary, and it will be calculated based on a proportion of vehicle premiums paid in the previous three years.</t>
  </si>
  <si>
    <t>https://www.saskatchewan.ca/government/news-and-media/2021/february/26/sgi-to-issue-rebates-to-customers-average-payment-of-285-per-vehicle</t>
  </si>
  <si>
    <t>CAN123</t>
  </si>
  <si>
    <t>Lion Electric (Lion), a company that manufactures all-electric trucks and buses, has announced construction of a Quebec-based battery manufacturing plant. The federal government has announced an investment of CAD $50 million, and an additional CAD $50 million has been announced from Quebec. Total investment equates to around $185 million CAD by Lion. The investment is provided as a loan, and it has been reported that around $30 million will be forgivable pending certain conditions achieved by the company, such as ensuring jobs are kept in Quebec.</t>
  </si>
  <si>
    <t>https://www.cbc.ca/news/canada/montreal/trudeau-legault-electric-vehicle-announcement-1.5949998; https://www.newswire.ca/news-releases/lion-electric-announces-the-construction-of-its-battery-manufacturing-plant-and-innovation-center-in-quebec-826634300.html</t>
  </si>
  <si>
    <t>CAN124</t>
  </si>
  <si>
    <t>The 2021–2031 Québec Infrastructure Plan (QIP) is set at $135.0 billion dollars, up $4.5 billion dollars over that of 2020–2030. This new government plan for the next ten years reflects the continuation of key government priorities and the acceleration of infrastructure investments to stimulate economic growth in all regions in Québec. In the plan, CAD 2.9 billion has been set aside for the road network in 2021-22. This includes reserved lanes for public transit. he plan does not specify what portion of funds are allocated to each measure.</t>
  </si>
  <si>
    <t>https://www.tresor.gouv.qc.ca/fileadmin/PDF/budget_depenses/21-22/6-Quebec_Infrastructure_Plan.pdf</t>
  </si>
  <si>
    <t>CAN125</t>
  </si>
  <si>
    <t>CAD 13 million</t>
  </si>
  <si>
    <t>(British Columbia) The Ministry of Education’s Bus Acquisition program provided $13 million for 31 school districts to buy a total of 101 new buses, including 18 electric buses. As a new initiative launched by the Ministry of Education and Ministry of Energy, Mines and Low Carbon Innovation in April 2020, this is the first time school districts in B.C. have been able to purchase electric buses through funding from both ministries. School districts that buy electric buses also have access to provincial funding for charging station infrastructure.</t>
  </si>
  <si>
    <t>https://news.gov.bc.ca/releases/2021EDUC0031-000848</t>
  </si>
  <si>
    <t>CAN126</t>
  </si>
  <si>
    <t>CAD 528 million</t>
  </si>
  <si>
    <t>(Manitoba) Investments for 2021-22 for highways, road and airport runway infrastructure as part of Manitoba's strategic infrastructure investments. Does</t>
  </si>
  <si>
    <t>https://www.gov.mb.ca/asset_library/en/budget2021/budget2021.pdf </t>
  </si>
  <si>
    <t>CAN127</t>
  </si>
  <si>
    <t>CAD 5.9 billion</t>
  </si>
  <si>
    <t>Financial support to Air Canada provided under the Large Employer Emergency Financing Facility (LEEFF). The Canada Enterprise Emergency Funding Corporation (CEEFC) has committed to provide $4 billion in repayable loans and an equity investment in Air Canada of $500 million in newly-issued Class B Voting Shares at a 15 per cent discount to their recent trading price. CEEFC will also receive warrants on Air Canada stock in an amount equal to 10 per cent of the loan commitments. The funding comes with number of conditions, including refunds to air travellers (CEEFC will provide additional loan financing of up to $1.4 billion for Air Canada to provide these refunds), and climate risk disclosure as required by the LEEFF program.</t>
  </si>
  <si>
    <t xml:space="preserve">https://www.canada.ca/en/department-finance/news/2021/04/details-of-financial-support-to-air-canada.html </t>
  </si>
  <si>
    <t>CAN128</t>
  </si>
  <si>
    <t>CAD 167 million</t>
  </si>
  <si>
    <t>Initiative funded by federal investment in FCM’s Green Municipal Fund, the new initiative that supports Canadian municipalities and not-for-profit organizations in undertaking retrofits and other upgrades to lower emissions by improving energy performance, lowering operating costs and extending the life of community assets. The Community Buildings Retrofit initiative will provide grants and loans to fund a portion of each project and expects to disburse the full funding envelope over the next six years. This new initiative is part of a $950-million federal investment in the Green Municipal Fund designed to scale up energy efficiency and lower emissions across Canada. It is complemented by new measures in Canada’s strengthened climate plan.</t>
  </si>
  <si>
    <t>https://www.canada.ca/en/natural-resources-canada/news/2021/04/canada-and-fcm-combat-climate-change-by-investing-in-retrofits-for-community-buildings.html</t>
  </si>
  <si>
    <t>CAN129</t>
  </si>
  <si>
    <t>CAD 206 million</t>
  </si>
  <si>
    <t>In Budget 2021, the Government of Canada is launching the Regional Air Transportation Initiative (RATI), an initiative worth $206 million, including $41.2 million for Atlantic Canada, which aims to support regional air transportation ecosystems, particularly in the development and implementation of improved services. The initiative will be implemented by Canada's Regional Development Agencies; some funds are repayable. This funding aims to support access to rural and remote areas. The funds are distributed as follows: Atlantic provinces: $41.2 million Quebec: $59.2 million Southern Ontario: $24.2 million Northern Ontario: $24.2 million Northern Canada: $2.6 million Western provinces: $54.6 million</t>
  </si>
  <si>
    <t>https://www.budget.gc.ca/2021/home-accueil-en.html
https://www.canada.ca/en/atlantic-canada-opportunities/campaigns/covid19/ratifaq.html</t>
  </si>
  <si>
    <t>CAN130</t>
  </si>
  <si>
    <t>From Budget 2021, funding for agriculture clean tech towards powering farms with clean energy and transition from diesel.</t>
  </si>
  <si>
    <t>https://www.budget.gc.ca/2021/home-accueil-en.html </t>
  </si>
  <si>
    <t>CAN131</t>
  </si>
  <si>
    <t>CAD 76.4 million</t>
  </si>
  <si>
    <t>From Budget 2021, proposal to invest $36 million over three years, starting in 2021-22, through the Strategic Partnerships Initiative, to build capacity for local, economically-sustainable clean energy projects in First Nations, Inuit, and Métis communities and support economic development opportunities. Also, Budget 2021 proposes to invest $40.4 million over three years, starting in 2021-22, to support feasibility and planning of hydroelectricity and grid interconnection projects in the North.</t>
  </si>
  <si>
    <t>https://www.budget.gc.ca/2021/home-accueil-en.html</t>
  </si>
  <si>
    <t>CAN132</t>
  </si>
  <si>
    <t>CAD 187 million</t>
  </si>
  <si>
    <t>Tax reduction measures for green technologies included in Budget 2021:
i) Budget 2021 proposes to reduce by 50 per cent the general corporate and small business income tax rates for businesses that manufacture zero emission technologies. The reductions would go into effect on January 1, 2022, and would be gradually phased out starting January 1, 2029 and eliminated by January 1, 2032. It is estimated that this measure will reduce federal revenues by $45 million over five years, starting in 2021-22. 
ii) Budget 2021 proposes to expand the list of eligible equipment to include equipment used in pumped hydroelectric energy storage, renewable fuel production, hydrogen production by electrolysis of water, and hydrogen refueling. Certain existing restrictions related to investments in watercurrent, wave and tidal energy, active solar heating, and geothermal energy technologies would be removed. Budget 2021 proposes to update the eligibility criteria such that certain fossil-fuelled and low efficiency waste-fuelled electrical generation equipment will no longer be eligible after 2024. It is estimated that these measures will reduce federal revenues by $142 million over five years starting in 2021-22.</t>
  </si>
  <si>
    <t>CAN133</t>
  </si>
  <si>
    <t>CAD 1.06 billion</t>
  </si>
  <si>
    <t>Investments in clean tech included in Budget 2021.
i) up to $1 billion available on a cash basis, over five years, starting in 2021-22, to help draw in private sector investment for clean tech projects.
ii) $21.3 million over five years, starting in 2021-22, and $4.3 million per year ongoing, to Global Affairs Canada for the continuation of the International Business Development Strategy for Clean Technology. 
iii) in partnership with the Government of British Columbia, the government will provide up to $35 million to help establish the Centre for Innovation and Clean Energy to advance the scale-up and commercialization of clean technologies in B.C. and across Canada.</t>
  </si>
  <si>
    <t>CAN134</t>
  </si>
  <si>
    <t>CAD 46.4 million</t>
  </si>
  <si>
    <t>Funding from the Federal Budget 2021 (9.6 million over three years, starting in 2021-22) allocated to the creation of a Critical Battery Minerals Centre of Excellence at Natural Resources Canada. Additionally, $36.8 million over three years, starting in 2021-22, with $10.9 million in remaining amortization, allocated to Natural Resources Canada, for federal research and development to advance critical battery mineral processing and refining expertise</t>
  </si>
  <si>
    <t>CAN135</t>
  </si>
  <si>
    <t>CAD 14.9 million</t>
  </si>
  <si>
    <t>Funding from Budget 2021: $14.9 million over 4 years, starting in 2022-23, with $77.9 million in future years, to Public Services and Procurement Canada for a Federal Clean Electricity Fund to purchase renewable energy certificates for all federal government buildings. This will support the Government of Canada’s commitment to power federal buildings with 100 per cent clean electricity by 2022.</t>
  </si>
  <si>
    <t>CAN136</t>
  </si>
  <si>
    <t>CAD 295.3 million</t>
  </si>
  <si>
    <t>Funding from Budget 2021: a number of measures at strengthening government capacity to develop, carry out, and enforce provisions related to low-carbon fuels (including biofuels and hydrogen).
i) $ 67.4 million over seven years, starting in 2021-22, with $5.6 million in remaining amortization and $10.7 million ongoing, for Measurement Canada to ensure that commercial transactions of low-carbon fuels are measured accurately just as they are for conventional fuels. 
ii) $227.9 million over eight years, starting in 2023-24, to the Treasury Board Secretariat to implement a Low-Carbon Fuel Procurement Program within the Greening Government Fund, to support the long-term development of low-emission marine and aviation fuels.</t>
  </si>
  <si>
    <t>CAN137</t>
  </si>
  <si>
    <t>CAD 347.9 million</t>
  </si>
  <si>
    <t>Budget 2021: a number of measures aimed at strengthening government capacity to develop, carry out, and enforce climate mitigation regulations. These include: 
i) $67.2 million over seven years, starting in 2021-22, with $0.05 million in remaining amortization, to Environment and Climate Change Canada to implement and administer the Clean Fuel Standard
ii) $104.6 million over five years, starting in 2021–22, with $2.8 million in remaining amortization, to Environment and Climate Change Canada to strengthen greenhouse gas emissions regulations for light- and heavy-duty vehicles and off-road residential equipment, establish national methane regulations for large landfills, and undertake additional actions to reduce and better use waste at these sites. 
iii) $56.1 million over five years, starting in 2021-22, with $16.3 million in remaining amortization and $13 million per year ongoing, to Measurement Canada to develop and implement, in coordination with international partners such as the United States, a set of codes and standards for retail ZEV charging and fueling stations. 
iv) $94.4 million over five years, starting in 2021-22, to Environment and Climate Change Canada to increase domestic and international capacity and action to address climate change, enhance clean tech policy capacity, including in support of the Clean Growth Hub, and to fund reporting requirements under the Canadian Net-Zero Emissions Accountability Act. 
v) $25.6 million over five years, starting in 2021-22, and $5.8 million per year ongoing to Statistics Canada, and $1.9 million over five years, starting in 2021-22, and $0.3 million per year ongoing to Environment and Climate Change Canada to create a Census of the Environment to help monitor environmental trends and better inform decision making. 
vi) Consultations will be launched regarding a Border Carbon Adjustment - The government will also publish a green bond framework in the coming months in advance of issuing its inaugural federal green bond in 2021-22, with an issuance target of $5 billion, subject to market conditions
vii) Additional measures are being taken for climate risk disclosure, including requiring Crown corporations to disclose climate risk. 
viiI) Proposal to change how the Climate Action Incentive is paid to taxpayers through quarterly cheques instead of annual refundable credit; increased payments directly to farmers in backstop jurisdictions (Alberta, Saskatchewan, Manitoba, and Ontario), beginning in 2021-22 — estimated pay out to farmers will be $100 million in the first year.</t>
  </si>
  <si>
    <t>CAN138</t>
  </si>
  <si>
    <t>CAD 319</t>
  </si>
  <si>
    <t>Budget 2021: $319 million over seven years, starting in 2021-22, with $1.5 million in remaining amortization, to Natural Resources Canada to support research, development, and demonstrations that would improve the commercial viability of carbon capture, utilization, and storage technologies.</t>
  </si>
  <si>
    <t>CAN139</t>
  </si>
  <si>
    <t>Budget 2021: introduction of investment tax credit for capital invested in CCUS projects with the goal of reducing emissions by at least 15 megatonnes of CO2 annually. This measure will come into effect in 2022. The credit will also support hydrogen production.</t>
  </si>
  <si>
    <t>CAN140</t>
  </si>
  <si>
    <t>CAD 4.4 billion</t>
  </si>
  <si>
    <t>Budget 2021: $4.4 billion on a cash basis to the Canada Mortgage and Housing Corporation to help homeowners complete deep home retrofits through interest-free loans worth up to $40,000.</t>
  </si>
  <si>
    <t>CAN141</t>
  </si>
  <si>
    <t xml:space="preserve">(Saskatchewan) Owners of electric passenger vehicles registered in Saskatchewan will begin paying a new annual road-use fee of $150, effective October 1, 2021. This is an amendment under The Fuel Tax Act, 2000. </t>
  </si>
  <si>
    <t>https://www.saskatchewan.ca/government/news-and-media/2021/april/20/new-annual-fee-of-$150-on-electric-vehicles</t>
  </si>
  <si>
    <t>CAN142</t>
  </si>
  <si>
    <t>CAD 473 million</t>
  </si>
  <si>
    <t>(British Columbia) Provincial transportation investments in fiscal year 2021-22 include CAD 337 million for the Broadway Subway, and CAD 136 million for transit infrastructure.</t>
  </si>
  <si>
    <t>https://www.bcbudget.gov.bc.ca/2021/pdf/2021_Budget%20and%20Fiscal%20Plan.pdf</t>
  </si>
  <si>
    <t>CAN143</t>
  </si>
  <si>
    <t>CAD 968 million</t>
  </si>
  <si>
    <t>(British Columbia) Provincial transportation investments in fiscal year 2021-22 include CAD 314 million for highway corridor rehabilitation, CAD 162 million for side road improvements, CAD 225 million for the Pattullo Bridge replacement, and CAD 267 million for the Highway 1 work.</t>
  </si>
  <si>
    <t>CAN144</t>
  </si>
  <si>
    <t>CAD 26 million</t>
  </si>
  <si>
    <t>(British Columbia) $26 million to help families get around more affordably by making transit free for children aged 12 and under. This includes investments from the 2020/21 federal-provincial Safe Restart Agreement for transit and new Budget 2021 funding.</t>
  </si>
  <si>
    <t>CAN145</t>
  </si>
  <si>
    <t>CAD 57 million</t>
  </si>
  <si>
    <t>(British Columbia) From B.C. Budget 2021, operating funding to support energy efficient buildings and communities, includes: i) $34 million to reduce diesel consumption for electric generation in remote communities, ii) $11 million to develop and fund a new program for local governments to plan for building compact, energy efficient communities, and iii) $12 million in capital funding to support school districts under the Carbon Neutral Capital Program.</t>
  </si>
  <si>
    <t>https://www.bcbudget.gov.bc.ca/2021/pdf/2021_Budget%20and%20Fiscal%20Plan.pdf </t>
  </si>
  <si>
    <t>CAN146</t>
  </si>
  <si>
    <t>CAD 276 million</t>
  </si>
  <si>
    <t>(British Columbia) From B.C. Budget 2021:
i) $96 million for the CleanBC Program for Industry to reduce emissions, further expand British Columbia’s clean tech sector and support global competitiveness in the clean economy.
ii) $60 million to support the Centre for Innovation and Clean Energy and for cleantech investments to expand partnership opportunities with the federal government. BC is also introducing new program funding of $173 million in 2023/24 for the CleanBC Program for Industry in alignment with the planned carbon price increase. Capture in this line item is the allocation for 2021/22, at $120 million.</t>
  </si>
  <si>
    <t>CAN147</t>
  </si>
  <si>
    <t>(British Columbia) From B.C. Budget 2021, $10 million to further develop policy on reducing the carbon intensity of fuel and developing the hydrogen economy</t>
  </si>
  <si>
    <t>CAN148</t>
  </si>
  <si>
    <t>CAD 25 million</t>
  </si>
  <si>
    <t>(British Columbia) From B.C. Budget 2021, $18 million to support active transportation infrastructure like bike lanes, sidewalks, and multi-use pathways, plus a PST exemption on electric bikes that will save citizens an estimated $7 million annually</t>
  </si>
  <si>
    <t>CAN149</t>
  </si>
  <si>
    <t>CAD 94 million</t>
  </si>
  <si>
    <t>(British Columbia) From B.C. Budget 2021, $94 million in the Go Electric program, which provides rebates for purchases of zero-emissions vehicles, charging stations and supports the commercialization of heavy-duty vehicles.</t>
  </si>
  <si>
    <t>CAN150</t>
  </si>
  <si>
    <t>CAD 64.8 million</t>
  </si>
  <si>
    <t>Creation of the Airport Relief Fund, a contribution funding program to provide $64.8 million in financial relief to Canada’s airports that are struggling with the financial impact of reduced air travel due to the COVID‑19 pandemic. The Airport Relief Fund will provide immediate financial assistance to targeted eligible airports to help maintain operations and mitigate the risk of airport insolvency.</t>
  </si>
  <si>
    <t>https://www.canada.ca/en/transport-canada/news/2021/05/airport-relief-fund.html </t>
  </si>
  <si>
    <t>CAN151</t>
  </si>
  <si>
    <t>CAD 186 million</t>
  </si>
  <si>
    <t>One-time top-up funding of $186 million over two years to the existing Airports Capital Assistance Program. This financial support is directed at Canada’s smaller airports and is intended for safety improvements.</t>
  </si>
  <si>
    <t>https://www.canada.ca/en/transport-canada/news/2021/05/enhancement-of-the-airports-capital-assistance-program.html</t>
  </si>
  <si>
    <t>CAN152</t>
  </si>
  <si>
    <t>CAD 489.6 million</t>
  </si>
  <si>
    <t>The Airport Critical Infrastructure Program (ACIP) is a new contribution funding program to help Canada’s larger airports make critical investments in safety, security or connectivity to mass transit. With $489.6 million available over five years, the Program is intended to help eligible airports mitigate the financial impact of the COVID-19 pandemic. Eligible projects include: - Safety-related projects (e.g., runway and lighting rehabilitation) - Infrastructure projects for the purposes of operational efficiency and/or to enhance security at airports - Improvements to mass transit connections at airports</t>
  </si>
  <si>
    <t>https://www.canada.ca/en/transport-canada/news/2021/05/airport-critical-infrastructure-program.html</t>
  </si>
  <si>
    <t>CAN153</t>
  </si>
  <si>
    <t xml:space="preserve">(British Columbia) The B.C. government is expanding weight allowances for low-carbon commercial vehicles. B.C. is offering a 1,500 kg allowance to electrically powered, full-sized commercial vehicles and a 1,000 kg allowance to hydrogen-powered vehicles. To further support broad adoption, the government will make increases to maximum gross combination vehicle weight, up to 65,000 kg and 64,500 kg respectively. </t>
  </si>
  <si>
    <t>https://news.gov.bc.ca/releases/2021TRAN0035-000920 </t>
  </si>
  <si>
    <t>CAN154</t>
  </si>
  <si>
    <t>CAD 1.34 million</t>
  </si>
  <si>
    <t>The Clean Energy for Rural and Remote Communities (CERRC) program invested funding into the installation of 240 high-efficiency woodstoves into Nunatsiavut communities.</t>
  </si>
  <si>
    <t>https://www.canada.ca/en/natural-resources-canada/news/2021/05/canada-invests-in-indigenous-clean-energy-projects-in-northern-newfoundland-and-labrador.html
https://www.canada.ca/en/natural-resources-canada/news/2021/05/investing-in-indigenous-clean-energy-projects-in-newfoundland-and-labrador.html</t>
  </si>
  <si>
    <t>CAN155</t>
  </si>
  <si>
    <t>CAD 14.1 million</t>
  </si>
  <si>
    <t>The Government is investing $14.1 million through the FCM's Green Municipal Fund into communities in PEI and Nova Scotia. The funds will be used towards PACE Maritimes to finance energy efficiency, renewable energy, and energy storage.</t>
  </si>
  <si>
    <t xml:space="preserve">https://www.canada.ca/en/natural-resources-canada/news/2021/05/canada-and-fcm-invest-in-energy-efficiency-in-prince-edward-island-and-nova-scotia.html </t>
  </si>
  <si>
    <t>CAN156</t>
  </si>
  <si>
    <t>CAD 700 million</t>
  </si>
  <si>
    <t>Government financial support to Air Transat provided under the Large Employer Emergency Financing Facility (LEEFF). The funding comes with number of conditions, including refunds to air travellers (of which CAD 310 million will be used) and climate risk disclosure as required by the LEEFF program.</t>
  </si>
  <si>
    <t>https://www.cbc.ca/news/politics/travel-company-transat-at-reaches-700m-aid-deal-with-ottawa-1.6006792</t>
  </si>
  <si>
    <t>CAN157</t>
  </si>
  <si>
    <t>(Saskatchewan) S. government is investing $1.5 million in the Community Airport Partnership (CAP) program as part of Budget 2021-22. This funding will provide improvements to 19 community airports around the province. The CAP helps municipal airports offset the costs of rehabilitation, construction and infrastructure improvements by providing cost-shared grants, up to a maximum of $275,000. In 2020, the Government of Saskatchewan more than doubled its funding for the CAP program to $1.5 million. A portion of the 2021-22 investment, $650,000, comes from the $2 billion stimulus package announced in mid-2020.</t>
  </si>
  <si>
    <t>https://www.saskatchewan.ca/government/news-and-media/2021/april/29/government-invests-15-million-in-community-airports-to-support-economic-recovery</t>
  </si>
  <si>
    <t>CAN158</t>
  </si>
  <si>
    <t>The Government has partnered with Canada's cement sector to support the development and implementation of a "Roadmap to Net-Zero-Carbon Concrete". This work will provide Canadian cement and concrete industry with the technologies, tools, and policy needed to achieve net-zero carbon concrete by 2050.</t>
  </si>
  <si>
    <t>https://www.canada.ca/en/innovation-science-economic-development/news/2021/05/government-of-canada-and-cement-association-of-canada-announce-partnership-to-advance-global-leadership-in-low-carbon-concrete-production.html
https://www.ic.gc.ca/eic/site/icgc.nsf/eng/07730.html</t>
  </si>
  <si>
    <t>CAN159</t>
  </si>
  <si>
    <t>CAD 7.34 million</t>
  </si>
  <si>
    <t>(Alberta) Emissions Reduction Alberta invested in the Alberta Zero-Emissions Truck Electrification Collaboration (AZETEC) project which aims to address barriers to fuel cell electric truck adoption. The funds will be used to install and test a hydrogen fueling station for commercial fleet vehicles. The project will assist in supporting the decarbonization of the heavy-duty freight transportation sector.</t>
  </si>
  <si>
    <t>https://eralberta.ca/projects/details/alberta-zero-emissions-truck-electrification-collaboration-azetec/</t>
  </si>
  <si>
    <t>CAN160</t>
  </si>
  <si>
    <t>CAD 234 million</t>
  </si>
  <si>
    <t>(Ontario) The Ontario Government is beginning phase 2 of their Natural Gas Expansion Program. They are investing $234 million to expand natural gas accessibility and lower energy costs for rural, northern, and Indigenous communities, primarily through increased distribution.</t>
  </si>
  <si>
    <t>https://news.ontario.ca/en/backgrounder/1000297/ontario-brings-natural-gas-to-43-communities-with-phase-2-of-the-natural-gas-expansion-program
https://news.ontario.ca/en/release/1000298/ontario-expands-access-to-natural-gas-in-rural-northern-and-indigenous-communities</t>
  </si>
  <si>
    <t>CAN161</t>
  </si>
  <si>
    <t>CAD 15 million</t>
  </si>
  <si>
    <t xml:space="preserve">(Alberta) The Government of Canada has partnered with the Government of Alberta and Air Products Canada Ltd. to invest $1.3 billion into hydrogen production that the company says will be “close to net-zero,”. The investment will go towards the production of a 'blue' hydrogen facility (using natural gas with CCS) that will be operational by 2024. </t>
  </si>
  <si>
    <t>https://www.canada.ca/en/innovation-science-economic-development/news/2021/06/government-collaboration-supporting-the-future-of-albertas-clean-hydrogen-sector.html</t>
  </si>
  <si>
    <t>CAN162</t>
  </si>
  <si>
    <t>Financial assistance and waived royalties for Terra Nova Oilfield, to protect jobs and employees</t>
  </si>
  <si>
    <t>https://www.gov.nl.ca/releases/2021/exec/0616n06/</t>
  </si>
  <si>
    <t>CAN163</t>
  </si>
  <si>
    <t>CAD 0.19 million</t>
  </si>
  <si>
    <t>The Clean Energy for Rural and Remote Communities (CERRC) program invested funding into the Nunatsiavut Firewood Supply Chain Network. This pilot project provides affordable firewood to the residents of Nunatsiavut as an alternative fuel source to diesel.</t>
  </si>
  <si>
    <t>https://www.canada.ca/en/natural-resources-canada/news/2021/05/canada-invests-in-indigenous-clean-energy-projects-in-northern-newfoundland-and-labrador.html </t>
  </si>
  <si>
    <t>CAN164</t>
  </si>
  <si>
    <t>CAD 3.8 million</t>
  </si>
  <si>
    <t xml:space="preserve">(Saskatchewan) The S. Growth Plan committed to introducing a moratorium on associated natural gas royalties. With the 2021-22 Budget, the Province is meeting this commitment by implementing a royalty rate of 0% for a period of five years on all natural gas produced in association with oil. This will provide oil producers with approximately $3.8 million in annual royalty relief. This initiative is part of Saskatchewan’s Methane Action Plan. </t>
  </si>
  <si>
    <t>https://www.saskatchewan.ca/government/budget-planning-and-reporting/budget-2021-22</t>
  </si>
  <si>
    <t>CAN165</t>
  </si>
  <si>
    <t>CAD 444.6 million</t>
  </si>
  <si>
    <t>(Saskatchewan) From S. Budget 2021: investments for 2021-22 for highways capital and partnerships, as part of the Saskatchewan Capital Plan. Objective: stimulate Saskatchewan’s economic recovery.</t>
  </si>
  <si>
    <t>CHE1</t>
  </si>
  <si>
    <t>59.1 billion</t>
  </si>
  <si>
    <t xml:space="preserve">Federal Financial Stimulus Package (not connected to environmental standards)
Switzerland’s COVID-19 response primarily consists of a financial package of more than CHF57 billion ($59.1 billion) to help businesses and institutions cope with the impact of the coronavirus pandemic in Switzerland. Green industries are likely to benefit from this support, but  will not recieve any special treatment.
The package consists of loan guarantees to small and medium-sized companies (CHF40 billion), a scheme for short-time work compensation (CHF6 billion),  benefits for one-person business ventures (CHF5.3 billion) and aid for the Swiss aviation sector (CHF1.9 Billion, see CHE 3 for more details).
Several parliamentary parties tried to link federal COVID-19 aid to environmental standards, but these demands were rejected in the final package. 
</t>
  </si>
  <si>
    <t>https://www.swissinfo.ch/eng/sign-off-session_swiss-parliament-extends-coronavirus-relief-package/45737938</t>
  </si>
  <si>
    <t>https://www.imf.org/en/Topics/imf-and-covid19/Policy-Responses-to-COVID-19</t>
  </si>
  <si>
    <t>CHE2</t>
  </si>
  <si>
    <t>873 Million</t>
  </si>
  <si>
    <t xml:space="preserve">Grant/Loan Support for Swiss Rail and Public Transport
Federal Council has announced seperate fiscal meassures (primarily  grants and credit support) totaling 873 Million USD to help Switzerland's ailing Rail and Public Transport Industry in the wake of COVID-19. This has been justified on the grounds that Switzerland's emission reduction strategy is centered upon increased use of rail and public transport, and therefore the industry needs to come out strong from the crisis. 
</t>
  </si>
  <si>
    <t>https://www.admin.ch/gov/de/start/dokumentation/medienmitteilungen.msg-id-79707.html</t>
  </si>
  <si>
    <t>CHE3</t>
  </si>
  <si>
    <t>1.98 Billion</t>
  </si>
  <si>
    <t xml:space="preserve">Support for Civil Aviation Industry (Expanded August 26th)
As part of its $59 Billion Financial Stimuls Package (see CHE1) the government has provided aid to the Swiss Civil Aviation industry, totaling $1.93 Billion, to ensure vital transport infrastructure for the Swiss economy.
The government will provide CHF1.275 billion to guarantee loans to airlines operating in Switzerland, and CHF600 million to support aviation companies at national airports. On August 26th, a 130 million loan to air traffic control company Skyguide.
The target is to maintain the same level of airline connections and passenger traffic as the beginning of 2020 after the pandemic.The government has opened up for more support to the aviation industry if the crisis prolongs.
</t>
  </si>
  <si>
    <t>https://www.swissinfo.ch/eng/coronavirus-and-airlines_parliament-pays-up-to-keep-vital-swiss-air-links-open/45740514</t>
  </si>
  <si>
    <t>https://www.swissinfo.ch/eng/-parliament-agrees-extra-millions-for-covid-19-budget/46024120</t>
  </si>
  <si>
    <t>CHE4</t>
  </si>
  <si>
    <t>47 Million</t>
  </si>
  <si>
    <t xml:space="preserve">Financial support for Solar Energy Installations
The government has increased its financial support of residential and commercial rooftop solar energy markets to help the sectors withstand the COVID-19 crisis.
The Swiss government has increased financial support of its solar PV rebate scheme by $47 million. This means $387.6 million is now available in rebates for rooftop solar energy projects.
Switzerland recorded an increase in the number of residential consumers applying for rebates between 2018 and January 2020. Applications have declined over the past four months, a trend expected to continue due to the worsening pandemic. Authorities predict the situation would lead to failures in compensating for project costs without further financial support. 
</t>
  </si>
  <si>
    <t>https://www.smart-energy.com/renewable-energy/covid-19-switzerland-avoids-a-slump-in-the-solar-market/</t>
  </si>
  <si>
    <t>CHE5</t>
  </si>
  <si>
    <t>168 Million</t>
  </si>
  <si>
    <t xml:space="preserve">Credit Guarentees for Green Energy/Tech Start-ups (Expired in August)
 The Federal and Canton governments are deploying system of credit guarantees to shield start-ups from coronavirus-related insolvency.
Many (though not all) of these start-ups are expected to work within green tech/energy. The Confederation can guarantee up to CHF 100 million in total, and with the cantons, guarantees can be provided for up to CHF 154 million in credits.
</t>
  </si>
  <si>
    <t>CHE6</t>
  </si>
  <si>
    <t>N/A</t>
  </si>
  <si>
    <t xml:space="preserve">Maintenance of climate targets attatched to Civil Aviation Support
After a long debate, the Swiss government has decided it will not alter climate targets for its aviation industry in the wake of COVID-19. 
Consequently the government’s existing climate targets are still valid and airlines are expected to contribute to them in exchange for financial support.
</t>
  </si>
  <si>
    <t>https://www.reuters.com/article/us-health-coronavirus-swiss-politics/swiss-environmentalists-demand-green-recovery-after-coronavirus-idUSKBN22G1G3</t>
  </si>
  <si>
    <t>CHE7</t>
  </si>
  <si>
    <t>221.1 Million</t>
  </si>
  <si>
    <t xml:space="preserve">Increased subsidies for Renewable Energy Projects
 The federal government has decided to offer additional support for renewable energy by providing the electricity industry with greater planning and investment security, while strengthening supply security.
Subsidies for PV arrays, biomass installations, and hydroelectric power projects will be maintained until 2035, and owners of new wind farms, small hydropower plants, biogas projects, and geothermal facilities will be able to request additional subsidies to cover planning costs.
The cost of the redesigned incentive measures (all renewable) will amount to around CHF 215 million (USD 221.2 million) per year. Incentives will be financed via a levy collected on the network.
</t>
  </si>
  <si>
    <t>CHE8</t>
  </si>
  <si>
    <t>Swiss Parliament strentghen the countries CO2 Law to reduce carbon emissions by 50% by 2030 relative to 1990 levels.
The new law introduces numerous incentives to reduce greenhouse gas emissions in line with the Paris Agreement, include a tax on private jet flights as well as a tax on airline tickets of CHF30-120 ($33-131) depending on the flight distance.  Higher taxes on fossil fuels including oil are also part of the package.These are expected to genarate 500 Million CHF. 
This revenue will partially fund the creation of a special climate fund to research new technology.
In addition, the Swiss Financial Market Supervisory Authority and the Swiss National Bank will have to periodically measure the financial risks resulting from climate change.
A referendum has rejected this law (SEE ENTRY CHE11)</t>
  </si>
  <si>
    <t>https://www.swissinfo.ch/eng/politics/passengers-to-pay-a-co2-tax-on-plane-tickets/45826798</t>
  </si>
  <si>
    <t>https://www.swissinfo.ch/eng/parliament-agrees-on-air-ticket-tax-and-other-incentives-to-reach-climate-target/46052860 ; https://www.bbc.com/news/world-europe-57457384</t>
  </si>
  <si>
    <t>CHE9</t>
  </si>
  <si>
    <t>150 Million</t>
  </si>
  <si>
    <t xml:space="preserve">Swiss Government increases its contributions to the Green Climate Fund
Switzerland will commit $150 million (approx. CHF135 million) to the fund aimed at helping developing countries reduce greenhouse gas emissions and adapt to climate change, highlighting the need to enable financing following the COVID pandemic.
</t>
  </si>
  <si>
    <t>https://www.swissinfo.ch/eng/switzerland-to-substantially-boost-funding-of-green-climate-fund/45977814</t>
  </si>
  <si>
    <t>CHE10</t>
  </si>
  <si>
    <t>70 Million</t>
  </si>
  <si>
    <t xml:space="preserve">Swiss Government signs the worlds first Carbon Offset Deal with Peru
Switzerland has struck a carbon offsetting agreement with Peru, in what the two nations say is the first deal of its kind under Article 6 of the Paris agreement.
The deal signed on Tuesday allows Peru to fund sustainable development projects, while Switzerland gets to count the resulting emissions cuts against its national targets. It is expected to include initial Green Credit Lines of 70$ Million, and is expected to expand over time. 
</t>
  </si>
  <si>
    <t>https://www.climatechangenews.com/2020/10/21/peru-switzerland-sign-world-first-carbon-offset-deal-paris-agreement/</t>
  </si>
  <si>
    <t>CHE11</t>
  </si>
  <si>
    <t>Swiss referendum sees voter narrowly reject car fuel levy and tax on air tickets</t>
  </si>
  <si>
    <t>https://www.bbc.com/news/world-europe-57457384</t>
  </si>
  <si>
    <t>https://www.swissinfo.ch/eng/switzerland-votes-on-controversial-co2-law-/46695016</t>
  </si>
  <si>
    <t>https://www.gob.cl/chileserecupera/</t>
  </si>
  <si>
    <t>CHL2</t>
  </si>
  <si>
    <t>Minimum USD 35 millon in 2020 and USD 75 millons in 2021</t>
  </si>
  <si>
    <t xml:space="preserve">Corporate income tax (CIT) rate reduction to incentivise environmentally-friendly investments: 1% regional contribution to new investment in fixed assets above USD 10 millons, if approved by the System of Environmental Impact Assessment (Sistema de Evaluación de Impacto Ambiental). Valid for projects submitted until 31 December 2021. </t>
  </si>
  <si>
    <t xml:space="preserve">Ley de Modernización Tributaria: https://modernizaciontributaria.hacienda.cl/mas-recursos-para-chile </t>
  </si>
  <si>
    <t>CHL3</t>
  </si>
  <si>
    <t>Suspension of peak hour charge for electricity bills</t>
  </si>
  <si>
    <t>CHL4</t>
  </si>
  <si>
    <t>Postponement of the otherwise mandatory annual vehicle inspection and circulation permit</t>
  </si>
  <si>
    <t>https://www.chileatiende.gob.cl/fichas/23978-revision-tecnica-de-vehiculos-motorizados</t>
  </si>
  <si>
    <t>CHL5</t>
  </si>
  <si>
    <t> CLP 5000 million </t>
  </si>
  <si>
    <t>National Mobility Plan: Work with Municipalities to implement tactical urbanism initiatives</t>
  </si>
  <si>
    <t>http://www.subdere.gov.cl/sala-de-prensa/plan-nacional-de-movilidad-subdere-financia-124-proyectos-en-75-comunas</t>
  </si>
  <si>
    <t>CLP</t>
  </si>
  <si>
    <t>CHL6</t>
  </si>
  <si>
    <t> CLP 124700 million </t>
  </si>
  <si>
    <t>State Support Bonus and Solidarity Loan: Economic benefit to owners of buses, minibuses, cabs (urban and rural)</t>
  </si>
  <si>
    <t>CHL7</t>
  </si>
  <si>
    <t>USD 455 million</t>
  </si>
  <si>
    <t>water</t>
  </si>
  <si>
    <t>biodiversity</t>
  </si>
  <si>
    <t>Improving the irrigation system over 140 thousand hectares through over 1,600 modernization projects and irrigation works for small and medium farmers</t>
  </si>
  <si>
    <t>CHL8</t>
  </si>
  <si>
    <t>USD 481 million</t>
  </si>
  <si>
    <t>Improving access to drinking water in rural areas</t>
  </si>
  <si>
    <t>CHL9</t>
  </si>
  <si>
    <t>USD 376 million</t>
  </si>
  <si>
    <t>other</t>
  </si>
  <si>
    <t>Improving roadways and surface transport networks, by constructing, replacing and improving over 150 bridges</t>
  </si>
  <si>
    <t>CHL10</t>
  </si>
  <si>
    <t>USD 235 million</t>
  </si>
  <si>
    <t>Improving coastal protection and resilience against the impacts of climate change over more tha 10 coastal stretches</t>
  </si>
  <si>
    <t>CHL11</t>
  </si>
  <si>
    <t>USD 39 million</t>
  </si>
  <si>
    <t>Improving water management: development of 50 strategic plans for the management of water resources, of which 30 will be ready between 2020-2022; and strengthening of the national hydrometric and glaciological network.</t>
  </si>
  <si>
    <t>CHL12</t>
  </si>
  <si>
    <t>USD 403 million</t>
  </si>
  <si>
    <t>Improving the energy efficiency of public buildings: construction and improvement of public building projects such as police stations, schools, health centers, museums, theaters, and town hall buildings, among others.</t>
  </si>
  <si>
    <t>CHL 13</t>
  </si>
  <si>
    <t>USD 3 billion</t>
  </si>
  <si>
    <t>Extension of public transport networks (metro, railways, electric buses) and of bicycle lanes over 2020-22</t>
  </si>
  <si>
    <t>CHL 14</t>
  </si>
  <si>
    <t xml:space="preserve">Thermal conditioning and energy efficiency in private homes, through better isolation and design. </t>
  </si>
  <si>
    <t>CHL 15</t>
  </si>
  <si>
    <t>USD 152 Million</t>
  </si>
  <si>
    <t>Afforestation or reafforestation of over 24,000 hectares of land, to be accompanied by an improved wildfire risk management system</t>
  </si>
  <si>
    <t>CHL 16</t>
  </si>
  <si>
    <t>USD 262 million</t>
  </si>
  <si>
    <t xml:space="preserve">Municipalities will be supported with additional resources for the development of local investment initiatives in support of the most disadvantaged neighbourhoods. </t>
  </si>
  <si>
    <t>CHL 17</t>
  </si>
  <si>
    <t>Conservation of rainwater works in cities and alluvial control works.</t>
  </si>
  <si>
    <t>CHL 18</t>
  </si>
  <si>
    <t>Maintenance and expansion of runways and infrastructure in more than 10 airports and airfields, mainly in extreme regions.</t>
  </si>
  <si>
    <t>CHL 19</t>
  </si>
  <si>
    <t>Framework law on climate change (proposed); establishes, among other points, the actions necessary for different sectors to contribute to reducing greenhouse gas (GHG) emissions with a view to the country achieving carbon neutrality by 2050, and to contribute to mitigating the impacts of global warming. It also proposes measures to reduce the vulnerability of our territories and increase resilience to the adverse effects of climate change. draft was presented to Congress in January 2020 and is expected to pass its first approval in the Senate as the Executive Power has established an urgency of “immediate discussion” after the recent publishing of the last IPCC report. This means that the Senate has six days for its approval, and it should pass to its second discussion stage in the Lower House in the coming weeks</t>
  </si>
  <si>
    <t>https://www.induambiente.com/ministra-schmidt-reitero-urgencia-de-aprobar-ley-de-cambio-climatico-tras-informe-ipcc</t>
  </si>
  <si>
    <t>https://eur02.safelinks.protection.outlook.com/?url=http%3A%2F%2Fwww.senado.cl%2Fappsenado%2Ftemplates%2Ftramitacion%2Findex.php%3Fboletin_ini%3D13191-12&amp;data=04%7C01%7Cenrico.botta%40oecd.org%7C557e5131aece4b26121308d967debd31%7Cac41c7d41f61460db0f4fc925a2b471c%7C0%7C1%7C637655029678276438%7CUnknown%7CTWFpbGZsb3d8eyJWIjoiMC4wLjAwMDAiLCJQIjoiV2luMzIiLCJBTiI6Ik1haWwiLCJXVCI6Mn0%3D%7C1000&amp;sdata=SOiMgktQkpp4VibIhif2SqtYRqPvz%2BDzBjH2XVNpd0o%3D&amp;reserved=0</t>
  </si>
  <si>
    <t>Chile proposed - positive</t>
  </si>
  <si>
    <t>CHL 20</t>
  </si>
  <si>
    <t>green tax compensation framework (proposed), to promote low carbon investments and emissions’ reduction projects. The framework is currently under public consultation</t>
  </si>
  <si>
    <t>https://consultasciudadanas.mma.gob.cl/portal/consulta/109</t>
  </si>
  <si>
    <t>COL1</t>
  </si>
  <si>
    <t>Translated with www.DeepL.com/Translator (free version)</t>
  </si>
  <si>
    <t>https://coronaviruscolombia.gov.co/Covid19/acciones/acciones-de-servicios-publicos.html</t>
  </si>
  <si>
    <t>https://coronaviruscolombia.gov.co/Covid19/docs/decretos/minvivienda/354_DECRETO_819_DEL_4_DE_JUNIO_DE_2020.pdf</t>
  </si>
  <si>
    <t>COL2</t>
  </si>
  <si>
    <t>Increasing the budget (USD 375 thousand) for all the existing subsidies to poor families (Elderly, Youth in Action, and Families in Action programmes) and additional and extraordinary non-conditional payments</t>
  </si>
  <si>
    <t>https://ingresosolidario.prosperidadsocial.gov.co/</t>
  </si>
  <si>
    <t>COL3</t>
  </si>
  <si>
    <t>New and temporal (until June 2021) subsidy for informal workers not receiving other types of existing subsidies (Ingreso Solidario) in place until the end of 2020,</t>
  </si>
  <si>
    <t>COL4</t>
  </si>
  <si>
    <t>Evictions are suspended and rental payments cannot be increased; poorest households can differ the payment of public services in 36 months without interests .</t>
  </si>
  <si>
    <t>https://coronaviruscolombia.gov.co/Covid19/acciones/acciones-de-vivienda.html</t>
  </si>
  <si>
    <t>https://coronaviruscolombia.gov.co/Covid19/docs/decretos/minhacienda/245_DECRETO_579_2020.pdf</t>
  </si>
  <si>
    <t>COL5</t>
  </si>
  <si>
    <t>Goverment finances the salaries of workers in SMEs for three months  (for worker up to 5 minimum wages) since 13 April; subsidy of  40% of the minimum wage for firms with at least 20% reduction in turnover from May</t>
  </si>
  <si>
    <t>https://www.bancoldex.com/soluciones-financieras/lineas-de-credito/linea-colombia-responde-para-todos-3561</t>
  </si>
  <si>
    <t>COL6</t>
  </si>
  <si>
    <t>A period of grace and refinancing of credits for companies and individuals; change in the calendar for PIT payments (delayed until the end of 2020); extension of payment deadlines of CIT; extension of VAT deadline payment for taxpayers providing hotel and commercial passenger air transport services, theatrical activities and live shows; for taxpayers providing hotel and commercial passenger air transport services, theatrical activities and live shows extension of payment deadlines of parafiscal contribution for the promotion of tourism; a financial relief to SMEs having difficulties with their credits in the next 2 months;eliminating VAT and import tariffs on health equipment and aviation; suspension of social contributions (employer and employee) for 3 monthss; specific measures to support the culture and creativity sectors (orange economy);</t>
  </si>
  <si>
    <t>COL7</t>
  </si>
  <si>
    <t>COP 60 billion</t>
  </si>
  <si>
    <t>Colombia Responde: new credit line subsidized by the Ministry of Commerce, Industry and Tourism and the Business Development Bank Bancóldex to support companies and preserve employment, with a capped quota of COP 250 billion for the tourism, aviation and public events sectors and additional COP 350 billion for other sectors. Maximum amount granted per company: COP 3 billion for SMEs and COP 5 billion for large companies.</t>
  </si>
  <si>
    <t>https://www.globaltradealert.org/intervention/82755/state-loan/colombia-government-launches-credit-line-to-support-the-aviation-tourism-and-public-entertainment-sectors-covid-19</t>
  </si>
  <si>
    <t>COP</t>
  </si>
  <si>
    <t>COL8</t>
  </si>
  <si>
    <t>Reduction of gasoline price: average reduction for the 13 main cities of the country was $ 1,200 pesos (-13%), going from an average price of $ 9,159 to $ 7,958 pesos per gallon. Meanwhile, the average decrease in diesel for the 13 main cities was $ 800 pesos (-9%), going from $ 8,952 to $ 8,152 average pesos per gallon (16/03/2020).</t>
  </si>
  <si>
    <t>https://www.minenergia.gov.co/en/web/10180/historico-de-noticias?idNoticia=24183667, https://www.minenergia.gov.co/en/precios-ano-2020</t>
  </si>
  <si>
    <t>https://www.portafolio.co/economia/gobierno/gobierno-reduce-precio-de-la-gasolina-en-el-pais-539104</t>
  </si>
  <si>
    <t>COL9</t>
  </si>
  <si>
    <t>COP 70 billion</t>
  </si>
  <si>
    <t>The Government injected 70 billion pesos (7% of GDP) into the National Guarantee Fund to channel loans to the companies and people most affected by the fall in their income.</t>
  </si>
  <si>
    <t>Measures taken for the economy (coronaviruscolombia.gov.co)</t>
  </si>
  <si>
    <t>COL10</t>
  </si>
  <si>
    <t xml:space="preserve">Guarantees to finance 3 months salaries of SMEs up to 5 minimum wages, as long as no worker is fired; and special credit line to own accountant workers.                   </t>
  </si>
  <si>
    <t>COL11</t>
  </si>
  <si>
    <t>Increased quotas of the daily auctions to increase liquidity in the market and announced an asset purchase program (public or corporate debt securities);  the Central Bank cut the policy rate by 150 basic points to 2.75% during march, april and may meetings</t>
  </si>
  <si>
    <t>COL12</t>
  </si>
  <si>
    <t>On April 15th, reduced required reserves, injecting liquidity by COP 9 trillion</t>
  </si>
  <si>
    <t>COL13</t>
  </si>
  <si>
    <t>Vulnerable families can suspend the payment of public services for the month of April.</t>
  </si>
  <si>
    <t>COL14</t>
  </si>
  <si>
    <t>COP 17.3 billion</t>
  </si>
  <si>
    <t>the amount shown here is the  difference between the total budget for the “cresciemento limpio”  component  (e.g. 19,2 Billones) and the money going to thermal power plants (i.e. 1,9 bln COL) under this component of the Colombian recovery plans (i.e. under green growth they had money going to thermal power plants). Money going to thermal power plant is in the entry COL33</t>
  </si>
  <si>
    <t>Commitment to colombia's future (compromisoporcolombia.gov.co)</t>
  </si>
  <si>
    <t>COL15</t>
  </si>
  <si>
    <t>Goal to plant 180 million trees through incentives for silvopastoralism and agroforestry with community support</t>
  </si>
  <si>
    <t>https://idm.presidencia.gov.co/prensa/Paginas/Con-el-nuevo-Compromiso-por-el-Futuro-de-Colombia-el-pais-esta-haciendo-las-grandes-apuestas-Duque-200820.aspx</t>
  </si>
  <si>
    <t>https://id.presidencia.gov.co/Paginas/prensa/2020/Nace-el-nuevo-Compromiso-por-el-Futuro-de-Colombia-200807.aspx; Contador de Arboles 5M (arcgis.com)</t>
  </si>
  <si>
    <t>COL16</t>
  </si>
  <si>
    <t>COP 1.5 billion</t>
  </si>
  <si>
    <t>Accelerate infrastructure projects including ports, airports, aqueducts and treatment plants and fourth and fifth generation highways. Conclude development of 14 national roads, 8 regional ones and initiate 22 highway projects (49 projects, 64 000 direct jobs and 140 000 in total incl. indirect jobs)</t>
  </si>
  <si>
    <t>https://www.bnamericas.com/en/news/colombia-consolidated-the-reactivation-of-4g-highways-during-2020</t>
  </si>
  <si>
    <t>https://id.presidencia.gov.co/Paginas/prensa/2020/Nace-el-nuevo-Compromiso-por-el-Futuro-de-Colombia-200807.aspx</t>
  </si>
  <si>
    <t>COL17</t>
  </si>
  <si>
    <t>Accelerate ratification of Escazu Agreement: Regional Agreement on Access to Information, Public Participation and Justice in Environmental Matters in Latin America and the Caribbean</t>
  </si>
  <si>
    <t>COL18</t>
  </si>
  <si>
    <t>Proposal for new legislation to combat illegal mining</t>
  </si>
  <si>
    <t>COL19</t>
  </si>
  <si>
    <t>Accelerate construction of Dique canal to adapt to flood risk and improve navigation</t>
  </si>
  <si>
    <t>COL20</t>
  </si>
  <si>
    <t>Commitment to improve the sustainability of mining and energy sectors (although also plan to continue exploration)</t>
  </si>
  <si>
    <t>COL21</t>
  </si>
  <si>
    <t>COP 1500 billion</t>
  </si>
  <si>
    <t>"Colombia Agro Produce" line credit launched by the Ministry of Agriculture allowing farmers to benefit from lower interest rates (3.5% small producers; 4.5% medium-large producers) up to a3 years, one year grace. Financial aid will be provided for farmers over 70s not covered by other government programs.</t>
  </si>
  <si>
    <t>https://www.bancoagrario.gov.co/BancaAgropecuaria/Paginas/LEC_COLOMBIA_AGRO_PRODUCE.aspx</t>
  </si>
  <si>
    <t>https://coronaviruscolombia.gov.co/Covid19/acciones/acciones-de-agricultura.html</t>
  </si>
  <si>
    <t>COL22</t>
  </si>
  <si>
    <t>Direct subsidies to rural and community aqueducts (COP 14 400/month per user) guaranteeing access to drinking water and basic sanitation and reducing related bills. The 1,621 rural operators registered with the Superintendency of Public Services may apply to this subsidy</t>
  </si>
  <si>
    <t>COL 23</t>
  </si>
  <si>
    <t>Granting of liquidity line to public utilities companies as well as provisions for the Ministry of Energy to provide them with subsidies</t>
  </si>
  <si>
    <t>http://www.regiones.gov.co/Inicio/assets/files/189_decreto_517_2020.pdf</t>
  </si>
  <si>
    <t>Global Recovery Observatory - Oxford University Economic Recovery Project</t>
  </si>
  <si>
    <t>COL 24</t>
  </si>
  <si>
    <t>COP 573.896 billion</t>
  </si>
  <si>
    <t>Creation of a credit line for green investments from Findeter (publicly owned national development bank linked to MoF and Public Credit).</t>
  </si>
  <si>
    <t>https://www.funcionpublica.gov.co/eva/gestornormativo/norma.php?i=113699</t>
  </si>
  <si>
    <t>https://www.findeter.gov.co/transparencia-y-acceso-a-la-informaci%C3%B3n-publica/estados-financieros#cont; https://www.minhacienda.gov.co/webcenter/ShowProperty?nodeId=%2FConexionContent%2FWCC_CLUSTER-158933%2F%2FidcPrimaryFile&amp;revision=latestreleased</t>
  </si>
  <si>
    <t>COL 25</t>
  </si>
  <si>
    <t>Financial support for green energy: The Ministry of Mines and Energy may use the uncommitted resources of the Electricity Networks Standardization Program -PRONE- with destination to the assignment and execution of new projects or that are already being executed</t>
  </si>
  <si>
    <t>https://recovery.smithschool.ox.ac.uk/tracking/</t>
  </si>
  <si>
    <t>COL 26</t>
  </si>
  <si>
    <t>Measures included in the Project of Law on Turism: reduction of VAT on air tickects from 19% to 5% until end of 2022, temporary suspension of energy surcharge for hotels</t>
  </si>
  <si>
    <t>COL 27</t>
  </si>
  <si>
    <t>COP 300 billion</t>
  </si>
  <si>
    <t>The Territorial Development Bank (Findeter), the Ministry of Mines and Energy and the Ministry of Finance and Public Credit, launched the new rediscount credit line with offset rate called 'PSPD Energy and Fuel Gas Commitment' that benefits official, mixed and private domestic public service providers of electricity and fuel gas , from all over the country. This credit line, which has $300,000 million for liquidity and working capital, has two tranches: tranche one, for $100,000 million, allows to finance the deferral of the bills of residential users of strata 1 and 2 that are above basic or subsistence consumption. With tranche two, for $200,000 million, it will be possible to finance the total cost of the bill of residential users of strata 3 and 4.</t>
  </si>
  <si>
    <t>COL 28</t>
  </si>
  <si>
    <t>Tourism Law (L. 2068 of 31/12/2020) aiming at promoting sustainability by implementing mechanisms for the conservation, protection and use of tourist destinations and attractions, as well as to strengthen the formalization and competitiveness of the sector and to promote the recovery of the tourism industry, through the creation of incentives, the strengthening of quality and the adoption of measures to promote the transformation and opportunities of the sector.</t>
  </si>
  <si>
    <t>Measures taken for tourism (coronaviruscolombia.gov.co)</t>
  </si>
  <si>
    <t>https://www.mincit.gov.co/prensa/noticias/documentos-noticias/ley-2068-del-31-de-diciembre-de-2020.aspx; http://colombiasigueadelante.mincit.gov.co/colombia_sigue_adelante/media/archivos/pdf/ABECE-febrero-2021-Ley-de-Turismo.pdf</t>
  </si>
  <si>
    <t>COL 29</t>
  </si>
  <si>
    <t>Fund Mujer Emprende: aimed at promoting and financing women's enterprises, companies and associations in the country, including rural areas.</t>
  </si>
  <si>
    <t>http://colombiasigueadelante.mincit.gov.co/ejes/compromiso</t>
  </si>
  <si>
    <t>https://emprendimientoinnpulsa.com/convocatoria/nucleo-e-mujer</t>
  </si>
  <si>
    <t>COL30</t>
  </si>
  <si>
    <t>The Ministry of Finance and Public Credit announced the decision of the national government to participate in the restructuring of Avianca, in a Press Bulletin, dated August 28, 2020, where the authorization given by the Emergency Mitigation Fund Administration Committee was communicated (FOME).
The operation will be done through a loan for up to $ 370 million dollars in an 18-month transaction that corresponds to the estimated time that the restructuring process of the company lasts under the framework of Chapter 11 of the Bankruptcy Code of the United States of America.
According to the Government, Avianca contributes approximately 500 thousand direct and indirect jobs and its operation represents approximately $ 14.6 billion pesos a year for the Colombian economy. Amount committed COP billion 1365.6/USD million 370)</t>
  </si>
  <si>
    <t>https://www.contraloria.gov.co/contraloria/sala-de-prensa/boletines-de-prensa/boletines-de-prensa-2020/-/asset_publisher/9IOzepbPkrRW/content/en-el-marco-de-especial-seguimiento-a-los-recursos-del-fome-contraloria-verifica-sustento-tecnico-del-credito-de-hasta-por-us-370-millones-dado-por-la (accessed 11/11/2020)</t>
  </si>
  <si>
    <t>https://www.eltiempo.com/economia/empresas/avianca-minhacienda-dice-que-el-credito-de-para-la-aerolinea-tiene-garantias-535011 (accessed 11/11/2020)</t>
  </si>
  <si>
    <t>COL31</t>
  </si>
  <si>
    <t>COP 4.305 billion</t>
  </si>
  <si>
    <t xml:space="preserve">The Ministry of Mines and Energy authorized an increase of 10 percentage points to the natural gas subsidies received by users of strata 1 and 2, on subsistence consumption, in the context of the emergency due to COVID-19. Strata 1 residential users who had been receiving a 60% subsidy will be increased to 70%, while the 50% subsidy received by strata 2 will increase to 60% for an additional billing cycle.(Resolution 410905 of 16th October 2020 by the Ministry of Mines and Energy)
</t>
  </si>
  <si>
    <t>", https://www.minenergia.gov.co/web/10180/historico-de-noticias?idNoticia=24242249_x000D_
, https://www.minenergia.gov.co/documents/10180//23517//48717-410905-2020.pdf"</t>
  </si>
  <si>
    <t>", https://forbes.co/2020/10/16/negocios/mas-subsidios-aumentan-10-puntos-porcentuales-en-las-ayudas-de-gas-natural-para-estratos-1-y-2/_x000D_
, https://www.elpaisvallenato.com/2020/10/17/aumento-de-10-puntos-porcentuales-en-subsidios-de-gas-natural-para-estratos-1-y-2-aplicara-para-octubre/"</t>
  </si>
  <si>
    <t>COL32</t>
  </si>
  <si>
    <t>Medellin's administration plans to expand bike lanes by almost 50% within three years, to 145 kilometres, and more than double the number of interconnected public transport lines, including overland trains, trams and cable car lines, to 26 by 2030. The city aims at providing 50,000 electric bikes that residents can rent cheaply and to electrify all public transport by the end of the decade.</t>
  </si>
  <si>
    <t>https://www.concejodemedellin.gov.co/es/linea-4-ecociudad?language_content_entity=es (accessed 9/10/2020), , https://www.concejodemedellin.gov.co/sites/default/files/L%C3%ADnea%20estrat%C3%A9gica%204%20-%20Ecociudad.pdf (accessed 9/10/2020)</t>
  </si>
  <si>
    <t>https://news.trust.org/item/20200526120704-w3g8g/</t>
  </si>
  <si>
    <t>COL33</t>
  </si>
  <si>
    <t>COP 1.9 billion</t>
  </si>
  <si>
    <t xml:space="preserve">budget for the thermal power plants (i..e  around 1,973,720 COL ) under the “cresciemento limpio”  component of cloumbia recovery plant (see entry COL14)
</t>
  </si>
  <si>
    <t>CRI1</t>
  </si>
  <si>
    <t xml:space="preserve">3 month moratorium on payment of VAT and Customs and import Tariffs by companies </t>
  </si>
  <si>
    <t>https://www.thecentralamericangroup.com/five-costa-rican-covid-19-economic-measures/#contactus</t>
  </si>
  <si>
    <t>CRI3</t>
  </si>
  <si>
    <t>USD 1.6 billion</t>
  </si>
  <si>
    <t>USD 1.6 billion in gurantees and loans on preferential rates towards working capital and start-up capital (applicable to all entities in the productive sector). Proceeds of the loan may be used for seed capital, purchase of supplies, or for the payment of payroll, according to the needs of tourism, commerce, restaurants, agriculture, livestock, construction, artistic activities, among others.</t>
  </si>
  <si>
    <t>1. https://intallaght.ie/costa-rica-government-announces-%E2%82%A1-900-billion-in-loans-to-the-productive-sector-for-the-countrys-recovery/ 2.  https://www.caribbean-council.org/costa-rican-government-announces-post-pandemic-economic-stimulus-package/ 3. https://www.efe.com/efe/america/economia/costa-rica-anuncia-1-500-millones-dolares-en-creditos-para-recuperar-la-economia/20000011-4241970</t>
  </si>
  <si>
    <t>CRI4</t>
  </si>
  <si>
    <t>USD 5.5. billion</t>
  </si>
  <si>
    <t xml:space="preserve">USD 5.5 billion public investment over 2020-2021. Notable projects inlcude:  Route 27 (US $ 500 million), Route 32: San José – Río (US $ 640 million), Route 1: Road Corridor San José – San Ramón (US $ 400 million), Route 2: San José – Cartago 400 (US $ 400 million) and the Electric Passenger Train (US $ 550 million). The Elecrtic Passenger Train is a flagship project and key piece transportation infrastruture for the country. </t>
  </si>
  <si>
    <t>1. https://intallaght.ie/costa-rica-government-announces-%E2%82%A1-900-billion-in-loans-to-the-productive-sector-for-the-countrys-recovery/ 2. https://www.prensa-latina.cu/index.php?o=rn&amp;id=364412&amp;SEO=gobierno-de-costa-rica-revelara-medidas-para-recuperacion-economica</t>
  </si>
  <si>
    <t>CRI5</t>
  </si>
  <si>
    <t xml:space="preserve">Bill to modernise the National Learning Institute and give it greater lattitude to respond to the skilling needs of the young population and enahnce employability in post COVID economy. This includes freelance work. </t>
  </si>
  <si>
    <t>https://intallaght.ie/costa-rica-government-announces-%E2%82%A1-900-billion-in-loans-to-the-productive-sector-for-the-countrys-recovery/</t>
  </si>
  <si>
    <t/>
  </si>
  <si>
    <t>CRI6</t>
  </si>
  <si>
    <t>The productivity of SMEs, agriculture and tourism will be boosted with tailored programs. In June, an e-commerce platform will be launched to bring supply and demand closer together to reduce transaction costs and deepen value chains. The AGROINNOVA 4.0 program will be promoted, which encourages the use of high technology to improve productivity and sustainability in the agricultural sector, replicating it in various parts of the country.</t>
  </si>
  <si>
    <t>CRI7</t>
  </si>
  <si>
    <t xml:space="preserve">USD 300 million </t>
  </si>
  <si>
    <t xml:space="preserve">USD 300 milliion loan by the world bank to support the Government's recovery measures. The loan focuses on promoting low-carbon development inlcuding fostering the recovery of a steady growth trajectory post COVID-19, by strengthening the country’s foundations for green growth and low-carbon development. Measures include accelerating the deployment of low-carbon technologies and expanding resilience of the national energy system. Taking out the loan points to future public expenditure to encourage green infrastructrue. </t>
  </si>
  <si>
    <t>https://www.worldbank.org/en/news/press-release/2020/06/25/apoyo-del-banco-mundial-a-costa-rica-para-promover-la-recuperacion-economica-y-un-desarrollo-bajo-en-carbono</t>
  </si>
  <si>
    <t>CRI8</t>
  </si>
  <si>
    <t xml:space="preserve">USD 300 million loan by the CABEI to support the Government's recover measures and ensure low-carbon development. Taking out this loan alos points towards future expeditures in low-carbon infrastructure and initiatives. </t>
  </si>
  <si>
    <t>https://www.eleconomista.net/actualidad/BCIE-aprueba-300-millones-a-Costa-Rica-para-recuperacion-economica-20200724-0008.html</t>
  </si>
  <si>
    <t>CRI9</t>
  </si>
  <si>
    <t>USD 44.244 million</t>
  </si>
  <si>
    <t xml:space="preserve">Removal of fossil fuel subsidies taking advantage of low international oil prices to protect workers that lost their job due to COVID 19 pandemic (Colon billion 27). </t>
  </si>
  <si>
    <t>https://www.elmundo.cr/costa-rica/aprueban-en-segundo-debate-proyecto-que-crea-subsidio-en-favor-de-trabajadores/</t>
  </si>
  <si>
    <t>CRI11</t>
  </si>
  <si>
    <t>USD 1.75 billion</t>
  </si>
  <si>
    <t>IMF and Costa Rica agreed on a 3-year US$1.75bn extended fund facility deal. The government's proposed adjustment is dominated by expenditure-side policy changes, from a reform to public-sector wages. These will be complemented by the elimination of a number of tax exemption</t>
  </si>
  <si>
    <t>http://country.eiu.com/article.aspx?articleid=1500651533&amp;Country=Costa+Rica&amp;topic=Economy</t>
  </si>
  <si>
    <t>CRI12</t>
  </si>
  <si>
    <t>NA</t>
  </si>
  <si>
    <t>Deferral of the roll-out of the VAT on consutrction and tourism  ; and one-off tax relief on car registration tax in 2020</t>
  </si>
  <si>
    <t>https://www.imf.org/en/Topics/imf-and-covid19/Policy-Responses-to-COVID-19#U</t>
  </si>
  <si>
    <t>CRI13</t>
  </si>
  <si>
    <t>Cost Rica has resumed its weekday odd/even driving restrictions, a measure it has adopted on several occasions in response tot he pandemic.</t>
  </si>
  <si>
    <t>https://ticotimes.net/2021/06/28/stricter-costa-rica-driving-restrictions-resume-Monday</t>
  </si>
  <si>
    <t>CRI14</t>
  </si>
  <si>
    <t>Costa Rica receives US$300 million from the World Bank to support post pandemic recovery. The second “Fiscal and Decarbonization Management Development Policy Loan” builds on the first loan approved on June 24, 2020</t>
  </si>
  <si>
    <t>https://www.worldbank.org/en/news/press-release/2021/06/29/costa-rica-recibe-us-300-millones-del-banco-mundial-para-apoyar-la-recuperaci-n-pospandemia</t>
  </si>
  <si>
    <t>CZE1</t>
  </si>
  <si>
    <t>3.3 billion CZK</t>
  </si>
  <si>
    <t>The Government has released 3.3 billion CZK for the 2020 Rural Development Program. This funding should help entrepreneurs in agriculture, food and forestry while fighting coronavirus crisis. The main reason for this support is to secure Czech food self-sufficiency.</t>
  </si>
  <si>
    <t>https://www.vlada.cz/en/media-centrum/aktualne/measures-adopted-by-the-czech-government-against-coronavirus-180545/</t>
  </si>
  <si>
    <t>CZK</t>
  </si>
  <si>
    <t>CZE2a</t>
  </si>
  <si>
    <t>A bill on an anti-crisis tax package: shortening the deadline for refunding the overpayment of excise duty on so-called "green diesel"</t>
  </si>
  <si>
    <t>CZE2b</t>
  </si>
  <si>
    <t>A bill on an anti-crisis tax package: reduction to 25 percent in road tax on lorries over 3.5 tonnes</t>
  </si>
  <si>
    <t>CZE3</t>
  </si>
  <si>
    <t>6.5 billion CZK</t>
  </si>
  <si>
    <t>The preparation of state orders for transport infrastructure - for maintenance, repairs or new investments has been approved. Through the State Fund for Transport Infrastructure, the state will spend 6.5 billion CZK in excess of the current budget. The contractual deadlines for these contracts were also extended.</t>
  </si>
  <si>
    <t>CZE4</t>
  </si>
  <si>
    <t>67.5 billion CZK</t>
  </si>
  <si>
    <t>Pillar 2 of the National Recovery Plan: Physical Infrastructure and Green Transition (green agenda part)</t>
  </si>
  <si>
    <t>http://www.planobnovycr.cz (in Czech language)</t>
  </si>
  <si>
    <t>CZE5</t>
  </si>
  <si>
    <t>17.7 billion CZK</t>
  </si>
  <si>
    <t>Pillar 2 of the National Recovery Plan: Physical Infrastructure and Green Transition (non-green agenda part)</t>
  </si>
  <si>
    <t>CZE6</t>
  </si>
  <si>
    <t>8.6 billion CZK</t>
  </si>
  <si>
    <t>Pillar 3 of the National Recovery Plan: Education and Job Market (green agenda part)</t>
  </si>
  <si>
    <t>CZE7</t>
  </si>
  <si>
    <t>33.2 billion CZK</t>
  </si>
  <si>
    <t>Pillar 3 of the National Recovery Plan: Education and Job Market (non-green agenda part)</t>
  </si>
  <si>
    <t>CZE8</t>
  </si>
  <si>
    <t>0.4 billion CZK</t>
  </si>
  <si>
    <t>Pillar 4 of the National Recovery Plan: Institutions, Regulation and Business Support in Reaction to COVID-19 (green agenda part)</t>
  </si>
  <si>
    <t>CZE9</t>
  </si>
  <si>
    <t>10.9 billion CZK</t>
  </si>
  <si>
    <t>Pillar 4 of the National Recovery Plan: Institutions, Regulation and Business Support in Reaction to COVID-19 (non-green agenda part)</t>
  </si>
  <si>
    <t>CZE10</t>
  </si>
  <si>
    <t>0.2 billion CZK</t>
  </si>
  <si>
    <t>Pillar 5 of the National Recovery Plan: Research, Development and Innovation (green agenda part)</t>
  </si>
  <si>
    <t>CZE11</t>
  </si>
  <si>
    <t>13.2 billion CZK</t>
  </si>
  <si>
    <t>Pillar 5 of the National Recovery Plan: Research, Development and Innovation (non-green agenda part)</t>
  </si>
  <si>
    <t>CZE12</t>
  </si>
  <si>
    <t>Government Decree No. 240/2021 on the protection of agricultural land against erosion</t>
  </si>
  <si>
    <t>http://aplikace.mvcr.cz/sbirka-zakonu/ViewFile.aspx?type=c&amp;id=39161</t>
  </si>
  <si>
    <t>CZE13</t>
  </si>
  <si>
    <t>1.3 billion CZK for 2020</t>
  </si>
  <si>
    <t>Government Decree No. 214/2021 on the Determination of the Amount of State Budget Funds earmarked for the provision of financial compensation for indirect costs for sectors in which a significant risk of carbon leakage was identified as a result of the pass-through of greenhouse gas emissions into electricity prices, for 2020</t>
  </si>
  <si>
    <t>https://www.sbirka.cz/POSL4TYD/NOVE/21-214.htm</t>
  </si>
  <si>
    <t>CZE14</t>
  </si>
  <si>
    <t>Law No. 88/2021 amending Law No. 44/1988 On the protection and use of mineral wealth (the Mining Act), as amended, and other related acts</t>
  </si>
  <si>
    <t>http://aplikace.mvcr.cz/sbirka-zakonu/ViewFile.aspx?type=c&amp;id=39091</t>
  </si>
  <si>
    <t>CZE15</t>
  </si>
  <si>
    <t>Government Decree No. 55/2021 amending Government Decree No. 331/2019 On the conditions for implementing the follow-up measure on organic farming, as amended by Government Order No. 217/2020 and other related Government Decree</t>
  </si>
  <si>
    <t>http://aplikace.mvcr.cz/sbirka-zakonu/ViewFile.aspx?type=c&amp;id=39075</t>
  </si>
  <si>
    <t>CZE16</t>
  </si>
  <si>
    <t>Government Decree No. 54/2021 amending Government Decree No. 330/2019, On the conditions for the implementation of related agri-environmental-climate measures, as amended by Government Decree No. 217/2020 Coll., And Government Decree No. 75/2015 On the implementation agri-environmental-climate measures and amending Government Regulation No. 79/2007 On the conditions for the implementation of agri-environmental measures, as amended, as amended</t>
  </si>
  <si>
    <t>CZE17</t>
  </si>
  <si>
    <t>Government Decree No. 565/2020 on the Conditions for Providing Compensation for Indirect Costs for Sectors where a significant risk of carbon leakage has been identified as a result of the pass-through of greenhouse gas emissions into electricity prices</t>
  </si>
  <si>
    <t>http://aplikace.mvcr.cz/sbirka-zakonu/ViewFile.aspx?type=c&amp;id=39029</t>
  </si>
  <si>
    <t>CZE18</t>
  </si>
  <si>
    <t>Government Decree No. 496/2020 on the Conditions for the Use of Funds of the State Fund for Investment Support in the Form of Support Provided for the Revitalization of Areas with Old Construction Loads (Brownfields) for Non-Economic Use. 0.4 to 50 million CZK per project</t>
  </si>
  <si>
    <t>http://aplikace.mvcr.cz/sbirka-zakonu/ViewFile.aspx?type=c&amp;id=38998</t>
  </si>
  <si>
    <t>CZE19</t>
  </si>
  <si>
    <t>27 billion CZK in total</t>
  </si>
  <si>
    <t>Government Decree No. 383/2020 on the Determination of State Budget Funds Pursuant to Section 28 Paragraph 3 of the Act on Supported Energy Sources for 2021</t>
  </si>
  <si>
    <t>http://aplikace.mvcr.cz/sbirka-zakonu/ViewFile.aspx?type=c&amp;id=38946</t>
  </si>
  <si>
    <t>CZE20</t>
  </si>
  <si>
    <t xml:space="preserve">Government Decree No. 326/2020 amending Government Decree No. 145/2008, which lays down the list of pollutants and threshold values and data required for reporting to the integrated register of environmental pollution, as amended by Government Decree No. 450/2011 Coll. </t>
  </si>
  <si>
    <t>http://aplikace.mvcr.cz/sbirka-zakonu/ViewFile.aspx?type=c&amp;id=38917</t>
  </si>
  <si>
    <t>CZE21</t>
  </si>
  <si>
    <t>Government Decree No. 280/2020 on the Establishment of Rules for the Classification of Road Motor Vehicles in Emission Categories and on Emission Plaques</t>
  </si>
  <si>
    <t>http://aplikace.mvcr.cz/sbirka-zakonu/ViewFile.aspx?type=c&amp;id=38889</t>
  </si>
  <si>
    <t>CZE22</t>
  </si>
  <si>
    <t>Government Decree No. 277/2020 amending Government Decree No. 262/2012 On the identification of vulnerable areas and the action program, as amended</t>
  </si>
  <si>
    <t>http://aplikace.mvcr.cz/sbirka-zakonu/ViewFile.aspx?type=c&amp;id=38887</t>
  </si>
  <si>
    <t>DEU1</t>
  </si>
  <si>
    <t>0 EUR</t>
  </si>
  <si>
    <t xml:space="preserve">Removal of solar PV cap; increase of offshore wind target from 15 to 20 GW in 2030. Option for Laender to introduce 1000 minimum distance regulation between wind turbines to increase public acceptability. new opportunity for municipalities and local inhabitants to benefit financially from wind production profits.  </t>
  </si>
  <si>
    <t>https://www.bundesfinanzministerium.de/Content/DE/Standardartikel/Themen/Schlaglichter/Konjunkturpaket/2020-06-03-eckpunktepapier.pdf?__blob=publicationFile</t>
  </si>
  <si>
    <t>DEU2</t>
  </si>
  <si>
    <t>2000000000 EUR</t>
  </si>
  <si>
    <t>Financial top up of building refurbishment program for 2020 and 2021</t>
  </si>
  <si>
    <t>DEU3</t>
  </si>
  <si>
    <t>1000000000 EUR</t>
  </si>
  <si>
    <t>1 billion-euro investment to help aircraft cut carbon dioxide emissions by 30%</t>
  </si>
  <si>
    <t>https://www.bloomberg.com/news/articles/2020-06-05/germany-s-recovery-fund-gets-green-hue-with-its-focus-on-climate</t>
  </si>
  <si>
    <t>DEU4</t>
  </si>
  <si>
    <t>9000000000 EUR</t>
  </si>
  <si>
    <t>9 billion euros through 2040 to build 15 gigawatts of clean hydrogen capacity.</t>
  </si>
  <si>
    <t>DEU5</t>
  </si>
  <si>
    <t>700000000 EUR</t>
  </si>
  <si>
    <t xml:space="preserve">700 Million euro to maintain and promote sustainable forestry management, including digitisation of forestry sector and support to investments in modern machinery. </t>
  </si>
  <si>
    <t>DEU6</t>
  </si>
  <si>
    <t>5000000000 EUR</t>
  </si>
  <si>
    <t xml:space="preserve"> Support to Deutsche Bahn national railway; directed more at propping up distressed operations than reshaping the future of mass transit.</t>
  </si>
  <si>
    <t>DEU7</t>
  </si>
  <si>
    <t>11000000000 EUR</t>
  </si>
  <si>
    <t xml:space="preserve">Overhaul of the way Germany has financed its switch to green power, which so far relied on mandatory surcharges that were added to consumers’ electricity bills. At a cost of some 11 billion euros, the government will step in and cut retail-power costs by two euro cents for every kilowatt-hour consumed, which in turn will help drive down the green surcharge for consumers </t>
  </si>
  <si>
    <t>DEU8</t>
  </si>
  <si>
    <t>1200000000 EUR</t>
  </si>
  <si>
    <t>Investment in bus and truck modernisation program plus increase of financial support for electric buses and charging infrastructure to increase demand for e-buses until end of 2021</t>
  </si>
  <si>
    <t>DEU9</t>
  </si>
  <si>
    <t>Injection of new money into research programs to make shipping cleaner: development of new program for new government fleets and LNG refueling; also includes river bank refurbishment and lock modernisation (immediate prgogramme starting in 2021)</t>
  </si>
  <si>
    <t>DEU10</t>
  </si>
  <si>
    <t>2 500 000 000 EUR</t>
  </si>
  <si>
    <t>Additional 2,5 bn Euro to support charging infrastructure for Evs and support R&amp;D in electric mobility and battery manufacturing until 2030</t>
  </si>
  <si>
    <t>DEU11</t>
  </si>
  <si>
    <t>2 000 000 EUR</t>
  </si>
  <si>
    <t>Help switch social services/ charities to use electric vehicles in cities, limited to 2020 and 2021.</t>
  </si>
  <si>
    <t>DEU12</t>
  </si>
  <si>
    <t>to support investment in future technologies, for automobile manufacturing firms and their suppliers during 2020 and 2021</t>
  </si>
  <si>
    <t>DEU13</t>
  </si>
  <si>
    <t>2300000000 EUR</t>
  </si>
  <si>
    <t>Doubling of subsidy when buying EV of up to 40.000 Euro; limited to December 2021. Buying limit to benefit from tax rate of 0.25% for EV for professional use will increase from 40,000 to 60,000</t>
  </si>
  <si>
    <t>DEU14</t>
  </si>
  <si>
    <t xml:space="preserve">Motor vehicle tax for cars will be based more on CO2-emissions. In addition, existing motor vehicle tax break for pure Evs will apply to 2025 and extended to end of 2030. </t>
  </si>
  <si>
    <t>DEU15</t>
  </si>
  <si>
    <t>3000000 EUR</t>
  </si>
  <si>
    <t xml:space="preserve">Expansion of project based research (SINTEG program and existing research labs) with focus on energy transition and specifically disruptive technologies in energy systems (specifically digitisation and sectoral coupling) </t>
  </si>
  <si>
    <t>DEU16</t>
  </si>
  <si>
    <t>550000000 EUR</t>
  </si>
  <si>
    <t>Condor received a â‚¬550m loan guarantee from the federal and Hessian government: â‚¬294m as corona-aid and â‚¬256m to refinance the bridging loan the airline received following the 2019 bankruptcy of Thomas Cook. [DR: abstract from energy tracker; note though that the numbers are rubbish: aid+refinance do not amount to an overall loan guarantee; the way written here sounds like grant+loan, but I could imagine what they really meant was two different loans by banks, covered by a loan guarantee]</t>
  </si>
  <si>
    <t>http://condor-newsroom.condor.com/en/de/news-article/condor-federal-government-and-hessian-state-government-pledge-guarantee/ Accessed 22 June 2020</t>
  </si>
  <si>
    <t>DEU17</t>
  </si>
  <si>
    <t>1800000000 EUR</t>
  </si>
  <si>
    <t>The TUI Group has been granted a loan of â‚¬1.8bn for its airline, cruise, hotel, and travel agency operations. For lack of exact breakdown by activity we are assigning the whole amount to oil and oil products as the main fuel for the airline and cruise ships, noting the lack of environmental conditionalities.</t>
  </si>
  <si>
    <t>https://www.tuigroup.com/en-en/media/press-releases/2020/2020-03-27-tui-ag-german-federal-government-approves-kfw-bridge-loan Accessed 9 July 2020</t>
  </si>
  <si>
    <t>DEU18</t>
  </si>
  <si>
    <t>Lufthansa will receive a EUR 9 billion bailout in exchange for the state taking a 20% share in the airline company. This deal has been approved by Lufthansa stakeholders.</t>
  </si>
  <si>
    <t>https://www.dw.com/en/lufthansa-bailout-package-overwhelmingly-backed-by-shareholders/a-53936823 Accessed 2 July 2020</t>
  </si>
  <si>
    <t>DEU19</t>
  </si>
  <si>
    <t>This measure refers to the one billion euros committed to finance innovation and transformation in Germany’s leading export industry</t>
  </si>
  <si>
    <t>https://de.reuters.com/article/us-germany-autos/germany-to-up-financial-aid-for-cars-sector-government-sources-idUSKBN27X1S7</t>
  </si>
  <si>
    <t>DEU20</t>
  </si>
  <si>
    <t>Truck scrappage scheme</t>
  </si>
  <si>
    <t>https://de.reuters.com/article/us-germany-autos/germany-to-up-financial-aid-for-cars-sector-government-sources-idUSKBN27X1S8</t>
  </si>
  <si>
    <t>DEU21</t>
  </si>
  <si>
    <t>To support the development and production of climate-friendly cars as the auto industry grapples with challenges posed by the COVID-19 pandemic and global climate crisis</t>
  </si>
  <si>
    <t>https://de.reuters.com/article/us-germany-autos/germany-to-up-financial-aid-for-cars-sector-government-sources-idUSKBN27X1S9</t>
  </si>
  <si>
    <t>DEU22</t>
  </si>
  <si>
    <t>EUR 1500 Mio</t>
  </si>
  <si>
    <t>Support of hydrogen projects within the frame of IPCEI (Projects of Common European Interest)</t>
  </si>
  <si>
    <t>National Recovery and Resilience Plan - https://www.bundesfinanzministerium.de/Content/DE/Standardartikel/Themen/Europa/DARP/deutscher-aufbau-und-resilienzplan.html</t>
  </si>
  <si>
    <t>DEU23</t>
  </si>
  <si>
    <t>EUR 449.3 Mio</t>
  </si>
  <si>
    <t>Support program for decarbonization in industry that goes beyond hydrogen, especially promoting the sale of electric-vehicles</t>
  </si>
  <si>
    <t>DEU24</t>
  </si>
  <si>
    <t>EUR 550 Mio</t>
  </si>
  <si>
    <t>support of Pilot scheme for climate protection contracts based on the principle of
Carbon Contracts for Difference, plants covered by the EU Emissions Trading Scheme (ETS) are subsidized and only projects with emissions significantly lower than the ETS benchmarks are supported.</t>
  </si>
  <si>
    <t>DEU25</t>
  </si>
  <si>
    <t>Project-related climate protection research, especially focusing on the development of carbon neutral production processes in hard-to-decarbonise industrial sectors</t>
  </si>
  <si>
    <t>DEU26</t>
  </si>
  <si>
    <t>EUR 700 Mio</t>
  </si>
  <si>
    <t xml:space="preserve">support of projects for research and innovation in the context of the National Hydrogen Strategy </t>
  </si>
  <si>
    <t>DEU27</t>
  </si>
  <si>
    <t>support for the construction of charging infrastructure</t>
  </si>
  <si>
    <t>DEU28</t>
  </si>
  <si>
    <t>EUR 75 Mio</t>
  </si>
  <si>
    <t>funding R&amp;D for the development of E-mobility</t>
  </si>
  <si>
    <t>DEU29</t>
  </si>
  <si>
    <t>EUR 2500 Mio</t>
  </si>
  <si>
    <t>Innovation premium to promote the sale of electrically powered vehicles Motor vehicle fleet</t>
  </si>
  <si>
    <t>DEU30</t>
  </si>
  <si>
    <t>EUR 295 Mio</t>
  </si>
  <si>
    <t>Extension of the initial registration period for granting the ten-year tax exemption for purely electric vehicles</t>
  </si>
  <si>
    <t>DEU31</t>
  </si>
  <si>
    <t>EUR 1085 Mio</t>
  </si>
  <si>
    <t>Support for purchases of buses with alternative propulsion, schemes are meant to lower the private acquisition and operating costs of electric vehicles</t>
  </si>
  <si>
    <t>DEU32</t>
  </si>
  <si>
    <t>EUR 227 Mio</t>
  </si>
  <si>
    <t>Support to promote alternative rail propulsion: electric rolling stock</t>
  </si>
  <si>
    <t>DEU33</t>
  </si>
  <si>
    <t>EUR 545.9 Mio</t>
  </si>
  <si>
    <t>Promotion of the vehicle and supplier industry for hydrogen and Fuel cell applications in transport</t>
  </si>
  <si>
    <t>DEU34</t>
  </si>
  <si>
    <t>EUR 57 Mio</t>
  </si>
  <si>
    <t>funding of Municipal living labs for the energy transition to explore the use of new solutions for efficient and sustainable energy supply in urban neighbourhoods through pilot projects. 40% of climate coefficient</t>
  </si>
  <si>
    <t>DEU35</t>
  </si>
  <si>
    <t>Building renovation: federal funding for energy efficient buildings</t>
  </si>
  <si>
    <t>DEU36</t>
  </si>
  <si>
    <t>EUR 1898.5 Mio</t>
  </si>
  <si>
    <t>Vehicle manufacturer/supply industry investment programme: digitalisation of production as a boost for productivity and resilience: greenhouse gas emission reduction or energy efficiency criteria</t>
  </si>
  <si>
    <t>DEU37</t>
  </si>
  <si>
    <t>Promotion of climate friendly construction with wood</t>
  </si>
  <si>
    <t>DEU38</t>
  </si>
  <si>
    <t>EUR 750 Mio</t>
  </si>
  <si>
    <t>IPCEI Next Generation of Cloud Infrastructure and Services (IPCEI CIS)</t>
  </si>
  <si>
    <t>DNK1</t>
  </si>
  <si>
    <t>Climate</t>
  </si>
  <si>
    <t xml:space="preserve">Sustainable Road Transport
Support for green transportation: providing premiums for the scrapping of old diesel cars, building new bicycle paths, infrastructure for electric bicycles and support to purchase green ferries. </t>
  </si>
  <si>
    <t xml:space="preserve">https://ec.europa.eu/info/system/files/denmark-recovery-resilience-factsheet_en.pdf
</t>
  </si>
  <si>
    <t>https://fm.dk/media/18776/factsheet-on-the-danish-recovery-and-resilience-plan-in-english.pdf</t>
  </si>
  <si>
    <t>DKK</t>
  </si>
  <si>
    <t>DNK2</t>
  </si>
  <si>
    <t xml:space="preserve">Green Tax Reform
Investment window and green tax reform: temporarily increasing tax deduction for companies investing in technology and software to facilitate their transition to new business models with lower greenhouse gas emissions. </t>
  </si>
  <si>
    <t>DNK3</t>
  </si>
  <si>
    <t xml:space="preserve">Green research and development projects: supporting public-private research cooperation to accelerate the development of climate-friendly technology solutions. </t>
  </si>
  <si>
    <t>DNK5</t>
  </si>
  <si>
    <t xml:space="preserve">Energy efficiency in industry
Energy renovations in public buildings
Energy efficiency in households
CCS-s torag e potential
SME support measures for energy renovation:supporting SMEs to grow and create local employment with projects such as energy renovation of buildings or boosting energy efficiency for industry. </t>
  </si>
  <si>
    <t>DNK6</t>
  </si>
  <si>
    <t>Support to organic farming</t>
  </si>
  <si>
    <t>DNK7</t>
  </si>
  <si>
    <t>Plant based organic projects</t>
  </si>
  <si>
    <t>DNK8</t>
  </si>
  <si>
    <t>Organic transition of public kitchens</t>
  </si>
  <si>
    <t>DNK9</t>
  </si>
  <si>
    <t>Organic Innovation Centre</t>
  </si>
  <si>
    <t>DNK10</t>
  </si>
  <si>
    <t>Climate technologies in agricultur</t>
  </si>
  <si>
    <t>DNK11</t>
  </si>
  <si>
    <t>Carbon rich soils</t>
  </si>
  <si>
    <t>DNK12</t>
  </si>
  <si>
    <t>Rehabilitation of industrial sites and contaminated land</t>
  </si>
  <si>
    <t>ESP1</t>
  </si>
  <si>
    <t>March 30 2020, essential activities for the maintenance of the activity of agriculture, livestock and fishing can be carried out. Agricultural, livestock and aquaculture production, as well as fishing activity, transformation of agricultural and fishery products, veterinary centers or clinics, transport and distribution of food, as well as its commercialization through retail sales to consumers, form the food supply chain whose activity must be guaranteed in the state of alarm. This implies that the activity of agri-food companies as a whole, including agricultural, livestock, aquaculture and fishing activities, must be maintained, but also that of the companies that, in turn, supply them with the inputs and services necessary to its operation and that they are essential at this time.</t>
  </si>
  <si>
    <t>Available in Spaish only:
https://www.miteco.gob.es/es/ministerio/medidas-covid19/ 
https://www.mapa.gob.es/es/prensa/ultimas-noticias/la-agricultura-ganader%C3%ADa-pesca-industria-alimentaria-y-sus-actividades-relacionadas-son-servicios-esenciales/tcm:30-536830
; https://www.mapa.gob.es/es/prensa/200330cminextraordinario_tcm30-536832.pdf</t>
  </si>
  <si>
    <t>ESP2</t>
  </si>
  <si>
    <t xml:space="preserve">Orden SND/445/2020, of the 26th of May and Order SND/271/2020, of the 19th March, by which instructions are established in regards to the management of waste products in the contet of the health crisis caused by COVID-19.  Within the context of article 7.1 of Law 22/2011 this Order supports and specifies methods for managing waste specifically related to COVID-19. </t>
  </si>
  <si>
    <t>https://www.boe.es/eli/es/o/2020/03/19/snd271</t>
  </si>
  <si>
    <t>https://www.miteco.gob.es/images/es/200331directricesdesarrolloomsnd2712020_tcm30-509522.pdf</t>
  </si>
  <si>
    <t>ESP3</t>
  </si>
  <si>
    <t xml:space="preserve">Resolution of the 4 May of 2020, of the General Secretary of Fisheries by which activating prices for 2020, in the context of the storage mehcanism for fisheries and aquaculture products financed by the European Maritime Fund for Fisheries. Due to COVID-19 the European Regulation (UE) 2020/560 of the European Parliament and Council of the 23 of April 2020 by which Regulations (UE) n.º 508/2014 y (UE) n.º 1379/2013 are modified in relation to specific measures to limit the impact of COVID-19 in the fishing and aquaculture sectors so that unions can receive financial support by the application of storage during the period of the 1st of February till the 31st of December 2020.  </t>
  </si>
  <si>
    <t>https://www.boe.es/eli/es/res/2020/05/04/(2)</t>
  </si>
  <si>
    <t>ESP4</t>
  </si>
  <si>
    <t xml:space="preserve">Royal Decree -Law 8/2020, of the 17 of March, of urgent extraordinary measures to face the economic and social impact of COVID-19. Relevant to the environment is the expansion of cover to vulnerable froups in the context of access to essential public services in particular water, natural gas and electricity andfreezing of the prices of LPG. Water supply and natural gas for human consumption is guaranteed by forbidding water cuts when payments are not met if the consumers fall under the category of vulnerable.
Energy supply is ensured by extending the Electrical Social Bond until the 15th of September 2020. Additionally the prices for LPG will not be updated to avoid an increase in their price. </t>
  </si>
  <si>
    <t>https://www.boe.es/eli/es/rdl/2020/03/17/8</t>
  </si>
  <si>
    <t>ESP5</t>
  </si>
  <si>
    <t xml:space="preserve">Order of SND/440/2020, of the 23rd of May, by which diverse orders are modified to improve the management of the health crisis caused by COVID-19 in the implementation of the context of the recovery plan. Re-opening of natural plans is established as long as visitors do not exceed 20% of the maximum capacity. </t>
  </si>
  <si>
    <t>https://www.boe.es/eli/es/o/2020/05/23/snd440</t>
  </si>
  <si>
    <t>ESP6</t>
  </si>
  <si>
    <t>Resolution of the 14th of April of 2020, of the Institute of Diversification and Energy Savings (IDAE), E.P.E., M.P., by which the conditions and the procedure to ask  tax exemptions for moratoriums and quota payments that were meant to enf by 2020 in loans formalised by IDAE</t>
  </si>
  <si>
    <t>https://www.boe.es/eli/es/res/2020/04/14/(4)</t>
  </si>
  <si>
    <t>ESP7</t>
  </si>
  <si>
    <t>Royal Decree 692/2020, of the 21st of July. Measures for the adaptation of the use of maritime-land areas regulated by Law 22/1988, in the contect of exceptional measures adopted by the health authorities in the context of COVID-19</t>
  </si>
  <si>
    <t>https://www.boe.es/eli/es/rd/2020/07/21/692/con</t>
  </si>
  <si>
    <t>ESP8</t>
  </si>
  <si>
    <t xml:space="preserve">On the 7th of May 2020 Royal Decree 5/2020, on the mitigation of the socio-economic impact of COVID-19 in the area of environment in the region of Murcia. </t>
  </si>
  <si>
    <t>https://www.boe.es/ccaa/borm/2020/163/s15878-15878.pdf</t>
  </si>
  <si>
    <t>ESP9</t>
  </si>
  <si>
    <t>Royal Decree 570/2020, of the 16th of June, by which the administrative process to authorize the import to Spain of species with the enf of preserve spanish native species is regulated.</t>
  </si>
  <si>
    <t>https://www.boe.es/eli/es/rd/2020/06/16/570</t>
  </si>
  <si>
    <t>ESP10</t>
  </si>
  <si>
    <t xml:space="preserve">Royal Decree-Law 23/2020, of the 23rd of June, by which measures in matter of energy and other environments for reactivation of the economy.  It includes certain measures for the development of renewable energy that includes regulation of access and distribution to secure high demand and ensure risk reduction. </t>
  </si>
  <si>
    <t>https://www.boe.es/eli/es/rdl/2020/06/23/23</t>
  </si>
  <si>
    <t>ESP11</t>
  </si>
  <si>
    <t>100 million EUR</t>
  </si>
  <si>
    <t xml:space="preserve">Royal Decree 569/2020, of the 16th of June, by which subsidies and incentives for efficient and sustainable mobility are regulated. In this context, this programme called MOVES II is designed to face the challenges post COVID-19 in developing a new mobility regime which integrates health safety for passangers and sustanability, energy efficiency and decarbonisation.  </t>
  </si>
  <si>
    <t>https://www.boe.es/eli/es/rd/2020/06/16/569</t>
  </si>
  <si>
    <t>ESP12</t>
  </si>
  <si>
    <t xml:space="preserve">The Climate Change and Energy Transition Law to reach emission neutrality by 2050 was presented by the respective Ministry and approved by the Spanish Parliamnet (Congreso de los Diputados). We can expect further updates on this topic. </t>
  </si>
  <si>
    <t>https://www.miteco.gob.es/es/prensa/200519cminproyectoleycambioclimatico_tcm30-509230.pdf</t>
  </si>
  <si>
    <t>ESP13</t>
  </si>
  <si>
    <t xml:space="preserve">Order SND/337/2020, of the 9th of April by which measures to guarantee the demand for essential services is met in regards to fuels for cars and boats in the context of COVID-19. </t>
  </si>
  <si>
    <t>https://boe.es/boe/dias/2020/04/11/pdfs/BOE-A-2020-4415.pdf</t>
  </si>
  <si>
    <t>ESP14</t>
  </si>
  <si>
    <t xml:space="preserve">Royal Decree Law 15/2020,
(BOE núm. 112, 22/04/2020) - Ref. 38-01
of the 21st of April, of urgent measures for supporting the economy and employment. Article 6 has developed subsidies of E.P.E. Institute to IDAE under loans. </t>
  </si>
  <si>
    <t>https://www.boe.es/boe/dias/2020/04/22/pdfs/BOE-A-2020-4554.pdf</t>
  </si>
  <si>
    <t>https://www.idae.es/sites/default/files/documentos/ayudas_y_financiacion/escron_06-20ac.pdf</t>
  </si>
  <si>
    <t>ESP15</t>
  </si>
  <si>
    <t>316 million EUR</t>
  </si>
  <si>
    <t>10/09/2020 - The IDEA (Institute for the Diversification and Energy Savings - which is linked to the Ministry of Ecological Transition and Demographic Challenge (MITECO)- allocated the first 181 million EUR to support regional projects for energy and thermal generation in Andalucia, Asturias, Castilla-La Mancha, Cataluña, Extremadura, Madrid and Murcia. The IDAE will soon approve the remaining 316 million EUR for the public package towards renewable projects, which will be funded with the EU funds given towards the COVID-19 economic recovery. The funds will be used for:  - Aid for the installation of electricity generation with renewable sources, which supports photovoltaic, wind, biomass or renewable gas projects, including renewable hydrogen and self-consumption initiatives, among others.
- Aid for the construction of facilities that generate thermal energy from renewable sources, which promotes projects with technologies such as geothermal energy, solar thermal energy, aerothermal energy or biomass. Projects will be financed, including innovative applications, that will allow companies to reduce energy costs and CO2 emissions and strengthen their competitiveness.</t>
  </si>
  <si>
    <t>https://www.miteco.gob.es/es/prensa/ultimas-noticias/el-idae-destina-181-millones-a-las-primeras-convocatorias-para-financiar-proyectos-renovables-innovadores-en-siete-comunidades-aut%C3%B3nomas/tcm:30-511638</t>
  </si>
  <si>
    <t>https://www.miteco.gob.es/es/prensa/200910coadidae_tcm30-511636.pdf</t>
  </si>
  <si>
    <t>ESP16</t>
  </si>
  <si>
    <t>10.7 million EUR</t>
  </si>
  <si>
    <t>8/10/2020 - The Ministry for the Ecological Transition and the Demographic Challenge (MITECO), through the Biodiversity Foundation, has opened the deadline for two calls for grants to support the hiring of unemployed people and training and advice projects in the green and blue economy. With these calls, MITECO seeks to contribute to a green recovery. The objective of these grants is to address the current economic challenges generated by COVID-19, the loss of biodiversity, climate change and depopulation.</t>
  </si>
  <si>
    <t>https://www.miteco.gob.es/es/prensa/201008convocatoriasprogramaempleaverde_tcm30-513891.pdf</t>
  </si>
  <si>
    <t>ESP17</t>
  </si>
  <si>
    <t>4.3 million EUR</t>
  </si>
  <si>
    <t>15/10/2020 - The Biodiversity Foundation of the Ministry for the Ecological Transition and the Demographic Challenge (MITECO) allocates 4.3 million euros to support 47 projects that will work to reinforce the sustainability of fishing and aquaculture activities in Spain. In total, 34 entities will develop these projects, which will be co-financed by the European Maritime and Fisheries Fund (EMFF).</t>
  </si>
  <si>
    <t>https://www.miteco.gob.es/es/prensa/201015elmitecodestina43millonesparaapoyarlasostenibilidaddelsectorpesqueroyacuicola_tcm30-514259.pdf</t>
  </si>
  <si>
    <t>ESP18</t>
  </si>
  <si>
    <t>7.4 billion USD</t>
  </si>
  <si>
    <t>Recovery, Transformation and Resilience Plan for the Spanish Economy: Energy Transition</t>
  </si>
  <si>
    <t>https://www.lamoncloa.gob.es/presidente/actividades/Paginas/2020/071020-sanchez_plan.aspx (Accessed 8 October 2020)_x000D_
, https://www.lamoncloa.gob.es/serviciosdeprensa/notasprensa/presidencia/Paginas/2020/07102020_planrecuperacion.aspx (Accessed 8 October 2020)_x000D_
, https://www.lamoncloa.gob.es/presidente/actividades/Documents/2020/07102020_PlanRecuperacion.pdf (Accessed 8 October 2020)</t>
  </si>
  <si>
    <t>ESP19</t>
  </si>
  <si>
    <t>881 million USD</t>
  </si>
  <si>
    <t>Compensation for extraordinary expenses in public transport as part of the COVID-19 Fund</t>
  </si>
  <si>
    <t xml:space="preserve">https://www.mitma.gob.es/el-ministerio/sala-de-prensa/noticias/mar-16062020-1616  Accessed 1 September 2020_x000D_
_x000D_
, https://www.lamoncloa.gob.es/consejodeministros/resumenes/Paginas/2020/160620-cministros.aspx  Accessed 1 September 2020_x000D_
_x000D_
, https://www.boe.es/diario_boe/txt.php?id=BOE-A-2020-6232  Accessed 1 September 2020_x000D_
</t>
  </si>
  <si>
    <t>https://revistas.eleconomista.es/transporte/2020/julio/el-gobierno-destina-800-millones-al-transporte-publico-por-el-covid-19-IN3825082  Accessed 1 September 2020</t>
  </si>
  <si>
    <t>ESP20</t>
  </si>
  <si>
    <t>303 million USD</t>
  </si>
  <si>
    <t>Fund to finance the extraordinary deficit of public transport services of local entities caused by COVID-19</t>
  </si>
  <si>
    <t>https://www.boe.es/buscar/act.php?id=BOE-A-2020-9131  Accessed 26 August 2020_x000D_
_x000D_
, https://www.lamoncloa.gob.es/serviciosdeprensa/notasprensa/transportes/Paginas/2020/050820-transportes_local.aspx  Accessed 26 August 2020</t>
  </si>
  <si>
    <t>ESP21</t>
  </si>
  <si>
    <t>1.11 billion USD</t>
  </si>
  <si>
    <t>IAG (Iberia, Vueling) airlines support, unconditional</t>
  </si>
  <si>
    <t>ESP22</t>
  </si>
  <si>
    <t>buildings</t>
  </si>
  <si>
    <t>330.3 million USD</t>
  </si>
  <si>
    <t>The Building Energy Rehabilitation Program (PREE), endowed with â‚¬ 300 million, aims to improve energy efficiency in buildings built before 2007 with measures such as changing the thermal envelope or replacing old boilers with more sustainable ones. The importance of these actions comes from the fact that the energy consumed in homes represents 30% of the final energy consumed in Spain._x000D_
These aids are co-financed by the European Regional Development Fund (ERDF)._x000D_
The government estimates that this â€œwave of rehabilitationâ€ will generate, according to PNIEC estimates, some 48,000 net jobs per year between 2021 and 2030.</t>
  </si>
  <si>
    <t xml:space="preserve">https://www.lamoncloa.gob.es/serviciosdeprensa/notasprensa/transicion-ecologica/Paginas/2020/180220-ccaa.aspx  Accessed 29 September 2020  , https://www.miteco.gob.es/es/prensa/ultimas-noticias/el-gobierno-destina-300-millones-de-euros-a-ayudas-para-la-rehabilitaci%C3%B3n-energ%C3%A9tica-de-edificios-/tcm:30-511135  Accessed 29 September 2020     </t>
  </si>
  <si>
    <t>ESP23</t>
  </si>
  <si>
    <t>271 million uSD</t>
  </si>
  <si>
    <t>Subsidies to support innovative projects that stimulate the integration of renewable energies in electrical or thermal power generation systems</t>
  </si>
  <si>
    <t>https://www.boe.es/diario_boe/txt.php?id=BOE-A-2020-9261 Accessed 29 September 2020_x000D_
_x000D_
, https://www.lamoncloa.gob.es/serviciosdeprensa/notasprensa/transicion-ecologica/Paginas/2020/050820-proyectos.aspx  Accessed 29 September 2020</t>
  </si>
  <si>
    <t>ESP24</t>
  </si>
  <si>
    <t>0.76 million EUR</t>
  </si>
  <si>
    <t>Jan 16/ 2021 - The Department of Infrastructure and Mobility has put out to tender the works of the pedestrian and cycling route on the regional road PO-531 as it passes through the place of A Devesa, in the Pontevedra parish of Alba, with a budget of € 756,931. The cycling and pedestrian path will have a length of almost 1,500 meters, between the points kilometers 5 + 460 and 6 + 900 of the PO-531, which will benefit the places of A Devesa, O Bispo and Sabarís. In this space, a colored concrete path with a minimum width of two meters will be built on the left margin, depending on the type and characteristics of each area, and which will have a protection curb and landscaped strips to increase safety.</t>
  </si>
  <si>
    <t>https://www.xunta.gal/notas-de-prensa/-/nova/54020/xunta-licita-senda-peatonal-ciclista-carretera-531-lugar-devesa-ayuntamiento?langId=es_ES and https://www.contratosdegalicia.gal/licitacion?lang=es&amp;cambioIdioma=true&amp;N=801048</t>
  </si>
  <si>
    <t>ESP25</t>
  </si>
  <si>
    <t>13 May 2021 - A new Clean Energy Bill approved on 13 May 2021, aims to achieve carbon neutrality by 2050. As part of this law,  the sale of fossil fuel vehicles will be banned by 2040 and their circulation by 2050.
This is part of the Spanish approved clean energy bill which aims to achieve carbon neutrality by 2050. The law includes limits to new coal, oil and gas extraction projects and it requires that, by 2030, renewables account for 42% of Spain’s total energy consumption and at least 74% of its electricity production.</t>
  </si>
  <si>
    <t>https://www.euractiv.com/section/climate-environment/news/spanish-parliament-approves-clean-energy-bill/</t>
  </si>
  <si>
    <t>ESP26</t>
  </si>
  <si>
    <t>1 June 2021 - Electricity rates for powers below 15 Kw has been approved by the government and the new tariffs will be effective as of June 1st 2021. In addition to households, it will also affect thousands of small and medium-sized businesses. The aim is to incentivice the consumer to monitor and eventually modify its consumption during peak and non-peak periods in order to make energy efficient choices</t>
  </si>
  <si>
    <t>https://www.miteco.gob.es/es/prensa/ultimas-noticias/la-nueva-factura-el%C3%A9ctrica-que-entrar%C3%A1-en-vigor-el-pr%C3%B3ximo-1-de-junio-fomentar%C3%A1-el-ahorro-energ%C3%A9tico-la-eficiencia-el-autoconsumo-y-el-despliegu/tcm:30-525865</t>
  </si>
  <si>
    <t>ESP27</t>
  </si>
  <si>
    <t>18.7 million EUR</t>
  </si>
  <si>
    <t>2 June 2021 - New aid program for the electrification and implementation of renewable energies in the Balearic Islands. The SOLBAL 2 program, managed by the Institute for Energy Diversification and Saving (IDAE), will be endowed with 18.7 million ERDF funds that will be used to reinforce the archipelago's electrification strategy with 'green' energies, with special emphasis in photovoltaics.</t>
  </si>
  <si>
    <t>https://www.miteco.gob.es/es/prensa/210602ndpbaleares_tcm30-527268.pdf</t>
  </si>
  <si>
    <t>ESP28</t>
  </si>
  <si>
    <t>4 June 2021 - Signing of protocol to include women in the Just Transition Agreements in the energy sector. The Institute for Just Transition and the Institute for Women promote actions to support women within the framework of preparation of the Just Transition Agreements. The objective is to promote entrepreneurship and improve their employability and their working conditions in the territories affected by the measures taken towards an energy transition.</t>
  </si>
  <si>
    <t>https://www.miteco.gob.es/es/prensa/210604npfirmaprotocoloitj-imu_tcm30-527474.pdf</t>
  </si>
  <si>
    <t>ESP30</t>
  </si>
  <si>
    <t>19,6 million EUR</t>
  </si>
  <si>
    <t>17 June - MITECO allocates 19.6 million euros in aid to generate employment and promote green and blue economy. The Emploaverde Program will dedicate 9.8 million euros to training and job placement projects aimed at unemployed people and to support the creation of green companies for entrepreneurs. The Pleamar Program has an endowment of 9.8 million euros to support projects that contribute to reinforcing the sustainability of fishing and aquaculture activities. The deadline for submitting applications for both initiatives will remain open until September 30, 2021.</t>
  </si>
  <si>
    <t>https://www.miteco.gob.es/es/prensa/210617convocatoriasayudasdelafundacionbiodiversidad_tcm30-528162.pdf</t>
  </si>
  <si>
    <t>ESP31</t>
  </si>
  <si>
    <t>June 22 - MITECO and the Women's Institute agree to reinforce the gender equality approach in ecological transition policies and demographic challenge.</t>
  </si>
  <si>
    <t>https://www.miteco.gob.es/es/prensa/210622ndpprotocoloinmujeres_tcm30-528386.pdf</t>
  </si>
  <si>
    <t>ESP32</t>
  </si>
  <si>
    <t>214 million EUR</t>
  </si>
  <si>
    <t>June 22 - The Government extends the Energy Efficiency Aid Program for industrial companies until June 30 2023. Requested by more than 950 large companies and SMEs to facilitate the implementation of energy saving and efficiency measures in the industry and thus reduce CO2 emissions and their final energy consumption. The implementation of the companies' plans will mobilize an investment of more than 772 million euros.</t>
  </si>
  <si>
    <t>https://www.miteco.gob.es/es/prensa/210622nprdayudaseficienciapymeeindustria_tcm30-528345.pdf</t>
  </si>
  <si>
    <t>ESP33</t>
  </si>
  <si>
    <t>Plan de despliegue de la infraestructura de recarga y de impulso del vehículo eléctrico</t>
  </si>
  <si>
    <t>https://www.lamoncloa.gob.es/temas/fondos-recuperacion/Documents/160621-Plan_Recuperacion_Transformacion_Resiliencia.pdf page 146)</t>
  </si>
  <si>
    <t>ESP34</t>
  </si>
  <si>
    <t>Ley de Movilidad Sostenible y Financiación del Transpor</t>
  </si>
  <si>
    <t>ESP35</t>
  </si>
  <si>
    <t>COMPONENTE 1 Plan de choque de movilidad sostenible, segura y conectada en entornos urbanos y metropolitanos</t>
  </si>
  <si>
    <t>ESP36</t>
  </si>
  <si>
    <t>Programas de rehabilitación para la recuperación económica y social en entornos residenciales</t>
  </si>
  <si>
    <t>https://www.lamoncloa.gob.es/temas/fondos-recuperacion/Documents/160621-Plan_Recuperacion_Transformacion_Resiliencia.pdf page 147) + EU assessment Spain (pag 103)  https://eur-lex.europa.eu/legal-content/EN/TXT/PDF/?uri=CELEX:52021SC0147&amp;from=EN</t>
  </si>
  <si>
    <t>ESP37</t>
  </si>
  <si>
    <t>C3.R2 Desarrollo y revisión del marco regulatorio en materia de sostenibilidad ambiental de la ganadería</t>
  </si>
  <si>
    <t>https://www.lamoncloa.gob.es/temas/fondos-recuperacion/Documents/160621-Plan_Recuperacion_Transformacion_Resiliencia.pdf page 148) content/EN/TXT/PDF/?uri=CELEX:52021SC0147&amp;from=EN</t>
  </si>
  <si>
    <t>ESP38</t>
  </si>
  <si>
    <t>C3.R3 Marco legislativo sobre la nutrición sostenible en los suelos agrícolas. Normativa sobre contaminación de origen agrario</t>
  </si>
  <si>
    <t>ESP39</t>
  </si>
  <si>
    <t>C3.R4 Impulso a la gobernanza y a la sostenibilidad de las inversiones en los regadíos españoles</t>
  </si>
  <si>
    <t>ESP40</t>
  </si>
  <si>
    <t>C3.R6 Revisión del marco normativo nacional para la regulación de la pesca sostenible,</t>
  </si>
  <si>
    <t>ESP41</t>
  </si>
  <si>
    <t>COMPONENTE 3 inversiones Transformación ambiental y digital del sistema agroalimentario y pesquero  EXCEPT C3.I2)</t>
  </si>
  <si>
    <t>https://www.lamoncloa.gob.es/temas/fondos-recuperacion/Documents/160621-Plan_Recuperacion_Transformacion_Resiliencia.pdf page 148) AND EU Analysis (pag105-106) https://eur-lex.europa.eu/legal-content/EN/TXT/PDF/?uri=CELEX:52021SC0147&amp;from=EN</t>
  </si>
  <si>
    <t>ESP42</t>
  </si>
  <si>
    <t>C4.R1 Conservación de la biodiversidad terrestre y marina</t>
  </si>
  <si>
    <t>https://www.lamoncloa.gob.es/temas/fondos-recuperacion/Documents/160621-Plan_Recuperacion_Transformacion_Resiliencia.pdf page 149)</t>
  </si>
  <si>
    <t>ESP43</t>
  </si>
  <si>
    <t>C4.R2 Restauración de ecosistemas e infraestructura verde, a</t>
  </si>
  <si>
    <t>ESP44</t>
  </si>
  <si>
    <t>ESP45</t>
  </si>
  <si>
    <t>COMPONENTE 4 Conservación y restauración de ecosistemas y su biodiversidad (all inversiones)</t>
  </si>
  <si>
    <t>ESP46</t>
  </si>
  <si>
    <t>C5.R1 Actualización de la Ley de Aguas, normativa derivada y Planes y estrategias en materia de agua.</t>
  </si>
  <si>
    <t>https://www.lamoncloa.gob.es/temas/fondos-recuperacion/Documents/160621-Plan_Recuperacion_Transformacion_Resiliencia.pdf page 150)</t>
  </si>
  <si>
    <t>ESP47</t>
  </si>
  <si>
    <t>COMPONENTE 5 Preservación del espacio litoral y los recursos hídricos</t>
  </si>
  <si>
    <t>https://www.lamoncloa.gob.es/temas/fondos-recuperacion/Documents/160621-Plan_Recuperacion_Transformacion_Resiliencia.pdf page 150) &amp; EU analysis (pag.107) https://eur-lex.europa.eu/legal-content/EN/TXT/PDF/?uri=CELEX:52021SC0147&amp;from=EN</t>
  </si>
  <si>
    <t>ESP48</t>
  </si>
  <si>
    <t>COMPONENTE 6 Movilidad sostenible, segura y conectada</t>
  </si>
  <si>
    <t>https://www.lamoncloa.gob.es/temas/fondos-recuperacion/Documents/160621-Plan_Recuperacion_Transformacion_Resiliencia.pdf page 151) &amp; EU analysis (pag.108) https://eur-lex.europa.eu/legal-content/EN/TXT/PDF/?uri=CELEX:52021SC0147&amp;from=EN</t>
  </si>
  <si>
    <t>ESP49</t>
  </si>
  <si>
    <t>C6.R1 Estrategia de Movilidad Segura, Sostenible y Conectada</t>
  </si>
  <si>
    <t xml:space="preserve">https://www.lamoncloa.gob.es/temas/fondos-recuperacion/Documents/160621-Plan_Recuperacion_Transformacion_Resiliencia.pdf page 151) </t>
  </si>
  <si>
    <t>ESP50</t>
  </si>
  <si>
    <t>C6.R2 Estrategia Indicativa Ferroviaria,</t>
  </si>
  <si>
    <t>ESP51</t>
  </si>
  <si>
    <t>C7.R1 Marco normativo para el fomento de la generación renovable</t>
  </si>
  <si>
    <t>https://www.lamoncloa.gob.es/temas/fondos-recuperacion/Documents/160621-Plan_Recuperacion_Transformacion_Resiliencia.pdf (pag 152)</t>
  </si>
  <si>
    <t>ESP52</t>
  </si>
  <si>
    <t>C7.R3 Desarrollo de las comunidades energéticas</t>
  </si>
  <si>
    <t>ESP53</t>
  </si>
  <si>
    <t>C7.R4 Marco para la innovación y desarrollo tecnológico de las energías renovables,</t>
  </si>
  <si>
    <t>ESP54</t>
  </si>
  <si>
    <t>COMPONENTE 7 Despliegue e integración de energías renovables (all inversiones)</t>
  </si>
  <si>
    <t>https://www.lamoncloa.gob.es/temas/fondos-recuperacion/Documents/160621-Plan_Recuperacion_Transformacion_Resiliencia.pdf (pag 152) &amp; EU analysis (pag.108) https://eur-lex.europa.eu/legal-content/EN/TXT/PDF/?uri=CELEX:52021SC0147&amp;from=EN</t>
  </si>
  <si>
    <t>ESP55</t>
  </si>
  <si>
    <t>Marco habilitador para la integración de renovables en el sistema energético: redes, almacenamiento e infraestructuras</t>
  </si>
  <si>
    <t>https://www.lamoncloa.gob.es/temas/fondos-recuperacion/Documents/160621-Plan_Recuperacion_Transformacion_Resiliencia.pdf (pag 153)</t>
  </si>
  <si>
    <t>ESP56</t>
  </si>
  <si>
    <t>Estrategia de almacenamiento energético</t>
  </si>
  <si>
    <t>ESP57</t>
  </si>
  <si>
    <t>Desarrollo del marco normativo para la agregación, gestión de la demanda y servicios de flexibilidad</t>
  </si>
  <si>
    <t>ESP58</t>
  </si>
  <si>
    <t>Sandboxes o bancos de pruebas regulatorios</t>
  </si>
  <si>
    <t>ESP59</t>
  </si>
  <si>
    <t>COMPONENTE 8 Infraestructuras eléctricas, promoción de redes inteligentes y despliegue de la flexibilidad y el almacenamiento</t>
  </si>
  <si>
    <t>https://www.lamoncloa.gob.es/temas/fondos-recuperacion/Documents/160621-Plan_Recuperacion_Transformacion_Resiliencia.pdf (pag 153) &amp; EU analysis (pag 107)  https://eur-lex.europa.eu/legal-content/EN/TXT/PDF/?uri=CELEX:52021SC0147&amp;from=EN</t>
  </si>
  <si>
    <t>ESP60</t>
  </si>
  <si>
    <t>componente 9 Hidrógeno renovable: un proyecto país</t>
  </si>
  <si>
    <t xml:space="preserve">https://www.lamoncloa.gob.es/temas/fondos-recuperacion/Documents/160621-Plan_Recuperacion_Transformacion_Resiliencia.pdf (pag 154) </t>
  </si>
  <si>
    <t>ESP61</t>
  </si>
  <si>
    <t>Puesta en marcha de convenios de transición justa en zonas de transición energética, p</t>
  </si>
  <si>
    <t xml:space="preserve">https://www.lamoncloa.gob.es/temas/fondos-recuperacion/Documents/160621-Plan_Recuperacion_Transformacion_Resiliencia.pdf (pag 155) </t>
  </si>
  <si>
    <t>ESP62</t>
  </si>
  <si>
    <t>C10.I1 Inversiones en Transición Justa, q</t>
  </si>
  <si>
    <t>ESP63</t>
  </si>
  <si>
    <t>c11.I4  Plan de Transición Energética en la Administración General del Estado</t>
  </si>
  <si>
    <t>https://www.lamoncloa.gob.es/temas/fondos-recuperacion/Documents/160621-Plan_Recuperacion_Transformacion_Resiliencia.pdf (pag 156)  &amp; EU analsysis (https://eur-lex.europa.eu/legal-content/EN/TXT/PDF/?uri=CELEX:52021SC0147&amp;from=EN)</t>
  </si>
  <si>
    <t>ESP64</t>
  </si>
  <si>
    <t>c12.R1 Estrategia Española de Impulso Industrial 2030, que partirá de una reforma de la Ley de Industria que data de 1992</t>
  </si>
  <si>
    <t>ESP65</t>
  </si>
  <si>
    <t>c12.R1 Política de residuos e impulso a la economía circular</t>
  </si>
  <si>
    <t>ESP66</t>
  </si>
  <si>
    <t>C12.I2 Programa de impulso de la competitividad y sostenibilidad industrial.</t>
  </si>
  <si>
    <t>ESP67</t>
  </si>
  <si>
    <t>C12.I3 Plan de apoyo a la implementación de la normativa de residuos y al fomento de la economía circular</t>
  </si>
  <si>
    <t>ESP68</t>
  </si>
  <si>
    <t>C14.I1 Transformación del modelo turístico hacia la sostenibilidad</t>
  </si>
  <si>
    <t>ESP69</t>
  </si>
  <si>
    <t>C14.I3 Estrategias de resiliencia turística para territorios extrapeninsulares</t>
  </si>
  <si>
    <t>ESP70</t>
  </si>
  <si>
    <t>C14.I4 Actuaciones especiales en el ámbito de la competitividad, a través del desarrollo de productos turísticos, de la eficiencia energética y la economía circular en el sector</t>
  </si>
  <si>
    <t>ESP71</t>
  </si>
  <si>
    <t>C17.I8 I+D+I en automoción sostenible (PTAS). Inversión exclusivamente centrada en el ámbito de la automoción sostenible. Apoyo a proyectos de I+D+I
empresarial en tecnologías de aplicación en el ámbito de la automoción que permitan aumentar la capacidad tecnológica del sector</t>
  </si>
  <si>
    <t>ESP72</t>
  </si>
  <si>
    <t>C17.I9 Sector aeroespacial. Se avanzará en la generación de capacidades industriales españolas vinculadas al futuro avión de bajas y nulas emisiones cuyas actividades de I+D están cubiertas por el Plan Tecnológico Aeronáutico</t>
  </si>
  <si>
    <t>ESP73</t>
  </si>
  <si>
    <t>C19.R1 Plan Nacional de Competencias Digitales. Elaboración y puesta en marcha del Plan Nacional de Competencias Digitales, que actúa como hoja de ruta para identificar las medidas necesarias que aseguren que toda la ciudadanía cuenta con las herramientas necesarias para adquirir y desarrollar competencias digitales, en un contexto de transición dual digital y verde</t>
  </si>
  <si>
    <t>ESP74</t>
  </si>
  <si>
    <t>C23.I3 Adquisición de nuevas competencias para la transformación digital, verde y productiva</t>
  </si>
  <si>
    <t>ESP75</t>
  </si>
  <si>
    <t>c26.I3 Modernisation of sport facilities to
improve their energy performance
according to energy efficiency
criteria</t>
  </si>
  <si>
    <t>ESP76</t>
  </si>
  <si>
    <t xml:space="preserve">Aid for energy rehabilitation in existing buildings is extended of other 100 million </t>
  </si>
  <si>
    <t>https://www.lamoncloa.gob.es/serviciosdeprensa/notasprensa/transicion-ecologica/Paginas/2021/220721-rehabilitacionenergetica.aspx</t>
  </si>
  <si>
    <t>ESp78</t>
  </si>
  <si>
    <t>esp</t>
  </si>
  <si>
    <t xml:space="preserve">Aid Program for energy efficiency actions in SMEs and large company in the industrial sector, </t>
  </si>
  <si>
    <t>https://www.lamoncloa.gob.es/serviciosdeprensa/notasprensa/transicion-ecologica/Paginas/2021/190721-ayudas.aspx</t>
  </si>
  <si>
    <t>EST1</t>
  </si>
  <si>
    <t>According to Prime Minister Jüri Ratas: "By 2050, Estonia will support the goal of climate neutrality across the European Union. The green agreement gives us a way to reach this goal. It is a framework that covers almost all policy areas, with a strong emphasis on social and economic issues in addition to environmental issues." According to the Minister of the Environment Rene Koka, the green agreement will bring several opportunities for Estonia. “It is in our interest to move with innovation and find new perspectives for increasing the competitiveness of Estonian companies, increasing the volume of investments and opportunities for the transition to renewable energy. One important area for Estonia is the development of hydrogen and other renewable energy and fuel-based technologies. In my opinion, hydrogen is definitely one of the solutions of the future, and I believe that in ten years' time, hydrogen solutions could work very successfully both in Estonia and in Europe, "said Kokk. Estonia supports the establishment of a long-term climate neutrality framework across the European Union in 2050 in European climate law. At the same time, increasing the European Union's 2030 climate target must be preceded by a thorough analysis of Member States and sectors. According to Estonia, the energy and transport sectors need the most investments, as it is important to ensure energy security and security of supply in the transition to climate neutrality. Estonia sees great potential, for example, in offshore wind farms, which is a good opportunity for greater use of renewable energy in the Nordic-Baltic region. There is also a need to support the development of innovative solutions, the development of green technologies and basic and applied research. The focus should also be on the implementation and use of future technologies and the development of the necessary skills. Estonia also emphasizes the importance of environmental education and the fact-based treatment of green issues. Estonia's position also points out that the initial European Green Agreement action plan published in December would also take into account the crisis caused by the COVID-19 pandemic and its effects. However, exit activities must be in line with the EU's long-term climate goals and the principles of the circular economy. At the moment, the EU and International Co-operation Department of Ministry of Environment of Estonia cannot point to a more detailed action plan. There is coherence at EU level and these effects are likely to be taken into account in future legislative proposals. But no changes to the current legislation are currently known on this subject.</t>
  </si>
  <si>
    <t xml:space="preserve">https://www.valitsus.ee/et/uudised/valitsus-kinnitas-eesti-seisukohad-euroopa-rohelise-kokkuleppe-kohta     </t>
  </si>
  <si>
    <t>EST2</t>
  </si>
  <si>
    <t>sectoral</t>
  </si>
  <si>
    <t xml:space="preserve">EUR 150 000 </t>
  </si>
  <si>
    <t>Support for nature and environmental education centres.The purpose of the grant is to support non-profit organisations and foundations active in the field of environmental education in mitigating the effects of the spread of the coronavirus, which causes COVID-19, in association with the cancellation of active environmental education programmes due to emergency situation-related restrictions on movement.  The purpose of the support is for the nature and environmental education centers to continue to operate and provide services even after the crisis.</t>
  </si>
  <si>
    <t>https://kik.ee/en/supported-activity/support-nature-and-environmental-education-centres</t>
  </si>
  <si>
    <t xml:space="preserve">https://kik.ee/et/toetatav-tegevus/loodus-ja-keskkonnahariduskeskuste-toetus  </t>
  </si>
  <si>
    <t>EST3</t>
  </si>
  <si>
    <t>EUR 1 400 000</t>
  </si>
  <si>
    <t>Support to separate waste collection solutions in local regional governments (municipalities). Since the COVID-19 outbreak, it has been decided to increase the maximum rate of support from 75% to 90%. The purpose of the grant is to increase the use of secondary raw materials and reduce the extraction of primary raw materials by increasing the capacity for the separate collection of waste within local governments.</t>
  </si>
  <si>
    <t xml:space="preserve">https://kik.ee/en/supported-activity/supporting-solutions-separate-collection-waste-within-local-governments </t>
  </si>
  <si>
    <t xml:space="preserve">https://kik.ee/et/toetatav-tegevus/jaatmete-liigiti-kogumise-lahenduste-toetamine-kohalikes-omavalitsustes  </t>
  </si>
  <si>
    <t>EST4</t>
  </si>
  <si>
    <t xml:space="preserve">EUR 9 500 000 </t>
  </si>
  <si>
    <t>Simplification of the application for resource efficiency support for businesses in the COVID-19 crisis.The amount of support is up to 200,000 euros and the maximum share of eligible costs per project is up to 50%.</t>
  </si>
  <si>
    <t>https://www.kik.ee/en/supported-activity/energy-and-resource-efficiency-undertakings</t>
  </si>
  <si>
    <t xml:space="preserve">https://www.kik.ee/et/toetatav-tegevus/ettevotete-ressursitohusus </t>
  </si>
  <si>
    <t>EST 5</t>
  </si>
  <si>
    <t xml:space="preserve">EUR 200 500 000 </t>
  </si>
  <si>
    <t>Alleviation of the unexpected liquidity shortage of rural businesses through loans and loan guarantees. The financial lease of agricultural land is intended to improve farmers' access to additional funding, and this measure will continue after the crisis. The budget for the farmer replacement aid will be increased by 0.5 million to ensure that not only livestock farmers but also growers are provided with a replacement service due to absence from work under COVID-19. The aim is to ensure the continuation of food production and thus the security of food supply in Estonia. Target group: organic and rural farms depending on the measures. For example: primary agricultural producers, processors and / or distributors of agricultural products; entrepreneurs engaged in fishing, food industry, rural economy (incl. accommodation and catering or rural tourism); savings and loan associations belonging to the Estonian Association of Savings and Loan Associations; foundations and non-profit associations in these fields. Support for farmer replacement is targeted at crop and livestock farmers.</t>
  </si>
  <si>
    <t xml:space="preserve">https://www.kriis.ee/et/uudised/valitsuse-liikmed-kiitsid-heaks-covid-19-lisaeelarvega-seotud-kriisimeetmed </t>
  </si>
  <si>
    <t>EST 6</t>
  </si>
  <si>
    <t xml:space="preserve">EUR 73 000 000 </t>
  </si>
  <si>
    <t>Renovation loan and housing loan guarantee to improve the energy efficiency of single and multi-family houses.The objective of the extraordinary apartment building reconstruction grant is to facilitate the reconstruction of apartment buildings to be energy-efficient, to improve indoor climate and safety, and to mitigate the effects of the COVID-19 related emergency situation that was announced on 12 March 2020, in the construction sector.The aim is to alleviate the impact of the crisis on the construction sector so that the situation on the construction market can begin to stabilize. The construction sector is an important economic driver with high employment, which also helps other sectors out of the downturn, which is why work on construction sites must recover as soon as possible.
Target group: The direct target group is housing associations, small house owners and local governments, through whose orders the money goes to construction companies, construction consulting companies, logistics companies, building material manufacturers and other construction-related companies.</t>
  </si>
  <si>
    <t xml:space="preserve">https://kredex.ee/en/node/2051 </t>
  </si>
  <si>
    <t>EST 7</t>
  </si>
  <si>
    <t xml:space="preserve">EUR 400 000 </t>
  </si>
  <si>
    <t>Support for purchase of new, fully-electric M1 and N1 category vehicles.</t>
  </si>
  <si>
    <t>https://www.kik.ee/en/supported-activity/purchasing-fully-electric-vehicles</t>
  </si>
  <si>
    <t xml:space="preserve">https://www.kik.ee/et/toetatav-tegevus/elektriliste-soidukite-soetamine </t>
  </si>
  <si>
    <t>EST8</t>
  </si>
  <si>
    <t>EUR 4 000 000</t>
  </si>
  <si>
    <t>Funding the purchase of electric buses and charging posts</t>
  </si>
  <si>
    <t>https://news.err.ee/1135630/government-to-fund-purchase-of-electric-buses-and-charging-posts</t>
  </si>
  <si>
    <t xml:space="preserve">https://www.err.ee/1135503/riik-hakkab-toetama-elektribusside-ostu-ja-laadimistaristu-ehitamist </t>
  </si>
  <si>
    <t>EST9</t>
  </si>
  <si>
    <t>Temporary (01.05.20-30.04.22) reduction of rates of excise duty of liquid fuels and electricity in order to mitigate the impact of the COVID crises</t>
  </si>
  <si>
    <t>https://www.emta.ee/et/ariklient/aktsiisid-vara-hasartmang/kutus-ja-elektrienergia/aktsiisimaarade-ajutine-vahendamine</t>
  </si>
  <si>
    <t>https://www.emta.ee/eng/business-client/excise-duties-assets-gambling/about-excise-duties/rates-excise-duty#liquid-fuels-and-electricity</t>
  </si>
  <si>
    <t>EST10</t>
  </si>
  <si>
    <t>EUR 45 Mio</t>
  </si>
  <si>
    <t>EU RRP (proposed): Investments into energy grid, energy storage and renewables</t>
  </si>
  <si>
    <t>https://www.greenrecoverytracker.org/country-reports/estonia</t>
  </si>
  <si>
    <t>EST11</t>
  </si>
  <si>
    <t>EUR 47 Mio</t>
  </si>
  <si>
    <t>EU RRP (proposed): Increasing the energy efficiency of buildings</t>
  </si>
  <si>
    <t>EST12</t>
  </si>
  <si>
    <t>EU RRP (proposed): Green fund for SME green transition investments, to develop technologies for green transition</t>
  </si>
  <si>
    <t>EST13</t>
  </si>
  <si>
    <t>EUR 38 Mio</t>
  </si>
  <si>
    <t>EU RRP (proposed): Uptake of resource efficient green technologies, valorization of bioresources in agriculture, forestry, fisheries, aquaculture and the food industry</t>
  </si>
  <si>
    <t>EST14</t>
  </si>
  <si>
    <t>EU RRP (proposed): Greentech development programs to support green startup ecosystem</t>
  </si>
  <si>
    <t>EST15</t>
  </si>
  <si>
    <t>EU RRP (proposed): Promoting the introduction of integrated hydrogen technologies</t>
  </si>
  <si>
    <t>EST16</t>
  </si>
  <si>
    <t>EU RRP (proposed): Rohuküla railway construction on sections: Turba-Ellamaa, Ellamaa-Risti</t>
  </si>
  <si>
    <t>EST17</t>
  </si>
  <si>
    <t>EUR 31 Mio</t>
  </si>
  <si>
    <t>EU RRP (proposed): Rail Baltic Ülemiste joint transport terminal construction</t>
  </si>
  <si>
    <t>EST18</t>
  </si>
  <si>
    <t>EU RRP (proposed): Local government investments into non-motorised transport infrastructure</t>
  </si>
  <si>
    <t>EST19</t>
  </si>
  <si>
    <t>EU RRP (proposed): Tallinn Old Port tram line construction</t>
  </si>
  <si>
    <t>EST20</t>
  </si>
  <si>
    <t>EU RRP (proposed): Training and reskilling for green transition</t>
  </si>
  <si>
    <t>EUR1</t>
  </si>
  <si>
    <t>EUR 202 billion</t>
  </si>
  <si>
    <t>30% 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</si>
  <si>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https://www.consilium.europa.eu/media/45109/210720-euco-final-conclusions-en.pdf</t>
  </si>
  <si>
    <t>https://ec.europa.eu/info/strategy/recovery-plan-europe_en</t>
  </si>
  <si>
    <t>EUR13</t>
  </si>
  <si>
    <t>EUR 471 billion</t>
  </si>
  <si>
    <t>70% non-climate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</si>
  <si>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EUR14</t>
  </si>
  <si>
    <t>EUR 4.14 billion</t>
  </si>
  <si>
    <t>NGEU grants  to Bulgara, Croatia and Cyprus that are green</t>
  </si>
  <si>
    <t>EUR2</t>
  </si>
  <si>
    <t>EUR 14.25 billion</t>
  </si>
  <si>
    <t>EUR2b</t>
  </si>
  <si>
    <t>EUR3</t>
  </si>
  <si>
    <t>EUR 5 billion</t>
  </si>
  <si>
    <t>EUR3b</t>
  </si>
  <si>
    <t>EUR4</t>
  </si>
  <si>
    <t>EUR 5.6 billion</t>
  </si>
  <si>
    <t>EUR4b</t>
  </si>
  <si>
    <t>EUR5</t>
  </si>
  <si>
    <t>EUR 7.5 billion</t>
  </si>
  <si>
    <t>EUR5b</t>
  </si>
  <si>
    <t>EUR6</t>
  </si>
  <si>
    <t>EUR 10 billion</t>
  </si>
  <si>
    <t>EUR7</t>
  </si>
  <si>
    <t>EUR 1.9 billion</t>
  </si>
  <si>
    <t>EUR7b</t>
  </si>
  <si>
    <t>EUR8</t>
  </si>
  <si>
    <t>MFF: Part of the complementary Multiannual Financial Framework (MFF) focusses on filling EU coffers to offset increased spending on COVID-19 recovery.  As a first step, a new own resource based on non-recycled plastic waste will be introduced and apply as of 1 January 2021. Commission will put forward in the first semester of 2021 proposals on a carbon border adjustment mechanism for introduction by 1 January 2023. The Commission will put also forward a proposal on a revised ETS scheme, possibly extending it to aviation and maritime.  The proceeds of the new own resources introduced after 2021 will be used for early repayment of NGEU borrowing.</t>
  </si>
  <si>
    <t>EUR9</t>
  </si>
  <si>
    <t>EUR 240 billion</t>
  </si>
  <si>
    <t>EU rescue package: European Stability Mechanism (ESM) to provide Pandemic Crisis Support (based on existing precautionary credit lines) up to 2 percent of 2019 GDP for each euro area country (up to €240 billion in total) to finance health related spending</t>
  </si>
  <si>
    <t>https://www.consilium.europa.eu/en/policies/coronavirus/covid-19-economy/</t>
  </si>
  <si>
    <t>EUR10</t>
  </si>
  <si>
    <t>EUR 200 billion</t>
  </si>
  <si>
    <t>EU rescue package: providing €25 billion in government guarantees to the European Investment Bank (EIB) to support up to €200 billion to finance to companies, with a focus on SMEs, in form o floans</t>
  </si>
  <si>
    <t>EUR11</t>
  </si>
  <si>
    <t>EU rescue package: The EU is putting forward temporary support to mitigate unemployment risks in an emergency (SURE) to help people keep their job during the crisis. The scheme provides loans to member states of up to €100 billion to cover part of the costs related to the creation or extension of national short-time work schemes.</t>
  </si>
  <si>
    <t>EUR12</t>
  </si>
  <si>
    <t>EConomy-wide</t>
  </si>
  <si>
    <t>EUR 1 billion</t>
  </si>
  <si>
    <t>First call for proposals under the EU Innovation Fund for demonstration of innovative low-carbon technologies ("Boosting EU green recovery" )</t>
  </si>
  <si>
    <t>https://ec.europa.eu/clima/news/boosting-eu-green-recovery-commission-invests-1-billion-innovative-clean-technology_en</t>
  </si>
  <si>
    <t>FIN2</t>
  </si>
  <si>
    <t xml:space="preserve">EUR 45 million  </t>
  </si>
  <si>
    <t>Budget appropriations are proposed for grants to phase out oil heating in both households and municipal buildings, EUR 45 million in total for 2020. Grants of EUR 15 million will be allocated to phase out oil heating in municipal real estates and EUR 30 million to phase out oil heating in detached dwellings.</t>
  </si>
  <si>
    <t>Hallitus päätti vuoden 2020 neljännestä lisätalousarvioesityksestä (valtioneuvosto.fi)</t>
  </si>
  <si>
    <t>FIN3</t>
  </si>
  <si>
    <t>EUR 40 million</t>
  </si>
  <si>
    <t>Budget authority of EUR 20 million will be allocated to major energy-subsidy pilot projects to promote energy efficiency and EUR 20 million for energy aid. this is is investment support for future energy solutions in order  to achieve the 2030 national and EU goals.</t>
  </si>
  <si>
    <t>FIN4</t>
  </si>
  <si>
    <t>EUR 33.9 million</t>
  </si>
  <si>
    <t xml:space="preserve">EUR 10 million is proposed for “Metsähallitus” (the Finnish Forest Administration) for the rehabilitation of nature sites and the development of their infrstructure. A sum of EUR 13 million is proposed for projects involving green areas, water services and forest conservation. Funding is also proposed for the development of nature and wildlife tourism (EUR 3.1 million); for the renovation of wetland (EUR million 1.8); to promote flood protection, water renovation and migratory fish (EUR 6 million).  </t>
  </si>
  <si>
    <t>FIN5</t>
  </si>
  <si>
    <t>EUR 5 million</t>
  </si>
  <si>
    <t>Additional funding for the Wood Building Programme. Use of timber in the construction process would be promoted with grants in government-supported housing production and with increased funding for the wood construction programme. The wood construction programme promotes the use of timber by enhancing industry expertise, developing legislation and the building regulations, and providing factual information.</t>
  </si>
  <si>
    <t>https://ym.fi/en/wood-building</t>
  </si>
  <si>
    <t>FIN6</t>
  </si>
  <si>
    <t xml:space="preserve">EUR 118 million </t>
  </si>
  <si>
    <t>To support public transport, EUR 100 million is proposed to compensate for the loss of fare revenue in public transport; EUR 18 milllion for investment in walking and cycling paths</t>
  </si>
  <si>
    <t>FIN7</t>
  </si>
  <si>
    <t>EUR 755.8 million</t>
  </si>
  <si>
    <t>Promotion of climate-sustainable transport projects and the production of reasonably priced housing in the agreements on housing, land use and transport (MAL-agreements). Furthermore, About a fourth of the recovery package is dedicated for developing the country’s railway and tramway infrastructure as well as to support public transport operators. The goal is to promote climate-sustainable transport projects and the production of reasonably priced housing especially in areas easily accessible with public transport. More details as follows:
• Negotiations have concluded on land use, housing and transport agreements with the urban regions of Helsinki, Turku, Tampere and Oulu. The agreements promote sustainable transport projects and affordable housing production, especially in areas that have good public transport links. 
• The Government undertakes to reserve EUR 755.8 million for measures in developing transport infrastructure. The costs of the projects would be divided over several years (2020–2031). This means it would be necessary to make financial provision for implementing the projects for example in the general government fiscal plans and in the preparation of the national transport system plan.
• Investments in railways and tramways will make up over 600 million of it. This needs to be checked from the MInistry of Finance of Finland. It is not added in the table.
• In addition, the government undertakes to finance grants for municipal engineering and start-up grants related to housing production with a sum of EUR 180 million in the period 2020–2023. Government funding for the package of land use, housing and transport in big cities is implemented within the framework of the general government fiscal plan. To be checked whether included in the above figure of EUR 755.8 milllion.</t>
  </si>
  <si>
    <t>FIN8</t>
  </si>
  <si>
    <t xml:space="preserve">EUR 2.5 million </t>
  </si>
  <si>
    <t>Budget authority of EUR 1 million for developing the battery cluster for the electric vehicles and EUR 1.5 million to develop vehicle charging infrastructure in dwelling.. </t>
  </si>
  <si>
    <t>FIN9</t>
  </si>
  <si>
    <t>EUR 100 million</t>
  </si>
  <si>
    <t>This economy wide multi sector support. The additional funding comes from Finland’s Structural Funds programme and the appropriations supporting sustainable growth and vitality in the regions and development projects for SMEs.</t>
  </si>
  <si>
    <t>https://tem.fi/-/alueille-yli-100-miljoonaa-euroa-koronaelvytykseen?languageId=en_US</t>
  </si>
  <si>
    <t>FIN10</t>
  </si>
  <si>
    <t>An appropriation of EUR 300 million is proposed for the capitalisation of Ilmastorahasto Oy (Climate Fund). The purpose of the fund is to provide funding for projects focusing on combating climate change, promoting digitalisation and boosting low-carbon approaches in industry.</t>
  </si>
  <si>
    <t>https://valtioneuvosto.fi/-/10616/hallitus-paatti-vuoden-2020-seitsemannesta-lisatalousarvioesityksesta?languageId=en_US</t>
  </si>
  <si>
    <t>FIN11</t>
  </si>
  <si>
    <t>EUR 20 million</t>
  </si>
  <si>
    <t>A total increase of EUR 16.1 million is proposed in the appropriations for nature conservation based on the Government Programme. The appropriations would be used for, for example, the needs of the METSO Programme, a goose field project and additional compensation for damage caused by protected species. </t>
  </si>
  <si>
    <t>https://mmm.fi/en/forests/biodiversity-and-protection/metso-programme</t>
  </si>
  <si>
    <t>FIN12</t>
  </si>
  <si>
    <t>EUR 1 million</t>
  </si>
  <si>
    <t>Pilot and demonstration projects implementing the Plastics Roadmap</t>
  </si>
  <si>
    <t>https://muovitiekartta.fi/in-brief/</t>
  </si>
  <si>
    <t>FIN13</t>
  </si>
  <si>
    <t>EUR 3 million</t>
  </si>
  <si>
    <t>Strengthening the knowledge base on permitting of wind power projects</t>
  </si>
  <si>
    <t>https://ym.fi/documents/1410903/33891761/kestava_elvytys_loppuraportti-2110.pdf/c8edf006-334f-ecd9-5364-9d55720823fe/kestava_elvytys_loppuraportti-2110.pdf?t=1603343569943</t>
  </si>
  <si>
    <t>FIN14</t>
  </si>
  <si>
    <t>EUR 10 million</t>
  </si>
  <si>
    <t>Advancing energy efficienct and nutrient recycling in water management</t>
  </si>
  <si>
    <t>https://www.vvy.fi/ajankohtaista/uutiset/ymparistoministerion-avustushaku/</t>
  </si>
  <si>
    <t>FIN15</t>
  </si>
  <si>
    <t>EUR0.8 million</t>
  </si>
  <si>
    <t>Subsidies to support the conservation of the building heritage</t>
  </si>
  <si>
    <t>FIN16</t>
  </si>
  <si>
    <t>EUR 340 million</t>
  </si>
  <si>
    <t>Budget authority increase to the Housing Finance and Development Centre of Finland (ARA)</t>
  </si>
  <si>
    <t>FIN17</t>
  </si>
  <si>
    <t>EUR 2 million</t>
  </si>
  <si>
    <t>Budget authority to the Housing Finance and Development Centre of Finland (ARA) for 2020-2021 for government-supported rental housing production in areas not covered by the MAL-agreements.</t>
  </si>
  <si>
    <t>FIN18</t>
  </si>
  <si>
    <t>EUR 8 million</t>
  </si>
  <si>
    <t>Budget authority to the Housing Finance and Development Centre of Finland (ARA) until the end of 2021 to increase subsidies to promote wood constructions in government-supported housing production and initiate wood construction in areas not covered by the MAL-agreements.</t>
  </si>
  <si>
    <t>FIN19</t>
  </si>
  <si>
    <t>EUR 12 million</t>
  </si>
  <si>
    <t xml:space="preserve">Business Finland programme to identify and fund leading companies that commit to increase R&amp;D&amp;I activities in Finland to find solutions to significant future challenges. </t>
  </si>
  <si>
    <t>https://www.businessfinland.fi/kampanjasivut/veturiyrityksista-vipuvartta</t>
  </si>
  <si>
    <t>FIN20</t>
  </si>
  <si>
    <t>EUR 24.8 million</t>
  </si>
  <si>
    <t>Support for cargo and cruise ship companies. 
The funding is a direct reaction to the C19 crisis. The aim is to relieve the troubles that shipping companies are facing and to maintain the performance capacity in the sector.</t>
  </si>
  <si>
    <t>Energy policy tracker</t>
  </si>
  <si>
    <t>FIN21</t>
  </si>
  <si>
    <t>EUR 20.75 million</t>
  </si>
  <si>
    <t>Innovation support for ship manufacturing industry</t>
  </si>
  <si>
    <t>FIN22</t>
  </si>
  <si>
    <t>EUR 2.9 million</t>
  </si>
  <si>
    <t>Support for airports not part of Finavia network</t>
  </si>
  <si>
    <t>FIN23</t>
  </si>
  <si>
    <t xml:space="preserve">Support for manufacturing industries and the development of smart electricity grid (conditional support) </t>
  </si>
  <si>
    <t>FIN24</t>
  </si>
  <si>
    <t>Funding for energy demonstration projects.
The aim is to support investments and studies related to 1) production and use of renewable energy, 2) energy efficiency, or 3) other measures to promote the transition to a low-carbon energy system.</t>
  </si>
  <si>
    <t>FIN25</t>
  </si>
  <si>
    <t>EUR 700 million</t>
  </si>
  <si>
    <t>State purchase of new Finnair shares. The aim is to support Finnair during covid-19.</t>
  </si>
  <si>
    <t>https://ec.europa.eu/commission/presscorner/detail/en/IP_20_1032 (31 August 2020)</t>
  </si>
  <si>
    <t>FIN26</t>
  </si>
  <si>
    <t>EUR 0.59 billion</t>
  </si>
  <si>
    <t>State guarantee on loan to Finnair. The aim is to secure the solvency of Finnair and support it during the exceptional circumstances due to covid-19.</t>
  </si>
  <si>
    <t>https://ec.europa.eu/commission/presscorner/detail/en/MEX_20_904 (31 August 2020)</t>
  </si>
  <si>
    <t>FIN27</t>
  </si>
  <si>
    <t>EUR 155 million</t>
  </si>
  <si>
    <t>EU RRP: 1st pillar "Green transition" €822m for 2021-2026 (proposed): Energy infrastructure</t>
  </si>
  <si>
    <t>https://assets.website-files.com/602e4a891047f739eaf5dfad/608a7e1b454396802342aa19_Finland_Green%20Recovery%20Tracker%20Report.pdf</t>
  </si>
  <si>
    <t>https://julkaisut.valtioneuvosto.fi/bitstream/handle/10024/163176/VN_2021_52.pdf?sequence=4&amp;isAllowed=y</t>
  </si>
  <si>
    <t>FIN28</t>
  </si>
  <si>
    <t>EU RRP: 1st pillar "Green transition" €822m for 2021-2026 (proposed): Introduction of new energy technologies</t>
  </si>
  <si>
    <t>FIN29</t>
  </si>
  <si>
    <t>EU RRP: 1st pillar "Green transition" €822m for 2021-2026 (proposed): Public transport charging and biogas refuelling infrastructure 
The aim of this measure is to promote the replacement of fossil fuels by supporting public distribution and refueling infrastructure for transport electricity, biogas and new propulsion options.</t>
  </si>
  <si>
    <t>FIN30</t>
  </si>
  <si>
    <t>EU RRP: 1st pillar "Green transition" €822m for 2021-2026 (proposed): Support for private charging infrastructure</t>
  </si>
  <si>
    <t>FIN31</t>
  </si>
  <si>
    <t>EUR 150 million</t>
  </si>
  <si>
    <t>EU RRP: 1st pillar "Green transition" €822m for 2021-2026 (proposed): Low-carbon hydrogen and carbon capture and utilisation in industry</t>
  </si>
  <si>
    <t>FIN32</t>
  </si>
  <si>
    <t>EUR 60 million</t>
  </si>
  <si>
    <t xml:space="preserve">EU RRP: 1st pillar "Green transition" €822m for 2021-2026 (proposed): Direct electrification and decarbonisation of industrial processes </t>
  </si>
  <si>
    <t>FIN33</t>
  </si>
  <si>
    <t>EUR 110 million</t>
  </si>
  <si>
    <t>EU RRP: 1st pillar "Green transition" €822m for 2021-2026 (proposed): Investments to promote the reuse and recycling of key materials and industrial side streams (€110m), of which €30 million for the bioeconomy and €30 million for circular economy solutions in the battery sector</t>
  </si>
  <si>
    <t>FIN34</t>
  </si>
  <si>
    <t>EU RRP: 1st pillar "Green transition" €822m for 2021-2026 (proposed): Temporary additional capacity for the processing of environmental permits</t>
  </si>
  <si>
    <t>FIN35</t>
  </si>
  <si>
    <t>EUR 70 million</t>
  </si>
  <si>
    <t>EU RRP: 1st pillar "Green transition" €822m for 2021-2026 (proposed): Support the replacement of building heating systems from fossil oil to low-carbon energy efficient heating</t>
  </si>
  <si>
    <t>FIN36</t>
  </si>
  <si>
    <t>EU RRP: 1st pillar "Green transition" €822m for 2021-2026 (proposed): Investment programme for solving climate change challenges in the real estate and construction sector (Climate-KIRADIGI)</t>
  </si>
  <si>
    <t>FIN37</t>
  </si>
  <si>
    <t>EU RRP: 1st pillar "Green transition" €822m for 2021-2026 (proposed): Field gypsum treatment and nutrient recycling</t>
  </si>
  <si>
    <t>FIN38</t>
  </si>
  <si>
    <t xml:space="preserve">EU RRP: 1st pillar "Green transition" €822m for 2021-2026 (proposed): Climate-resiliency measures in the land use sector </t>
  </si>
  <si>
    <t>FIN39</t>
  </si>
  <si>
    <t>EUR 192 million</t>
  </si>
  <si>
    <t>RDI funding package for a green transition</t>
  </si>
  <si>
    <t>FIN40</t>
  </si>
  <si>
    <t>EUR 75 million</t>
  </si>
  <si>
    <t>Investment in research infrastructures and R&amp;D and testing environments for sustainable growth and digitalisation</t>
  </si>
  <si>
    <t>FIN41</t>
  </si>
  <si>
    <t>EU RRP: 1st pillar "Green transition" €822m for 2021-2026 (proposed): P1C1R1 Significant reduction of coal energy use by 2026; to reach this the government has set a target: electricity and heat production almost emission free by the end of 2030; a ban on the use of coal Energy by 2029;  this reduction target is sustained by Pillar 1 investments on energy</t>
  </si>
  <si>
    <t>Recovery and Resilience Plan - https://julkaisut.valtioneuvosto.fi/handle/10024/163176</t>
  </si>
  <si>
    <t xml:space="preserve">EUR </t>
  </si>
  <si>
    <t>FIN42</t>
  </si>
  <si>
    <t>EU RRP: 1st pillar "Green transition" €822m for 2021-2026 (proposed): P1C1R2 Comprehensive reform of energy taxation to take account of technological development; Tax category II includes industry, mines, agriculture and data centres over 5 megawatts. From 2021, the electricity tax in category II will be reduced to 0.05 cents/kWh, the EU minimum. Previously, the electricity tax in category II was 0.69 cents/kWh. This will promote the electrification of industry and encourage low-carbonisation. At the same time, the energy intensive energy tax subsidies for fuels used in energy-intensive industries will be phased out. In addition, the tax on fossil heating fuels was increased to €2.7/MWh from 2021.</t>
  </si>
  <si>
    <t>Recovery and Resilience Plan - https://julkaisut.valtioneuvosto.fi/handle/10024/163177</t>
  </si>
  <si>
    <t>FIN43</t>
  </si>
  <si>
    <t>EU RRP: 1st pillar "Green transition" €822m for 2021-2026 (proposed): P1C2R2 Strategic promotion of the circular economy and the Waste Act Reform; this reform is released to reach the EU's waste recycling targets; includes changes to waste legislation and a number of regulations, e.g. refering to packaging and its waste management, the implementation of the Disposable Plastics Directive and the seperate collection obligation for textile waste</t>
  </si>
  <si>
    <t>Recovery and Resilience Plan - https://julkaisut.valtioneuvosto.fi/handle/10024/163179</t>
  </si>
  <si>
    <t>FIN44</t>
  </si>
  <si>
    <t xml:space="preserve">EU RRP: 1st pillar "Green transition" €822m for 2021-2026 (proposed): P1C3R1 Release of the Reform of Land Use and Building Act to guide low-carbon construction and comprehensively regulate the digitalisation of information. This includes the facilitation to use carbon footprint calculation in construction and facilitate low-cabon choices. </t>
  </si>
  <si>
    <t>Recovery and Resilience Plan - https://julkaisut.valtioneuvosto.fi/handle/10024/163180</t>
  </si>
  <si>
    <t>FIN45</t>
  </si>
  <si>
    <t>EU RRP: 1st pillar "Green transition" €822m for 2021-2026 (proposed): P1C3R2 Opertional Program for the Abolition of Fossil Fuel Heating. Defines measures to reduce the use of fossil oil heating such as information guidance and regulatory guidance.</t>
  </si>
  <si>
    <t>Recovery and Resilience Plan - https://julkaisut.valtioneuvosto.fi/handle/10024/163181</t>
  </si>
  <si>
    <t>FIN46</t>
  </si>
  <si>
    <t>EU RRP: 1st pillar "Green transition" €822m for 2021-2026 (proposed): P1C4R1 Fossil free traffic roadmap; sets out concrete means to achieve 2030 emission target, assesses the possible solutions and gives regulatory directions, e.g. The biofuel distribution obligation.</t>
  </si>
  <si>
    <t>Recovery and Resilience Plan - https://julkaisut.valtioneuvosto.fi/handle/10024/163182</t>
  </si>
  <si>
    <t>FIN47</t>
  </si>
  <si>
    <t>EU RRP: 1st pillar "Green transition" €822m for 2021-2026 (proposed): P1C4R2 Tax reform for sustainable transport, tax value of electric cars used as company cars reduced until 2025, car charging refulated as tax free employment benefit, taxes for chargers purchased for employees' homes reduced, employee bycicle provided with tax-free benefit of up to 1200€ per year</t>
  </si>
  <si>
    <t>Recovery and Resilience Plan - https://julkaisut.valtioneuvosto.fi/handle/10024/163183</t>
  </si>
  <si>
    <t>FRA1</t>
  </si>
  <si>
    <t>EUR 690 million</t>
  </si>
  <si>
    <t>Support for a pilot plant to manufacture electric batteries for cars and other measures</t>
  </si>
  <si>
    <t>https://www.economie.gouv.fr/files/files/directions_services/covid19-soutien-entreprises/DP-Plan_soutien_automobile26052020.pdf</t>
  </si>
  <si>
    <t>FRA2</t>
  </si>
  <si>
    <t>A fund for industrial development in areas including the production of electric motors and the design, production and use of hydrogen systems in cars.</t>
  </si>
  <si>
    <t>FRA3</t>
  </si>
  <si>
    <t xml:space="preserve">Extension of the ADVENIR programme, which allows the financing of vehicle charging infrastructure in company car parks and apartment buildings using energy savings certificates. </t>
  </si>
  <si>
    <t>FRA4</t>
  </si>
  <si>
    <t>EUR 5 bn</t>
  </si>
  <si>
    <t xml:space="preserve">A commercial loan backed by government guarantee to help Renault recover from the impact of coronavirus. </t>
  </si>
  <si>
    <t>FRA5</t>
  </si>
  <si>
    <t>EUR 7 bn</t>
  </si>
  <si>
    <t>Air France has committed to cutting its emissions from domestic flights in half by 2024 as part of the climate conditions for a €3bn loan from the French state and €4bn in bank loans guaranteed</t>
  </si>
  <si>
    <t>https://www.economie.gouv.fr/plan-soutien-aeronautique</t>
  </si>
  <si>
    <t>FRA6</t>
  </si>
  <si>
    <t>Financial support for bike repairs, installing temporary parking spaces for bikes and cycle training in a scheme the government says will "democratise" cycling as France emerges from lockdow...</t>
  </si>
  <si>
    <t>https://www.ecologique-solidaire.gouv.fr/plan-velo-des-mesures-concretes-faciliter-lusage-du-velo</t>
  </si>
  <si>
    <t>FRA7</t>
  </si>
  <si>
    <t>Part climat: 4 milliard</t>
  </si>
  <si>
    <t xml:space="preserve">Thermal renovation of public buildings </t>
  </si>
  <si>
    <t>https://www.economie.gouv.fr/files/files/directions_services/plan-de-relance/annexe-fiche-mesures.pdf</t>
  </si>
  <si>
    <t>FRA8</t>
  </si>
  <si>
    <t>Part climat: 500 million</t>
  </si>
  <si>
    <t xml:space="preserve">Energy renovation and major rehabilitation of social housing </t>
  </si>
  <si>
    <t>FRA9</t>
  </si>
  <si>
    <t>Part climat: 200 million</t>
  </si>
  <si>
    <t>Energy renovation of SMEs</t>
  </si>
  <si>
    <t>FRA10</t>
  </si>
  <si>
    <t>Part climat: 2 milliard</t>
  </si>
  <si>
    <t xml:space="preserve">Energy renovation of private housing </t>
  </si>
  <si>
    <t>FRA11</t>
  </si>
  <si>
    <t>Part climat: 650 million</t>
  </si>
  <si>
    <t>Densification and urban renewal (rehabilitation of wastelands, assistance to mayors for the densification of housing)</t>
  </si>
  <si>
    <t>FRA12</t>
  </si>
  <si>
    <t>Part climat: 300 million</t>
  </si>
  <si>
    <t>Biodiversity in the regions, risk prevention and strengthening of resilience</t>
  </si>
  <si>
    <t>FRA13</t>
  </si>
  <si>
    <t xml:space="preserve">Water networks and modernization of sanitation stations, including overseas </t>
  </si>
  <si>
    <t>FRA14</t>
  </si>
  <si>
    <t>Part climat: 1.2 Billion</t>
  </si>
  <si>
    <t xml:space="preserve">Decarbonization of industry </t>
  </si>
  <si>
    <t>FRA15</t>
  </si>
  <si>
    <t>Part climat: 226 million</t>
  </si>
  <si>
    <t xml:space="preserve">Investment in recycling and reuse (including support for the plastics industry) </t>
  </si>
  <si>
    <t>FRA16</t>
  </si>
  <si>
    <t>Part climat: 274 million</t>
  </si>
  <si>
    <t>Modernization of sorting / recycling and waste recovery centers</t>
  </si>
  <si>
    <t>FRA17</t>
  </si>
  <si>
    <t>EUR 400 million</t>
  </si>
  <si>
    <t>Acceleration of the transformation of the agricultural sector (organic high environmental value, local products, territorial food projects)</t>
  </si>
  <si>
    <t>FRA18</t>
  </si>
  <si>
    <t>Part climat: 100 million</t>
  </si>
  <si>
    <t>Plan in favor of protein independence</t>
  </si>
  <si>
    <t>FRA19</t>
  </si>
  <si>
    <t>EUR 250 million</t>
  </si>
  <si>
    <t>Modernization of slaughterhouses and biosecurity in breeding, free-range breeding and animal welfare</t>
  </si>
  <si>
    <t>FRA20</t>
  </si>
  <si>
    <t>Renewal of agro-equipment</t>
  </si>
  <si>
    <t>FRA21</t>
  </si>
  <si>
    <t xml:space="preserve">Forest </t>
  </si>
  <si>
    <t>FRA22</t>
  </si>
  <si>
    <t>EUR 50 million</t>
  </si>
  <si>
    <t>Fishing, aquaculture</t>
  </si>
  <si>
    <t>FRA23</t>
  </si>
  <si>
    <t xml:space="preserve">Greening of ports </t>
  </si>
  <si>
    <t>FRA24</t>
  </si>
  <si>
    <t>Part climat: 50 million</t>
  </si>
  <si>
    <t xml:space="preserve">Strengthening the resilience of electricity networks </t>
  </si>
  <si>
    <t>FRA25</t>
  </si>
  <si>
    <t>Part climat: 1200 million</t>
  </si>
  <si>
    <t>Develop daily mobility. Includes 200M for bike lanes that is part of 'plan velo".</t>
  </si>
  <si>
    <t>see Plan velo above</t>
  </si>
  <si>
    <t>FRA26</t>
  </si>
  <si>
    <t>Part climat: 4.7 milliard</t>
  </si>
  <si>
    <t>Rail (SNCF Réseau aid, rail freight, small lines, network modernization / security)</t>
  </si>
  <si>
    <t>FRA27</t>
  </si>
  <si>
    <t>Part climat: 550 million</t>
  </si>
  <si>
    <t xml:space="preserve">Acceleration of work on transport infrastructure </t>
  </si>
  <si>
    <t>FRA28</t>
  </si>
  <si>
    <t>Part climat: 1.9 milliard</t>
  </si>
  <si>
    <t xml:space="preserve">Support for demand for clean vehicles from the automotive plan (bonus, conversion bonus) </t>
  </si>
  <si>
    <t>FRA29</t>
  </si>
  <si>
    <t>Part climat: 180 million</t>
  </si>
  <si>
    <t xml:space="preserve">Greening of the State vehicle fleet </t>
  </si>
  <si>
    <t>FRA30</t>
  </si>
  <si>
    <t>Develop low-carbon hydrogen</t>
  </si>
  <si>
    <t>see Stratégie nationale pour le développement de l'hydrogène décarboné en France (EUR 7 billion up to 2030 including 2 over two years)</t>
  </si>
  <si>
    <t>FRA31</t>
  </si>
  <si>
    <t>EUR 200 million</t>
  </si>
  <si>
    <t xml:space="preserve">Nuclear: skills development, industrial investments, modernization in subcontracting </t>
  </si>
  <si>
    <t>FRA32</t>
  </si>
  <si>
    <t>Part climat: 2.6 milliard</t>
  </si>
  <si>
    <t xml:space="preserve">Support plans for the aeronautics and automotive sectors </t>
  </si>
  <si>
    <t>FRA33</t>
  </si>
  <si>
    <t>Part climat: 3,4 milliard</t>
  </si>
  <si>
    <t>Support for the development of key markets in green technologies: hydrogen, recycling and reincorporation of recycled materials, bio-sourced products and biofuels, agro-equipment for ecological transition, decarbonization of industry (PIA)</t>
  </si>
  <si>
    <t>https://www.gouvernement.fr/sites/default/files/contenu/piece-jointe/2020/09/fiches_intro_thematiques_pia_4.pdf</t>
  </si>
  <si>
    <t>FRA34</t>
  </si>
  <si>
    <t>EUR 2.5 billion</t>
  </si>
  <si>
    <t>New Climate products from Bpifrance</t>
  </si>
  <si>
    <t>GBR1</t>
  </si>
  <si>
    <r>
      <t xml:space="preserve">GBP </t>
    </r>
    <r>
      <rPr>
        <sz val="9"/>
        <color rgb="FFFF0000"/>
        <rFont val="Arial"/>
        <family val="2"/>
      </rPr>
      <t>80 million</t>
    </r>
  </si>
  <si>
    <t>Only about 80 million of the 1.5 Billion allocated to local authorities through the Green Homes Grant Local Authority Delivery (LAD) scheme was spent in 2020/2021 (and the remaining amount was not rolled over), to improve the energy efficiency of homes of low-income households, helping reduce fuel poverty, phasing out high carbon fossil fuel heating, and delivering progress towards the UK’s commitment to net zero by 2050.</t>
  </si>
  <si>
    <t>https://www.gov.uk/government/publications/green-homes-grant-local-authority-delivery-scheme-entering-a-bid</t>
  </si>
  <si>
    <t>https://www.building.co.uk/comment/the-green-homes-grant-fiasco-is-such-a-missed-opportunity/5110351.article</t>
  </si>
  <si>
    <t>GBP</t>
  </si>
  <si>
    <t>GBR2</t>
  </si>
  <si>
    <t>GBP 320 million</t>
  </si>
  <si>
    <t>£320 million over the next Financial Year to pay for green improvements such as loft, wall and floor insulation that could save some households hundreds of pounds a year on their energy bills. Vouchers will cover two-thirds of the cost of eligible improvements, up to a maximum government contribution of £5,000</t>
  </si>
  <si>
    <t>https://www.gov.uk/government/publications/the-ten-point-plan-for-a-green-industrial-revolution/title</t>
  </si>
  <si>
    <t>GBR3</t>
  </si>
  <si>
    <t>1.4 billion</t>
  </si>
  <si>
    <t>£1bn fund for public buildings, such as hospitals, schools, to improve energy efficiency.</t>
  </si>
  <si>
    <t>https://www.gov.uk/government/news/rishis-plan-for-jobs-will-help-britain-bounce-back</t>
  </si>
  <si>
    <t>GBR4</t>
  </si>
  <si>
    <t>182.52 million</t>
  </si>
  <si>
    <t>£139 million to cut emissions in heavy industry by supporting the transition from natural gas to clean hydrogen power, and scaling up carbon capture and storage (CCS) technology which can stop over 90% of emissions being released from industrial plants into the air by storing carbon permanently underground</t>
  </si>
  <si>
    <t>https://www.gov.uk/government/news/pm-commits-350-million-to-fuel-green-recovery</t>
  </si>
  <si>
    <t>GBR5</t>
  </si>
  <si>
    <t>195.66 million</t>
  </si>
  <si>
    <t>£149 million to drive the use of innovative materials in heavy industry; the 13 initial projects will include proposals to reuse waste ash in the glass and ceramics industry, and the development of recyclable steel</t>
  </si>
  <si>
    <t>GBR6</t>
  </si>
  <si>
    <t>34.14 million</t>
  </si>
  <si>
    <t>£26 million to support advanced new building techniques in order to reduce build costs and carbon emissions in the construction industry</t>
  </si>
  <si>
    <t>GBR7</t>
  </si>
  <si>
    <t>13.13 million</t>
  </si>
  <si>
    <t>£10 million boost for state of the art construction tech which will go towards 19 projects focused on improving productivity and building quality, for example, re-usable roofs and walls and “digital clones” of buildings that analyse data in real time</t>
  </si>
  <si>
    <t>GBR8</t>
  </si>
  <si>
    <t>19.7 million</t>
  </si>
  <si>
    <t>New National Space Innovation Programme backed by £15 million initial funding from the UK Space Agency, which will see the first £10million go towards projects that will monitor climate change across the globe, which could protect local areas from the impacts of extreme weather by identifying changes in the environment</t>
  </si>
  <si>
    <t>GBR9</t>
  </si>
  <si>
    <t>UK Infrastructure Bank with capitalisation of £12bn. The Policy Design of the UK Infrastructure Bank provides further detail on the mandate and design of the new UK Infrastructure Bank, including the rationale for the Bank and its initial areas of focus. It announces the following: the initial capital available for the Bank; the location of the Bank’s headquarters; a local authority lending rate; next steps in the Bank’s development</t>
  </si>
  <si>
    <t>https://www.gov.uk/government/publications/policy-design-of-the-uk-infrastructure-bank</t>
  </si>
  <si>
    <t>GBR10</t>
  </si>
  <si>
    <t>7.34 billion</t>
  </si>
  <si>
    <t>£5.6bn of infrastructure spending. This will primarily be spent on maintenance and upgrades for hospitals (£1.5bn) and schools (£1.8bn), as well as £1bn for other local projects and smaller sums for maintenance of courts and roads.</t>
  </si>
  <si>
    <t>https://www.instituteforgovernment.org.uk/explainers/governments-post-covid-19-stimulus-package</t>
  </si>
  <si>
    <t>https://www.gov.uk/government/publications/a-plan-for-jobs-documents/a-plan-for-jobs-2020#policy-decisions</t>
  </si>
  <si>
    <t>GBR11</t>
  </si>
  <si>
    <t>GBP 13.4 billion</t>
  </si>
  <si>
    <t>submission from the UK government</t>
  </si>
  <si>
    <t>https://assets.publishing.service.gov.uk/government/uploads/system/uploads/attachment_data/file/963166/Supplementary_Estimates_2020-21_web.pdf</t>
  </si>
  <si>
    <t>GBR12</t>
  </si>
  <si>
    <t>GBP 110 million</t>
  </si>
  <si>
    <t>Additional £60 million over FY21/22 to fund energy efficiency upgrades to Social Housing. The scheme builds upon the £50 million Social Housing Demonstrator project launched last year to create a total of £110m</t>
  </si>
  <si>
    <t>https://www.gov.uk/government/publications/a-plan-for-jobs-documents/a-plan-for-jobs-2020</t>
  </si>
  <si>
    <t>https://www.energypolicytracker.org/search-results/?_sfm_country=82</t>
  </si>
  <si>
    <t>GBR13</t>
  </si>
  <si>
    <t>GBP 73.5 million</t>
  </si>
  <si>
    <t xml:space="preserve">£73.5m of funding awarded through the APC (Advanced Propulsion Centre) Core Competition which supports R&amp;D targetted at strategically important parts of the vehicle value chain. </t>
  </si>
  <si>
    <t>https://www.gov.uk/government/news/735-million-to-boost-green-economic-recovery-in-automotive-sector</t>
  </si>
  <si>
    <t>GBR14</t>
  </si>
  <si>
    <t>495.72 million</t>
  </si>
  <si>
    <t xml:space="preserve">Support to Iberdrola International B.V. through Covid Corporate Financing Facility (CCFF) - Wind </t>
  </si>
  <si>
    <t>https://www.bankofengland.co.uk/-/media/boe/files/markets/covid-corporate-financing-facility/cp-held-by-ccff-by-business.xlsx?</t>
  </si>
  <si>
    <t>GBR15</t>
  </si>
  <si>
    <t>181.77 million</t>
  </si>
  <si>
    <t xml:space="preserve">Support to National Express Group PLC through Covid Corporate Financing Facility (CCFF) - Mobility General </t>
  </si>
  <si>
    <t>GBR16</t>
  </si>
  <si>
    <t>991.45 Million</t>
  </si>
  <si>
    <t xml:space="preserve">Support for Honda Finance Europe PLC through Covid Corporate Financing Facility (CCFF) - Oil and Oil Products </t>
  </si>
  <si>
    <t>GBR17</t>
  </si>
  <si>
    <t>991.45 million</t>
  </si>
  <si>
    <t xml:space="preserve">Support for Nissan Motor Co., Ltd through Covid Corporate Financing Facility (CCFF) - </t>
  </si>
  <si>
    <t>GBR18</t>
  </si>
  <si>
    <t xml:space="preserve">Support for EasyJet through Covid Corporate Financing Facility (CCFF) - </t>
  </si>
  <si>
    <t>GBR19</t>
  </si>
  <si>
    <t xml:space="preserve">Support for Ryanair through Covid Corporate Financing Facility (CCFF) </t>
  </si>
  <si>
    <t>GBR20</t>
  </si>
  <si>
    <t xml:space="preserve">Support for British Airways through Covid Corporate Financing Facility (CCFF) - </t>
  </si>
  <si>
    <t>GBR21</t>
  </si>
  <si>
    <t xml:space="preserve">Support for Wizz Air through Covid Corporate Financing Facility (CCFF) </t>
  </si>
  <si>
    <t>GBR22</t>
  </si>
  <si>
    <t>Celsa Steel Loan - Emergency loan included legally binding conditions, including commitments around climate change and net-zero.</t>
  </si>
  <si>
    <t>https://www.gov.uk/government/news/government-agrees-support-package-to-uk-steel-company</t>
  </si>
  <si>
    <t>GBR23</t>
  </si>
  <si>
    <t>2.63 billion</t>
  </si>
  <si>
    <t>Emergency Active Travel Fund - A £250 million emergency active travel fund as part of a £2 billion package for cycling and walking as part of plans to boost greener, active transport. Includes £25m Fix Your Bike Voucher Scheme.</t>
  </si>
  <si>
    <t>https://www.gov.uk/government/news/2-billion-package-to-create-new-era-for-cycling-and-walking</t>
  </si>
  <si>
    <t>GBR24</t>
  </si>
  <si>
    <t>Reallocating Road Space Statutory Guidance - Fast-tracked statutory guidance, to tell councils to reallocate roadspace for significantly-increased numbers of cyclists and pedestrians.</t>
  </si>
  <si>
    <t>GBR25</t>
  </si>
  <si>
    <t>E-scooter trials - E-scooter trials brought forward from next year to help encourage more people off public transport and onto greener alternatives. Originally set to take place in 4 Future Transport Zones, the trials of rental e-scooters – now offered to all local areas across the country</t>
  </si>
  <si>
    <t>GBR26</t>
  </si>
  <si>
    <t>13.14 million</t>
  </si>
  <si>
    <t>Zero emission vehicle research - Funding for the OLEV R&amp;D programme to launch new competitions this summer with £10m for a new ZEV innovation competition and £2m to the Niche Vehicle Network to support SMEs.</t>
  </si>
  <si>
    <t>https://www.gov.uk/government/news/green-number-plates-get-the-green-light-for-a-zero-emission-future</t>
  </si>
  <si>
    <t>GBR27</t>
  </si>
  <si>
    <t>223.31 million</t>
  </si>
  <si>
    <t>Shovel-Ready Flood Defence Schemes - up to £170 million will be spent to accelerate work on shovel-ready flood defence schemes that will begin construction in 2020 or 2021. 22 areas across the country will benefit from this immediate boost to jobs supporting the local economy as communities recover from the impact of coronavirus</t>
  </si>
  <si>
    <t>https://www.gov.uk/government/news/multi-billion-pound-investment-as-government-unveils-new-long-term-plan-to-tackle-flooding</t>
  </si>
  <si>
    <t>GBR28</t>
  </si>
  <si>
    <t>The Scottish Government has set a new ambition to increase offshore wind capacity to 11GW of energy installed by 2030, up from 8GW target and 1GW currently installed, and has adopted a plan that identifies commercial-scale offshore wind sites._x000D_
The aim of substantially increasing the offshore wind capacity in Scottish waters supports the delivery of Scotlandâ€™s 2017 Energy Strategy and the decarbonisation of heat and transport. The strategy has been agreed following an extensive consultation with industry, stakeholders, coastal communities and environmental organisations.</t>
  </si>
  <si>
    <t>https://www.gov.scot/publications/offshore-wind-policy-statement/pages/3/ Accessed 2 November 2020</t>
  </si>
  <si>
    <t>GBR29</t>
  </si>
  <si>
    <t>80 million</t>
  </si>
  <si>
    <t>The Scottish government will commit £60 million to support decarbonisation of industrial and manufacturing sectors including the Â£34 million Scottish Industrial Energy Transformation Fund and the £26 million Low Carbon Manufacturing Challenge Fund." The current government also announced that it would continue "to support and invest in the development of CCUS projects in Scotland and commission a suite of research projects for CCUS," develop a Carbon Capture and Utilisation Challenge Fund, and publish a refreshed Energy Strategy.</t>
  </si>
  <si>
    <t>https://www.gov.scot/publications/protecting-scotland-renewing-scotland-governments-programme-scotland-2020-2021/pages/5/#page-top  Accessed 7 September 2020.</t>
  </si>
  <si>
    <t>GBR30</t>
  </si>
  <si>
    <t>2.02 billion</t>
  </si>
  <si>
    <t xml:space="preserve">The Scottish government plans to increase energy efficiency spending to £398m per year by 2025 (for a total of £1.6bn), with the following: </t>
  </si>
  <si>
    <t>https://www.gov.scot/publications/protecting-scotland-renewing-scotland-governments-programme-scotland-2020-2021/pages/5/#page-top Accessed 7 September 2020.</t>
  </si>
  <si>
    <t>GBR31</t>
  </si>
  <si>
    <t>GBP 1.3 billion</t>
  </si>
  <si>
    <t>£1.3 billion investment to deliver homes, infrastructure and jobs</t>
  </si>
  <si>
    <t>https://www.gov.uk/government/news/1-3-billion-investment-to-deliver-homes-infrastructure-and-jobs Accessed 4 August 2020</t>
  </si>
  <si>
    <t>GBR32</t>
  </si>
  <si>
    <t>1.89 billion</t>
  </si>
  <si>
    <t>London Â£1.5bn green infrastructure package</t>
  </si>
  <si>
    <t>https://www.edie.net/news/6/London-unveils--1-5bn-green-infrastructure-package-to-kick-start-economy-post-lockdown/ Accessed 3 August 2020</t>
  </si>
  <si>
    <t>GBR33</t>
  </si>
  <si>
    <t>250 million</t>
  </si>
  <si>
    <t>£200 million funding for R&amp;D to green the aerospace sector</t>
  </si>
  <si>
    <t>https://www.gov.uk/government/news/uk-aerospace-sector-to-benefit-from-400-million-funding-to-go-green Accessed 24 July 2020</t>
  </si>
  <si>
    <t>https://www.edie.net/news/11/-350m-for-decarbonising-heavy-industry-and--400m-for-sustainable-aviation--Boris-Johnson-unveils-fresh-green-recovery-spending/ Accessed 24 July 2020</t>
  </si>
  <si>
    <t>GBR34</t>
  </si>
  <si>
    <t>Phase out the sale of new petrol and diesel cars by 2030. All new cars and vans to have significant zero emission capability
(e.g. plug-in and full hybrids) from 2030 and be 100% zero emissions from 2035.</t>
  </si>
  <si>
    <t>https://assets.publishing.service.gov.uk/government/uploads/system/uploads/attachment_data/file/936567/10_POINT_PLAN_BOOKLET.pdf</t>
  </si>
  <si>
    <t>GBR35</t>
  </si>
  <si>
    <t xml:space="preserve">NA </t>
  </si>
  <si>
    <t xml:space="preserve">Produce 40GW of offshore wind by 2030, including 1 GW of floating offshore wind </t>
  </si>
  <si>
    <t>GBR36</t>
  </si>
  <si>
    <t>212.5 million</t>
  </si>
  <si>
    <t xml:space="preserve"> £160 million into modern ports and manufacturing infrastructure to manufacture wind turbines (for the above goal) </t>
  </si>
  <si>
    <t>GBR37</t>
  </si>
  <si>
    <t>5GW of low carbon hydrogen production capacity by 2030</t>
  </si>
  <si>
    <t>GBR38</t>
  </si>
  <si>
    <t>318.8 million</t>
  </si>
  <si>
    <t>£240 million Net Zero Hydrogen Fund</t>
  </si>
  <si>
    <t>GBR39</t>
  </si>
  <si>
    <t xml:space="preserve">225.8 million </t>
  </si>
  <si>
    <t>Up to £170 million for a research and development programme on Advanced Modular Reactors. These reactors could operate at over 800°C and the high-grade heat could unlock efficient production of hydrogen and synthetic fuels</t>
  </si>
  <si>
    <t>GBR40</t>
  </si>
  <si>
    <t>53.3 million</t>
  </si>
  <si>
    <t xml:space="preserve">£40 million in developing the regulatory frameworks and supporting UK supply chain for small modular and advanced modular reactors </t>
  </si>
  <si>
    <t>GBR41</t>
  </si>
  <si>
    <t>1.33 billion</t>
  </si>
  <si>
    <t>£1 billion to support the electrification of UK vehicles and their supply chains</t>
  </si>
  <si>
    <t xml:space="preserve">Ten Point Plan </t>
  </si>
  <si>
    <t>GBR42</t>
  </si>
  <si>
    <t>1.73 billion</t>
  </si>
  <si>
    <t>£1.3 billion to accelerate the roll out of charging infrastructure, targeting support on rapid charge points on motorways and major roads to dash any anxiety around long journeys, and installing more on-street charge points near homes and workplaces to make charging as easy as refuelling a petrol or diesel car.</t>
  </si>
  <si>
    <t>GBR43</t>
  </si>
  <si>
    <t>772.86 million</t>
  </si>
  <si>
    <t>582 million to extend the Plug-in Car, Van, Taxi and Motorcycle grants to 2022–23 to reduce their sticker price for the consumer.</t>
  </si>
  <si>
    <t>GBR44</t>
  </si>
  <si>
    <t>26.56 million</t>
  </si>
  <si>
    <t>£20 million next year in freight trials to pioneer hydrogen and other zero emission lorries,</t>
  </si>
  <si>
    <t>GBR45</t>
  </si>
  <si>
    <t>159.35 million</t>
  </si>
  <si>
    <t>£120 million next year to begin the introduction of at least 4,000 more British built zero emission buses.</t>
  </si>
  <si>
    <t>GBR46</t>
  </si>
  <si>
    <t xml:space="preserve">Amount Unknown </t>
  </si>
  <si>
    <t>Fund at least two all-electric bus towns, beginning this financial year, as well as developing the first fully zero-emission city centre.</t>
  </si>
  <si>
    <t>GBR47</t>
  </si>
  <si>
    <t>19.92 million</t>
  </si>
  <si>
    <t>£15 million into FlyZero – a 12-month study, delivered through the Aerospace Technology Institute (ATI), into the strategic, technical and commercial issues in designing and developing zero-emission aircraft that could enter service in 2030.</t>
  </si>
  <si>
    <t>GBR48</t>
  </si>
  <si>
    <t>£15 million competition to support the production of Sustainable Aviation Fuels (SAF) in the UK, building on the success of the Future, Fuels for Freight and Flight Competition</t>
  </si>
  <si>
    <t>GBR49</t>
  </si>
  <si>
    <t>£20 million into the Clean Maritime Demonstration Programme to develop clean maritime technology. We are already running hydrogen ferry trials in Orkney and due to launch a hydrogen refuelling port in Teesside, as we seek to revitalise our ports and coastal communities.</t>
  </si>
  <si>
    <t>GBR50</t>
  </si>
  <si>
    <t>600,000 heat pump installations per year by 2028,</t>
  </si>
  <si>
    <t>GBR51</t>
  </si>
  <si>
    <t>Extend the Energy Company Obligation to 2026, so suppliers can help improve the draughtiest and coldest homes.</t>
  </si>
  <si>
    <t>GBR52</t>
  </si>
  <si>
    <t>£1 billion CCUS Infrastructure Fund will provide industry with the certainty required to deploy CCUS at pace and at scale</t>
  </si>
  <si>
    <t>GBR53</t>
  </si>
  <si>
    <t>106.12million</t>
  </si>
  <si>
    <t>The £80m Green Recovery Challenge fund will award grants to environmental charities and their partners across England to create and retain jobs while restoring nature and tackling climate change.</t>
  </si>
  <si>
    <t>GBR54</t>
  </si>
  <si>
    <t>6.91 billion</t>
  </si>
  <si>
    <t>£5.2 billion in a six-year programme for flood and coastal defences</t>
  </si>
  <si>
    <t>GBR55</t>
  </si>
  <si>
    <t>GBP 20 million</t>
  </si>
  <si>
    <t xml:space="preserve">£20 million in financial year 2020/21 under the On-street Residential Chargepoint Scheme to ensure more local authorities and residents can benefit from the scheme.  </t>
  </si>
  <si>
    <t>GBR56</t>
  </si>
  <si>
    <t>Developing the first fully zero-emission city centre</t>
  </si>
  <si>
    <t>GBR57</t>
  </si>
  <si>
    <t>3.984 million</t>
  </si>
  <si>
    <t xml:space="preserve">£3m for a clearing house programme to deliver early stage testing, funding and expert advice for new fuels. </t>
  </si>
  <si>
    <t>GBR58</t>
  </si>
  <si>
    <t>£3m for R&amp;D into the infrastructure upgrades required at UK airports to move to battery and hydrogen aircrafts.</t>
  </si>
  <si>
    <t>GBR59</t>
  </si>
  <si>
    <t>£150m GBP</t>
  </si>
  <si>
    <t xml:space="preserve">£150 million over FY21/22 for the Home Upgrade Grant scheme to upgrade the worst performing low-income homes not connected to the gas grid. </t>
  </si>
  <si>
    <t>https://www.gov.uk/government/news/government-boosts-energy-efficiency-spending-to-13-billion-with-extra-funding-for-green-homes</t>
  </si>
  <si>
    <t>GBR60</t>
  </si>
  <si>
    <t>£27m GBP</t>
  </si>
  <si>
    <t>£27 million for the Aberdeen Energy Transition Zone will help support North East Scotland to play a leading role in meeting our net zero ambitions.</t>
  </si>
  <si>
    <t>https://assets.publishing.service.gov.uk/government/uploads/system/uploads/attachment_data/file/966868/BUDGET_2021_-_web.pdf</t>
  </si>
  <si>
    <t>GBR61</t>
  </si>
  <si>
    <t>£2m GBP</t>
  </si>
  <si>
    <t>£2m for North Sea Transition Deal</t>
  </si>
  <si>
    <t>GBR62</t>
  </si>
  <si>
    <t>£5m GBP</t>
  </si>
  <si>
    <t>£5m uplift for Global Underwater Hub</t>
  </si>
  <si>
    <t>GBR63</t>
  </si>
  <si>
    <t>£300m GBP</t>
  </si>
  <si>
    <t>An additional £300 million for FY 21/22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 This is additonal to the £500 million of funding given to the scheme in July 2020</t>
  </si>
  <si>
    <t>GBR64</t>
  </si>
  <si>
    <t>150m GBP</t>
  </si>
  <si>
    <t xml:space="preserve"> £150 million in new government funding will make it easier and more affordable for people to build their own homes. Self and custom build could deliver 30-40,000 new homes a year: a significant contribution to the country’s housebuilding ambitions.</t>
  </si>
  <si>
    <t>https://www.gov.uk/government/news/over-150-million-funding-to-kickstart-self-building-revolution</t>
  </si>
  <si>
    <t>GBR65</t>
  </si>
  <si>
    <t>From 1 April 2021 until 31 March 2023, companies investing in qualifying new plant and machinery assets will be able to claim: a 130% super-deduction capital allowance on qualifying plant and machinery investments a 50% first-year allowance for qualifying special rate assets</t>
  </si>
  <si>
    <t>https://assets.publishing.service.gov.uk/government/uploads/system/uploads/attachment_data/file/967202/Super_deduction_factsheet.pdf</t>
  </si>
  <si>
    <t>https://www.gov.uk/government/publications/new-temporary-tax-reliefs-on-qualifying-capital-asset-investments-from-1-april-2021/new-temporary-tax-reliefs-on-qualifying-capital-asset-investments-from-1-april-2021</t>
  </si>
  <si>
    <t>GBR66</t>
  </si>
  <si>
    <t>800m GBP</t>
  </si>
  <si>
    <t>Extra 800 mln is added on top of announced in the Spending Review 2020 4 bln. Levelin Up Fund aims at supporting development of local infrastructure</t>
  </si>
  <si>
    <t>https://assets.publishing.service.gov.uk/government/uploads/system/uploads/attachment_data/file/966138/Levelling_Up_prospectus.pdf</t>
  </si>
  <si>
    <t>GBR67</t>
  </si>
  <si>
    <t>43m GBP</t>
  </si>
  <si>
    <t>43mn boost to fund a flight route between City of Derry Airport and London Stansted to implement the plans for development of regional connectivity to improve economic performence after pandemic.</t>
  </si>
  <si>
    <t>GRB68</t>
  </si>
  <si>
    <t>33m GBP</t>
  </si>
  <si>
    <t>Further £33 million COVID-19 support funding announced for light rail and trams in the north and the Midlands</t>
  </si>
  <si>
    <t>https://www.gov.uk/government/news/further-33-million-covid-19-support-funding-announced-for-light-rail-and-trams-in-the-north-and-the-midlands</t>
  </si>
  <si>
    <t>GRB69</t>
  </si>
  <si>
    <t>30m GBP</t>
  </si>
  <si>
    <t>Up to £30 million for the Global Centre for Rail Excellence in Wales. (low-carbon rail technology)</t>
  </si>
  <si>
    <t>https://www.gov.uk/government/news/budget-2021-what-you-need-to-know</t>
  </si>
  <si>
    <t>GBR70</t>
  </si>
  <si>
    <t>135mGBP</t>
  </si>
  <si>
    <t>£135m to accelerate progress on the A66 Trans-Pennine road upgrade</t>
  </si>
  <si>
    <t>gbp</t>
  </si>
  <si>
    <t>GBR71</t>
  </si>
  <si>
    <t>300m GBP</t>
  </si>
  <si>
    <t xml:space="preserve">Support to Petrofac through Covid Corporate Financing Facility (CCFF) </t>
  </si>
  <si>
    <t>https://www.bankofengland.co.uk/markets/bank-of-england-market-operations-guide/results-and-usage-data</t>
  </si>
  <si>
    <t>GBR72</t>
  </si>
  <si>
    <t xml:space="preserve">Stamp Duty Holiday - The government raised the threshold for stamp duty, a tax on house purchases, from £125,000 to £500,000 – reducing the amount of stamp duty owed on all houses bought for over £125,000 in England and Northern Ireland. The holiday was originally set for 31 March 2021, then was extended until 30 June 2021. </t>
  </si>
  <si>
    <t>https://www.bbc.com/news/business-53319433</t>
  </si>
  <si>
    <t>GBR73</t>
  </si>
  <si>
    <t xml:space="preserve">Wales is providing a temporary holiday on the land transaction tax. Until the end of June 2021, people buying their main homes in Wales costing less than £250,000 will not pay any tax, when they typically, would have to pay 3.5% of the purchase price. </t>
  </si>
  <si>
    <t>GBR74</t>
  </si>
  <si>
    <t>198m GBP</t>
  </si>
  <si>
    <t>Natural England, the government’s conservation watchdog, is to receive a 47% increase in government funding this year as its role expands to support a “green recovery” and provide environmental scrutiny of the government’s controversial “Project Speed”.</t>
  </si>
  <si>
    <t>GBR75</t>
  </si>
  <si>
    <t>£4.8 million</t>
  </si>
  <si>
    <t xml:space="preserve">  Wales: Holyhead hydrogen hub – The government will provide, subject to business case, £4.8m in 2021-22 to support the development of a green hydrogen demonstration project, which will create high-skilled green jobs in Anglesey</t>
  </si>
  <si>
    <t>GRC1</t>
  </si>
  <si>
    <t>Measures introduced in March 2020, in support of business activity. Currently extended until 31/8.  (pre-condition: companies do not lay off employees):   Suspension of VAT payment; tax reduction for those paying in time; deferment of established amounts to tax and audit authorities; rent reduction for rental of office edifices by 40% for March &amp; April (incl. leasing); immediate return of corporate income tax up to 30,000 euros; reduction of employer’s contribution to the social security scheme if paid on time - all measures for companies affected by the COVID-19 restriction measures (list based on their activity). The list includes transport companies (road, rail, air, sea). Since 30 March, more companies are included in the list: mining, forestry, chemicals, cement, lime, construction materials, electrical goods. The list now covers more than 76% of all companies in Greece.</t>
  </si>
  <si>
    <t xml:space="preserve">https://covid19.gov.gr/anastoli-paratasi-ke-ekptosi-pliromis-forologikon-ypochreoseon-ke-doseon-rythmiseon-epichiriseon-se-ypochreotiki-anastoli-litourgias-ke-pligises-vasi-k-a-d/ </t>
  </si>
  <si>
    <t xml:space="preserve">https://covid19.gov.gr/ektakti-ikonomiki-enischysi-600-evro-se-epistimones-eleftherous-epangelmaties/  </t>
  </si>
  <si>
    <t>GRC2</t>
  </si>
  <si>
    <t xml:space="preserve">Measures introduced since March 2020, in support of business activity, Currently extended until 31/8. For companies under GRC1 - Measures of financial support for employees, independent professionals and self-employed unable to work; also for unemployed. This includes, for example, engineers. Provides a lump sum amount of €800 or vouchers. Since 30 March, employees in the companies may also apply for home rent reduction by 40%.  </t>
  </si>
  <si>
    <t>https://covid19.gov.gr/apozimiosi-idikou-skopou-ypsous-800-efro-se-epipleon-160-000-ergazomenous/; https://covid19.gov.gr/diatirisi-ton-theseon-ergasias-stirixi-tou-isodimatos-ton-ergazomenon/</t>
  </si>
  <si>
    <t>GRC3</t>
  </si>
  <si>
    <t>1.5 bil EUR</t>
  </si>
  <si>
    <t xml:space="preserve">An aid scheme is introduced in the form of a repayable advance for private companies, regardless of sector, which have been financially affected by the outbreak and spread of coronavirus disease. The aid scheme ("Epitreptea Prokatavoli") has been launched in 3 cycles so far (ie aid scheme extended for a few months every time). The 3rd extension was announced in September 2020. </t>
  </si>
  <si>
    <t>https://covid19.gov.gr/epistreptea-prokatavoli-gia-epichirisis/</t>
  </si>
  <si>
    <t>https://covid19.gov.gr/epistreptea-prokatavoli-iii/</t>
  </si>
  <si>
    <t>GRC4</t>
  </si>
  <si>
    <t>100 mil EUR</t>
  </si>
  <si>
    <t>Establishment of a "Guarantee Fund" as an independent financial unit within the European Investment Fund to improve business access to finance. 
The measure will be implemented through the issuance of guarantees by the European Investment Fund to financial intermediaries (banks) using the resources of the NSRF. Banks in turn will provide business loans guaranteed up to 80% of the loan amount, while this guarantee will cover up to 25% of the volume of business loans granted by each bank under this measure.</t>
  </si>
  <si>
    <t>https://covid19.gov.gr/systasi-tamiou-engyodosias-os-anexartitis-chrimatodotikis-monadas-sto-plesio-tou-evropaikou-tamiou-ependyseon-gia-ti-veltiosi-prosvasis-ton-epichiriseon-se-chrimatodotisi/</t>
  </si>
  <si>
    <t>GRC5</t>
  </si>
  <si>
    <t>3.06 mil EUR</t>
  </si>
  <si>
    <t xml:space="preserve">Subsidy for the unemployed seafarers whose unemployment subsidy has expired or expires in the first quarter of 2020 is extended until 31.5.2020 (1,22 mil EUR to cover about 3,500 unemployed seafarers).Also social security covered. Special purpose compensation for: seafarers whose chartering contracts are suspended in passenger and passegner car ferries performing maritime cabotage, commercial tourist ships, commercial fishing vessels etc; seafarers as above whose employment contract has been terminated in March 2020. Rent reduction for main residence by 40% for seafarers whose enrollement contract is suspended.  </t>
  </si>
  <si>
    <t>https://covid19.gov.gr/metra-gia-tin-prostasia-tis-naftikis-ergasias-ke-tin-aktoploia/</t>
  </si>
  <si>
    <t>GRC6</t>
  </si>
  <si>
    <t>Electricity and gas suppliers are given the opportunity to settle part of their debts related to regulated charges (for example service of general interest, System and Network Usage Charges etc) to the Operators of Transmission Systems and Electricity Distribution Networks and natural gas, as well as the RES and Guarantee Manager. In addition, the RES and Guarantee Manager will receive short-term special purpose loan, to cover uncollected revenues from 13/4 to 30/6.</t>
  </si>
  <si>
    <t>https://covid19.gov.gr/rythmisis-gia-tin-enischysi-tis-refstotitas-stin-agora-energias/</t>
  </si>
  <si>
    <t>GRC7</t>
  </si>
  <si>
    <t>Greek-flagged vessels in cases where, due to the COVID19 pandemic, it is not possible to carry out the inspections of ships required by national or international law, will be allowed to extend both the time of the inspections and the inspections, as welll as the valid certificates of ships (for maritime safety, environmental protection, labour etc).</t>
  </si>
  <si>
    <t>https://covid19.gov.gr/metra-gia-plia-ypo-elliniki-simea-paratasi-pistopiitikon-plion/</t>
  </si>
  <si>
    <t>GRC8</t>
  </si>
  <si>
    <t>10 mil EUR</t>
  </si>
  <si>
    <t xml:space="preserve">Greek State aid scheme to support the floriculture primary production sector in the context of the coronavirus outbreak. </t>
  </si>
  <si>
    <t>https://ec.europa.eu/commission/presscorner/detail/en/ip_20_809</t>
  </si>
  <si>
    <t>GRC9</t>
  </si>
  <si>
    <t>Modification of the institutional framework that governs the implementation of the Measures of Aquaculture, Processing and Modernisation of fishing vessels, of the Operational Program of Fisheries &amp; Marine 2014-2020.</t>
  </si>
  <si>
    <t>https://covid19.gov.gr/metra-ydatokalliergion-metapiisis-ke-eksygchronismou-alieftikon-skafon-tou-epalth-2014-2020/</t>
  </si>
  <si>
    <t xml:space="preserve">GRC10 </t>
  </si>
  <si>
    <t>Additional support to landlords, through the extension of deadlines for payment of certified debts and adjustment installments, the suspension of overdue debt collection and the offset by 25% of certified debts [see also GRC1]</t>
  </si>
  <si>
    <t>https://covid19.gov.gr/prostheti-stirixi-stous-ekmisthotes-akiniton-meso-tis-paratasis-ton-prothesmion-katavolis-veveomenon-ofilon-ke-doseon-rythmiseon-tis-anastolis-ispraxis-lixiprothesmon-ofilon-ke-tou-sympsifismou-kat/</t>
  </si>
  <si>
    <t>GRC11</t>
  </si>
  <si>
    <t>1.25 bil EUR</t>
  </si>
  <si>
    <t>Establishing a Guarantee Fund as an independent financial unit within the Hellenic Development Bank. Purpose: support the economy through the maximum utilisation of financial instruments to meet increased liquidity needs of companies. Through the Guarantee Fund, banks grant new working capital loans guaranteed up to 80% of the amount of each loan with a subsidized guarantee fee, for 40% of the volume of business loans granted by each bank to SMEs or 30% for corporate portfolios.</t>
  </si>
  <si>
    <t>https://covid19.gov.gr/tamio-engyodosias-tis-ellinikis-anaptyxiakis-trapezas/</t>
  </si>
  <si>
    <t>GRC12</t>
  </si>
  <si>
    <t>Until 31.10.2020, in the rented furnished rooms - apartments that are adjacent to the shore and the beach, lagoon, lake or navigable river and which operate legally, can be granted access for the simple use of seashore, beach, shore, with payment, without a call for tender.</t>
  </si>
  <si>
    <t>https://covid19.gov.gr/ektaktes-rythmisis-gia-tin-parachorisi-aplis-chrisis-egialou-ke-paralias-apoklistika-gia-to-etos-2020-logo-tis-pandimias/</t>
  </si>
  <si>
    <t>GRC13</t>
  </si>
  <si>
    <t>VAT reduction from 24% to 13% from 1/6 to 31/10. Covers economic activities such as passenger transport (taxis and car rentals with driver)</t>
  </si>
  <si>
    <t>https://covid19.gov.gr/kathorismos-sygkekrimenou-komistrou-orismenon-diadromon-me-epivatiga-dimosias-chrisis-e-d-ch-taxi-aftokinita-sto-nomo-attikis-tin-periferiaki-enotita-thessalonikis-ke-ti-dimotiki-enotita-kavalas/  ;  https://covid19.gov.gr/kathorismos-tou-elachistou-timimatos-misthosis-gia-ta-e-i-ch-ochimata-me-odigo-apo-01-06-2020-eos-31-10-2020-synepia-tis-miosis-tou-syntelesti-f-p-a-apo-24-se-13-gia-sygkekrimenes-ypiresies/</t>
  </si>
  <si>
    <t>GRC14</t>
  </si>
  <si>
    <t xml:space="preserve">No cruise ships (of any flag) to sail the Greek seas until 30/7. </t>
  </si>
  <si>
    <t>https://covid19.gov.gr/epivoli-tou-metrou-tis-apagorefsis-tou-apoplou-ke-kataplou-krouazieroplion-stin-elliniki-epikratia-pros-periorismo-tis-diadosis-tou-koronoiou/</t>
  </si>
  <si>
    <t>GRC15</t>
  </si>
  <si>
    <t xml:space="preserve">No application of Athens' Low Emission Zone ("Green Ring") until 17/7, to ease citizens' mobility to and from city centre (as congestion in public transport should be avoided for health reasons). </t>
  </si>
  <si>
    <t>https://covid19.gov.gr/paratasi-tis-arsis-ton-metron-periorismou-kykloforias-daktyliou-sto-kentro-tis-athinas/</t>
  </si>
  <si>
    <t>GRC16</t>
  </si>
  <si>
    <t>2 mil EUR</t>
  </si>
  <si>
    <t>Financial support for viticutlurists/ vineyards' owners who apply early harvest measure (green vintage). Amount under the Nataional Support Programme of the wine sector 2019-2023.</t>
  </si>
  <si>
    <t>https://covid19.gov.gr/enischysis-ston-abeloiniko-klado/</t>
  </si>
  <si>
    <t>GRC17</t>
  </si>
  <si>
    <t>Extention of deadline (until 31 October) for submitting proposals to be included in programme "House Savings" that provides financial support to households for energy efficiency works. Also extention of deadlines for those apllying for loans (as part of the programme) during COVID.</t>
  </si>
  <si>
    <t xml:space="preserve">http://www.et.gr/idocs-nph/search/pdfViewerForm.html?args=5C7QrtC22wHUdWr4xouZundtvSoClrL8oThD19CXOPzNZ8op6Z_wSuJInJ48_97uHrMts-zFzeyCiBSQOpYnTy36MacmUFCx2ppFvBej56Mmc8Qdb8ZfRJqZnsIAdk8Lv_e6czmhEembNmZCMxLMtc_VG39v6DToQSJV7qSM6PUnTFfeNX11wDA6rw3iTBSY; http://www.et.gr/idocs-nph/search/pdfViewerForm.html?args=5C7QrtC22wHUdWr4xouZundtvSoClrL8OefyJx-9-XQtiDow6HlTE-JInJ48_97uHrMts-zFzeyCiBSQOpYnTy36MacmUFCx2ppFvBej56Mmc8Qdb8ZfRJqZnsIAdk8Lv_e6czmhEembNmZCMxLMtXluQWLlIV4ozAEGIsE8hBKIAVuzK1vn12VlkXTl2DAI </t>
  </si>
  <si>
    <t>GRC18</t>
  </si>
  <si>
    <t>Employment under short-term contracts of staff to support public transport network in Athens, due to changes in the public transport network because of COVID-19</t>
  </si>
  <si>
    <t>http://www.et.gr/idocs-nph/search/pdfViewerForm.html?args=5C7QrtC22wHUdWr4xouZundtvSoClrL8px6_ZGPuoJd5MXD0LzQTLWPU9yLzB8V68knBzLCmTXKaO6fpVZ6Lx3UnKl3nP8NxdnJ5r9cmWyJWelDvWS_18kAEhATUkJb0x1LIdQ163nV9K--td6SIuXrn8Mg45lE9ZYf7ayLuuO7PjIic4H7FyDjm3adeW2MX</t>
  </si>
  <si>
    <t>GRC19</t>
  </si>
  <si>
    <t>Co-operation between Athens Urban Transport Organisation S.A. and KTEL (intercity public transport bus service) to provide additional buses as certain routes are crowded. Main reason is health protection and safeguarding passengers from COVID infection.</t>
  </si>
  <si>
    <t>https://covid19.gov.gr/synergasia-oasa-ktel-me-stocho-tin-aposymforisi-sta-mesa-metaforas-kai-ti-meiosi-ton-chronoapostaseon/</t>
  </si>
  <si>
    <t>http://www.oasa.gr/news.php?id=funk2216</t>
  </si>
  <si>
    <t>GRC20</t>
  </si>
  <si>
    <t>850 mil EUR</t>
  </si>
  <si>
    <t>Energy saving initiatives, i.e. public and private funding programmes for the renovation of public buildings, industrial facilities and residences. Financial support from 35% to up to 95% in some regions. Promotion of energy efficiency, smart solutions. Programmes expected to start from 30 November 2020. Programme has been adapted taking into consideration COVID-19. This is the new next phase of GRC17.</t>
  </si>
  <si>
    <t>http://www.ypeka.gr/Portals/0/Arxiki/20201013-Exoikonomw-Aytonomw.pdf</t>
  </si>
  <si>
    <t>GRC21</t>
  </si>
  <si>
    <t>63.5 mil EUR</t>
  </si>
  <si>
    <t>Programme "Moving Electrically". Promotion of electric mobility by financially supporting the purchase of electric vehicles (private cars for personal or professional use, taxis), and the development of "smart" house infrastructure for charging EV. Programme for 2020.</t>
  </si>
  <si>
    <t>https://kinoumeilektrika.gov.gr/filehelp/document-fek.pdf</t>
  </si>
  <si>
    <t>GRC24</t>
  </si>
  <si>
    <t>Measures GRC1and 2 - extention of certain economic sectors remaining closed until 15 July - support to employees (monthly 534euro). Decision taken on a monthly basis, and there is a reduction of sectors covered, based on activities opening up.</t>
  </si>
  <si>
    <t>https://covid19.gov.gr/odikos-chartis-gia-tis-anastoles-symvaseon-ergasias-ton-ioulio/</t>
  </si>
  <si>
    <t>GRC25</t>
  </si>
  <si>
    <t>EUR 450 Mio</t>
  </si>
  <si>
    <t>Support of the installation of storage systems to enhance RES (renewable energy sources) penetration</t>
  </si>
  <si>
    <t>National Recovery and Resilience Plan - https://eur-lex.europa.eu/legal-content/EN/TXT/?uri=CELEX%3A52021SC0155&amp;qid=1624627535718</t>
  </si>
  <si>
    <t>GRC26</t>
  </si>
  <si>
    <t>EUR 74 Mio</t>
  </si>
  <si>
    <t>Revitalization actions of the most affected territories_Nature and biodiversity protection</t>
  </si>
  <si>
    <t>GRC27</t>
  </si>
  <si>
    <t>EUR 195 Mio</t>
  </si>
  <si>
    <t>Interventions for the electricity interconnection of islands and the upgrading of the electricity network</t>
  </si>
  <si>
    <t>GRC28</t>
  </si>
  <si>
    <t>HEDNO network upgrades aiming at enhancing resilience and protecting the environment</t>
  </si>
  <si>
    <t>GRC29</t>
  </si>
  <si>
    <t>EUR 40 Mio</t>
  </si>
  <si>
    <t>HEDNO overhead network upgrading in forest areas</t>
  </si>
  <si>
    <t>GRC30</t>
  </si>
  <si>
    <t>EUR 12 Mio</t>
  </si>
  <si>
    <t>Installed capacity increase in Hellenic Electricity Distribution Network Operator (HEDNO) HV/MV substations for new RES connection</t>
  </si>
  <si>
    <t>GRC31</t>
  </si>
  <si>
    <t>EUR 202 Mio</t>
  </si>
  <si>
    <t>Restructuring and enhancement of the RES CHP Account revenues</t>
  </si>
  <si>
    <t>GRC32</t>
  </si>
  <si>
    <t>EUR 1253 Mio</t>
  </si>
  <si>
    <t>Energy renovation on residential buildings</t>
  </si>
  <si>
    <t>GRC38</t>
  </si>
  <si>
    <t>EUR 475 Mio</t>
  </si>
  <si>
    <t>Other Strategic Interventions - Interventions in residential areas and in the building stock_Construction of new energy efficient buildings</t>
  </si>
  <si>
    <t>GRC39</t>
  </si>
  <si>
    <t>Energy and entrepreneurship</t>
  </si>
  <si>
    <t>GRC40</t>
  </si>
  <si>
    <t>EUR 200 Mio</t>
  </si>
  <si>
    <t>Energy upgrade of public sector buildings</t>
  </si>
  <si>
    <t>GRC41</t>
  </si>
  <si>
    <t>Infrastructure development and buildings’ restoration in former royal estate in Tatoi</t>
  </si>
  <si>
    <t>GRC42</t>
  </si>
  <si>
    <t xml:space="preserve">EUR 11 Mio </t>
  </si>
  <si>
    <t>Olympic Athletic Center of Athens</t>
  </si>
  <si>
    <t>GRC43</t>
  </si>
  <si>
    <t>EUR 250 Mio</t>
  </si>
  <si>
    <t>Preparation of Urban Plans in implementation of the urban policy reform, an important reform to develop urban plans in order to set a comprehensive and coherent framework for urban policy and the relevant planning systems. The urban plans will include a dedicated chapter on adaptation measures at the municipal level to strengthen overall climate resilience.</t>
  </si>
  <si>
    <t>GRC44</t>
  </si>
  <si>
    <t>EUR 300 Mio</t>
  </si>
  <si>
    <t>Produc- E Green</t>
  </si>
  <si>
    <t>GRC47</t>
  </si>
  <si>
    <t>EUR 220 Mio</t>
  </si>
  <si>
    <t>Electric taxis - Electromobility_Battery driven vehicles</t>
  </si>
  <si>
    <t>GRC48</t>
  </si>
  <si>
    <t>EUR 290 Mio</t>
  </si>
  <si>
    <t>Water Supply Projects</t>
  </si>
  <si>
    <t>GRC49</t>
  </si>
  <si>
    <t>EUR 224 Mio</t>
  </si>
  <si>
    <t>National Reforestation Plan and Parnitha flagship investment</t>
  </si>
  <si>
    <t>GRC50</t>
  </si>
  <si>
    <t>Renovated infrastructure - Urban Wastewater and Sludge Management,  Infrastructures from
Wastewater Treatment_Compliant with energy efficiency criteria</t>
  </si>
  <si>
    <t>GRC51</t>
  </si>
  <si>
    <t>Investments in the national irrigation network through PPP schemes</t>
  </si>
  <si>
    <t>GRC52</t>
  </si>
  <si>
    <t>Drinking Water Supply and Saving Infrastructures</t>
  </si>
  <si>
    <t>GRC53</t>
  </si>
  <si>
    <t>EUR 155 Mio</t>
  </si>
  <si>
    <t>Aerial means for crisis management</t>
  </si>
  <si>
    <t>GRC54</t>
  </si>
  <si>
    <t>Flood mitigation projects</t>
  </si>
  <si>
    <t>GRC55</t>
  </si>
  <si>
    <t>EUR 115 Mio</t>
  </si>
  <si>
    <t>Forest firefighting, prevention and response equipment</t>
  </si>
  <si>
    <t>GRC56</t>
  </si>
  <si>
    <t xml:space="preserve">EUR 100 Mio </t>
  </si>
  <si>
    <t>Biodiversity protection as a driver for sustainable growth</t>
  </si>
  <si>
    <t>GRC57</t>
  </si>
  <si>
    <t xml:space="preserve">EUR 74 Mio </t>
  </si>
  <si>
    <t>Infrastructure - Establishment of a strategic National Disaster Risk Management</t>
  </si>
  <si>
    <t>GRC58</t>
  </si>
  <si>
    <t xml:space="preserve">EUR 45 Mio </t>
  </si>
  <si>
    <t>Monitoring and Management System</t>
  </si>
  <si>
    <t>GRC59</t>
  </si>
  <si>
    <t xml:space="preserve">EUR 19 Mio </t>
  </si>
  <si>
    <t>Implementation of Regional Civil Protection Centers (PEKEPP) through PPP schemes</t>
  </si>
  <si>
    <t>GRC60</t>
  </si>
  <si>
    <t>Supply of Central Cloud Computing Infrastructure and Service,  aiming to reduce energy consumption of data centres
through applying best practices</t>
  </si>
  <si>
    <t>GRC61</t>
  </si>
  <si>
    <t>EUR 63 Mio</t>
  </si>
  <si>
    <t>Upgrade of Cloudcomputing infrastructure and services of the National Infrastructures for Research and Technology (GRNET),  aiming to reduce energy consumption of data centres
through applying best practices</t>
  </si>
  <si>
    <t>GRC62</t>
  </si>
  <si>
    <t>Green skills, jobs, economy - Active Labour Market Policies Reform_Contributing to green skills and jobs and the green economy</t>
  </si>
  <si>
    <t>GRC63</t>
  </si>
  <si>
    <t>EUR 350 Mio</t>
  </si>
  <si>
    <t>Green skills, jobs, economy - A New Strategy for Lifelong Skilling: Modernising and Upgrading Greece’s Upskilling and Reskilling System_Contributing to green skills and jobs and the green economy</t>
  </si>
  <si>
    <t>GRC64</t>
  </si>
  <si>
    <t>EUR 108 Mio</t>
  </si>
  <si>
    <t>Green Schools - Strengthening the Apprenticeship System_Energy efficiency renovation or energy efficiency measures regarding public infrastructure</t>
  </si>
  <si>
    <t>GRC65</t>
  </si>
  <si>
    <t>Labor force skilling, reskilling and upskilling through a reformed training model (Vocational Education &amp; Training Reform)_Contributing to green skills and jobs and the green economy</t>
  </si>
  <si>
    <t>GRC66</t>
  </si>
  <si>
    <t>EUR 189 Mio</t>
  </si>
  <si>
    <t>Green investments - Reform of the Primary Health Care System_Energy efficiency</t>
  </si>
  <si>
    <t>GRC67</t>
  </si>
  <si>
    <t>EUR 317 Mio</t>
  </si>
  <si>
    <t>NHS Hospital Renovation and Infrastructure Upgrade</t>
  </si>
  <si>
    <t>GRC68</t>
  </si>
  <si>
    <t>EUR 6 Mio</t>
  </si>
  <si>
    <t>Project for the construction of a building dedicated to Cellular &amp; Gene Therapies and Hematology Clinic Laboratories within the General Hospital of Thessaloniki “Papanikolaou”</t>
  </si>
  <si>
    <t>GRC70</t>
  </si>
  <si>
    <t>EUR 98 Mio</t>
  </si>
  <si>
    <t>New Judicial Buildings, refering to the construction of new energy efficient buildings and energy efficiency renovations</t>
  </si>
  <si>
    <t>GRC71</t>
  </si>
  <si>
    <t>Upgrade Interventions for Regional Ports</t>
  </si>
  <si>
    <t>GRC73</t>
  </si>
  <si>
    <t>EUR 92 Mio</t>
  </si>
  <si>
    <t>Smart Infrastructure with environmental and cultural focus</t>
  </si>
  <si>
    <t>GRC74</t>
  </si>
  <si>
    <t>EUR 24 Mio</t>
  </si>
  <si>
    <t>Digital Transformation of the Hellenic Railways</t>
  </si>
  <si>
    <t>GRC75</t>
  </si>
  <si>
    <t>Surface Transport</t>
  </si>
  <si>
    <t xml:space="preserve">EUR 130 Mio </t>
  </si>
  <si>
    <t>Interventions for the upgrade and redeployment of the Greek rail network system and infrastructure</t>
  </si>
  <si>
    <t>GRC79</t>
  </si>
  <si>
    <t>EUR 126 Mio</t>
  </si>
  <si>
    <t>Tourism Development_Energy efficient measures for public infrastructure</t>
  </si>
  <si>
    <t>GRC80</t>
  </si>
  <si>
    <t>EUR 81 Mio</t>
  </si>
  <si>
    <t>Upgrading suburban railway of West Attica</t>
  </si>
  <si>
    <t>GRC86</t>
  </si>
  <si>
    <t>EUR 49 Mio</t>
  </si>
  <si>
    <t>New Industrial Parks, (including the construction of new energy efficient buildings, the establishment of water management and water resource conservation, Waste water collection and treatment compliant with energy efficiency criteria, application of Renewable energy (solar) and the installation of alternative, more sustainable fuels infrastructure)</t>
  </si>
  <si>
    <t>GRC90</t>
  </si>
  <si>
    <t>EUR 274 Mio</t>
  </si>
  <si>
    <t>Climate related - Economic transformation on the Agricultural Sector</t>
  </si>
  <si>
    <t>GRC92</t>
  </si>
  <si>
    <t>Amendment of the legal framework for the attraction of strategic investment</t>
  </si>
  <si>
    <t>GRC93</t>
  </si>
  <si>
    <t>Proposals for actions in the Aquaculture Sector, to increase  energy efficiency</t>
  </si>
  <si>
    <t>GRC102</t>
  </si>
  <si>
    <t>EUR 5118 Mio</t>
  </si>
  <si>
    <t>RRP Loan Facility_Renewable energy</t>
  </si>
  <si>
    <t>GRC103</t>
  </si>
  <si>
    <t xml:space="preserve">Creation of a framework that will define energy poor households and will introduce mechanisms for monitoring and reducing energy poverty </t>
  </si>
  <si>
    <t>GRC104</t>
  </si>
  <si>
    <t>Implementation of a new spatial planning framework for RES, industry, tourism, aquaculture, this implementation will clarify and regulate jobs in the green economy</t>
  </si>
  <si>
    <t>GRC105</t>
  </si>
  <si>
    <t>Changes in the legislation for the transition of the transport sector to e-mobility, the adoption of a competitive model for the development of electric cars, the provision of charging services and the creation of a national archive for accessiblechargers for electrical circuits</t>
  </si>
  <si>
    <t>GRC106</t>
  </si>
  <si>
    <t xml:space="preserve">New legislation for the implementation of sustainable disposal sites and recycling centers </t>
  </si>
  <si>
    <t>GRC107</t>
  </si>
  <si>
    <t>Simplification of licencing procedure for investment in renewable energy</t>
  </si>
  <si>
    <t>HUN1</t>
  </si>
  <si>
    <t>32 bn HUF</t>
  </si>
  <si>
    <t xml:space="preserve">Employers who have employees working in R&amp;D receive 40% salary support for three months </t>
  </si>
  <si>
    <t>Hungarian Parliament: https://www.parlament.hu/irom41/10735/10735.pdf</t>
  </si>
  <si>
    <t>HUF</t>
  </si>
  <si>
    <t>HUN2</t>
  </si>
  <si>
    <t>7 bn HUF</t>
  </si>
  <si>
    <t>Support for the technological change in the plastic industry</t>
  </si>
  <si>
    <t>https://www.palyazat.gov.hu/ginop-1213-20-az-egyszer-hasznlatos-s-egyb-manyagtermkek-forgalomba-hozatalnak-korltozsval-rintett-valamint-az-ezeket-helyettest-termkek-gyrtsval-foglalkoz-vllalkozsok-technolgiavltsnak-s-kapacitsbvtsnek-tmogatsa-2#</t>
  </si>
  <si>
    <t>HUN3</t>
  </si>
  <si>
    <t>7.3 bn HUF</t>
  </si>
  <si>
    <t>Energy efficiency microentreprises and SMEs to receive support for technology development</t>
  </si>
  <si>
    <t>HUN4</t>
  </si>
  <si>
    <t xml:space="preserve">Structural digital training </t>
  </si>
  <si>
    <t>HUN5</t>
  </si>
  <si>
    <t>140 bn HUF</t>
  </si>
  <si>
    <t xml:space="preserve">Priority public road projects </t>
  </si>
  <si>
    <t>https://www.portfolio.hu/en/economy/20200702/hungarian-government-exhausts-coronavirus-war-chest-in-no-time-439652</t>
  </si>
  <si>
    <t>HUN6</t>
  </si>
  <si>
    <t>24 bn HUF</t>
  </si>
  <si>
    <t xml:space="preserve">Renewal of public road projects </t>
  </si>
  <si>
    <t>HUN7</t>
  </si>
  <si>
    <t>82.1 bn HUF</t>
  </si>
  <si>
    <t xml:space="preserve">Budapest-Belgrade rail line development (2020-2025) </t>
  </si>
  <si>
    <t>http://njt.hu/cgi_bin/njt_doc.cgi?docid=219509.383053; https://www.portfolio.hu/en/economy/20200702/hungarian-government-exhausts-coronavirus-war-chest-in-no-time-439653</t>
  </si>
  <si>
    <t>HUN8</t>
  </si>
  <si>
    <t>126.7 bn HUF</t>
  </si>
  <si>
    <t xml:space="preserve">Reimbursement of the costs of public passenger transport by bus </t>
  </si>
  <si>
    <t>https://www.portfolio.hu/en/economy/20200715/hungarian-govt-reallocates-huf-300-billion-from-economic-protection-fund-441326</t>
  </si>
  <si>
    <t>HUN9</t>
  </si>
  <si>
    <t>24.6 bn HUF</t>
  </si>
  <si>
    <t xml:space="preserve">Expenses relating to the termination of the cushion gas contract </t>
  </si>
  <si>
    <t>https://www.portfolio.hu/en/economy/20200715/hungarian-govt-reallocates-huf-300-billion-from-economic-protection-fund-441327</t>
  </si>
  <si>
    <t>HUN10</t>
  </si>
  <si>
    <t>22 bn HUF</t>
  </si>
  <si>
    <t xml:space="preserve">Hungarian Village Programme, village road fund </t>
  </si>
  <si>
    <t>https://www.portfolio.hu/en/economy/20200715/hungarian-govt-reallocates-huf-300-billion-from-economic-protection-fund-441328</t>
  </si>
  <si>
    <t>HUN11</t>
  </si>
  <si>
    <t>46 bn HUF</t>
  </si>
  <si>
    <t>plastics</t>
  </si>
  <si>
    <t xml:space="preserve">Support for the National Coordination of Waste Management and Asset Management Plc </t>
  </si>
  <si>
    <t>https://www.portfolio.hu/en/economy/20200715/hungarian-govt-reallocates-huf-300-billion-from-economic-protection-fund-441329</t>
  </si>
  <si>
    <t>HUN12</t>
  </si>
  <si>
    <t>15.1 bn HUF</t>
  </si>
  <si>
    <t xml:space="preserve">Capital increase in nuclear power plant Paks II. Atomerőmű Zrt </t>
  </si>
  <si>
    <t>https://www.portfolio.hu/en/economy/20200715/hungarian-govt-reallocates-huf-300-billion-from-economic-protection-fund-441330</t>
  </si>
  <si>
    <t>HUN13</t>
  </si>
  <si>
    <t>31.04 bn HUF</t>
  </si>
  <si>
    <t>Settlement of the previous reimbursement of the costs of railway passenger transport</t>
  </si>
  <si>
    <t>https://www.portfolio.hu/en/economy/20200715/hungarian-govt-reallocates-huf-300-billion-from-economic-protection-fund-441331</t>
  </si>
  <si>
    <t>HUN14</t>
  </si>
  <si>
    <t>231.3 bn HUF</t>
  </si>
  <si>
    <t>Reimbursement of the costs of railway passenger transport public services</t>
  </si>
  <si>
    <t>https://www.portfolio.hu/en/economy/20200715/hungarian-govt-reallocates-huf-300-billion-from-economic-protection-fund-441332</t>
  </si>
  <si>
    <t>HUN15</t>
  </si>
  <si>
    <t>4.9 bn HUF</t>
  </si>
  <si>
    <t>Reimbursement of the costs of operating Hungary's railway network</t>
  </si>
  <si>
    <t>https://www.portfolio.hu/en/economy/20200715/hungarian-govt-reallocates-huf-300-billion-from-economic-protection-fund-441333</t>
  </si>
  <si>
    <t>HUN16</t>
  </si>
  <si>
    <t>43.6 bn HUF</t>
  </si>
  <si>
    <t>Support for regional water services companies</t>
  </si>
  <si>
    <t>https://www.portfolio.hu/en/economy/20200715/hungarian-govt-reallocates-huf-300-billion-from-economic-protection-fund-441334</t>
  </si>
  <si>
    <t>HUN17</t>
  </si>
  <si>
    <t>136 bn HUF</t>
  </si>
  <si>
    <t xml:space="preserve">The winning enterprises will be able to spend the 10-629.3 million forints (EUR 27.8 thousand -1.75 million) in funding to, amongst others, procure new equipment, invest in infrastructural and property development projects, develop technological systems such as RE technology and use of cloud services. </t>
  </si>
  <si>
    <t>https://www.kormany.hu/en/ministry-for-national-economy/news/over-seven-billion-forints-in-funding-for-green-enterprises</t>
  </si>
  <si>
    <t>HUN18</t>
  </si>
  <si>
    <t>5 bn HUF</t>
  </si>
  <si>
    <t>Subsidy given to electric vehicles (EV) - total framework subsidy of 5 billion HUF = approx. 17 million USD</t>
  </si>
  <si>
    <t>https://ceenergynews.com/finance/hungarian-government-to-announce-further-subsidies-for-e-mobility/</t>
  </si>
  <si>
    <t>HUN19</t>
  </si>
  <si>
    <t>The deadline for taxi drivers (companies) to scrap older cars for newer ones is extended to the end of 2022</t>
  </si>
  <si>
    <t>https://kormany.hu/hirek/meghosszabbodik-taxisokra-vonatkozo-szemelygepjarmu-csere-hatarideje</t>
  </si>
  <si>
    <t>HUN20</t>
  </si>
  <si>
    <t>13 bn HUF</t>
  </si>
  <si>
    <t>Clean up campaign against illegal waste</t>
  </si>
  <si>
    <t>1598/2020. (IX. 21.) Government Resolution on the first phase of the project to clean up illegal landfills, “Clean the Country!” to be implemented in 2020</t>
  </si>
  <si>
    <t>https://index.hu/belfold/2020/10/27/gazdasag_kornyezetvedelem_belfold_tisztitsuk_meg_az_orszagot/</t>
  </si>
  <si>
    <t>HUN21</t>
  </si>
  <si>
    <t>36 bn HUF</t>
  </si>
  <si>
    <t>Subsidies for electric buses as well as support for manufacturers of equipment relevant for electric buses (i.e. storage, recharge equipment)</t>
  </si>
  <si>
    <t>https://ceenergynews.com/transport/hungarian-government-to-launch-green-bus-program/</t>
  </si>
  <si>
    <t>HUN22</t>
  </si>
  <si>
    <t>Increasing the domestic share of raw materials used in public catering</t>
  </si>
  <si>
    <t>https://magyarkozlony.hu/hivatalos-lapok/tMkTed9rU4L8GJ85RJmk5fe3ba8f5a9e6/dokumentumok/859e519d6c6249e6fb9f896bca0f5a928ddcb983/letoltes</t>
  </si>
  <si>
    <t>HUN23</t>
  </si>
  <si>
    <t>Possibility to extend the shelf-life of food</t>
  </si>
  <si>
    <t>HUN24</t>
  </si>
  <si>
    <t>Modification of authorization and evaluation of plant protection products, the removal and simplification of compulsory notification</t>
  </si>
  <si>
    <t>HUN25</t>
  </si>
  <si>
    <t>Review of soil protection planning and authorization procedures related to irrigation</t>
  </si>
  <si>
    <t>HUN26</t>
  </si>
  <si>
    <t>Simplification of feed authorization and registration procedures</t>
  </si>
  <si>
    <t>HUN27</t>
  </si>
  <si>
    <t>Expanding sales opportunities for small food producers</t>
  </si>
  <si>
    <t>HUN28</t>
  </si>
  <si>
    <t>3.3 bn HUF</t>
  </si>
  <si>
    <t>Support for the modernization of SMEs (GINOP-1.2.8-20)</t>
  </si>
  <si>
    <t>https://www.palyazat.gov.hu/ginop-128-20-a-mikro-kis-s-kzpvllalkozsok-modern-zleti-s-termelsi-kihvsokhoz-val-alkalmazkodst-segt-fejlesztsek-tmogatsa-1</t>
  </si>
  <si>
    <t>HUN29</t>
  </si>
  <si>
    <t>18.8 bn HUF</t>
  </si>
  <si>
    <t>Support for the modernization of SMEs (VEKOP-1.2.6-20)</t>
  </si>
  <si>
    <t>https://www.palyazat.gov.hu/vekop-126-20-a-mikro-kis-s-kzpvllalkozsok-modern-zleti-s-termelsi-kihvsokhoz-val-alkalmazkodst-segt-fejlesztsek-tmogatsa-1</t>
  </si>
  <si>
    <t>HUN30</t>
  </si>
  <si>
    <t>Support for developments in the fashion and design industry (GINOP-1.2.14-20)</t>
  </si>
  <si>
    <t>https://www.palyazat.gov.hu/ginop-1214-20-divat-s-dizjnipari-mikro-kis-s-kzpvllalkozsok-modern-zleti-s-termelsi-kihvsokhoz-val-alkalmazkodst-segt-fejlesztsek-tmogatsa-1</t>
  </si>
  <si>
    <t>HUN31</t>
  </si>
  <si>
    <t>3 bn HUF</t>
  </si>
  <si>
    <t>Support for developments in the fashion and design industry (VEKOP-1.2.7.20)</t>
  </si>
  <si>
    <t>https://www.palyazat.gov.hu/vekop-127-20-divat-s-dizjnipari-mikro-kis-s-kzpvllalkozsok-modern-zleti-s-termelsi-kihvsokhoz-val-alkalmazkodst-segt-fejlesztsek-tmogatsa-1</t>
  </si>
  <si>
    <t>HUN32</t>
  </si>
  <si>
    <t>0.0768 bn HUF</t>
  </si>
  <si>
    <t xml:space="preserve">EU RRP (proposed): Awareness raising and education </t>
  </si>
  <si>
    <t>https://www.palyazat.gov.hu/helyreallitasi-es-ellenallokepessegi-eszkoz-rrf</t>
  </si>
  <si>
    <t>HUN33</t>
  </si>
  <si>
    <t>52,601 bn HUF</t>
  </si>
  <si>
    <t>EU RRP (proposed): Construction of infrastructure for water replacement systems, new networks and systems</t>
  </si>
  <si>
    <t>HUN34</t>
  </si>
  <si>
    <t>0,260 HUF</t>
  </si>
  <si>
    <t>EU RRP (proposed): Monitoring system</t>
  </si>
  <si>
    <t>HUN35</t>
  </si>
  <si>
    <t>2,7648 bn HUF</t>
  </si>
  <si>
    <t>EU RRP (proposed): Conservation investments</t>
  </si>
  <si>
    <t>HUN36</t>
  </si>
  <si>
    <t>253 bn HUF</t>
  </si>
  <si>
    <t>EU RRP (proposed): Development of transport systems of Budapest agglomeration area - expansion of railway system</t>
  </si>
  <si>
    <t>HUN37</t>
  </si>
  <si>
    <t>232. bn HUF</t>
  </si>
  <si>
    <t>EU RRP (proposed): Development of transport systems of Budapest agglomeration area - competitive car park (EVs)</t>
  </si>
  <si>
    <t>HUN38</t>
  </si>
  <si>
    <t>20.1  bn HUF</t>
  </si>
  <si>
    <t>EU RRP (proposed): Railway system on TEN-T corridor</t>
  </si>
  <si>
    <t>HUN39</t>
  </si>
  <si>
    <t>52.7 bn HUF</t>
  </si>
  <si>
    <t>EU RRP (proposed): Zero-emission buses</t>
  </si>
  <si>
    <t>HUN40</t>
  </si>
  <si>
    <t>43 bn HUF</t>
  </si>
  <si>
    <t>EU RRP (proposed): Bicycle infrastructure</t>
  </si>
  <si>
    <t>HUN41</t>
  </si>
  <si>
    <t>0 bn HUF</t>
  </si>
  <si>
    <t>EU RRP (proposed): Public integration reform</t>
  </si>
  <si>
    <t>0,000</t>
  </si>
  <si>
    <t>HUN42</t>
  </si>
  <si>
    <t>30 bn hUF</t>
  </si>
  <si>
    <t>EU RRP (proposed): Central traffic system for TEN-T railway routes</t>
  </si>
  <si>
    <t>HUN43</t>
  </si>
  <si>
    <t>EU RRP (proposed): Central pricing and passenger information system</t>
  </si>
  <si>
    <t>HUN44</t>
  </si>
  <si>
    <t>EU RRP (proposed): Regulatory change of electricity generation</t>
  </si>
  <si>
    <t>HUN45</t>
  </si>
  <si>
    <t>263.5 bn HUF</t>
  </si>
  <si>
    <t>EU RRP (proposed): Intelligent grid network development</t>
  </si>
  <si>
    <t>HUN46</t>
  </si>
  <si>
    <t>201.6 bn HUF</t>
  </si>
  <si>
    <t>EU RRP (proposed): Support for residential solar panels and the electrification of residential heating via solar energy</t>
  </si>
  <si>
    <t>HUN47</t>
  </si>
  <si>
    <t>EU RRP (proposed): Regulatory change for the transition to a circular economy</t>
  </si>
  <si>
    <t>HUN48</t>
  </si>
  <si>
    <t>120 bn HUF</t>
  </si>
  <si>
    <t>EU RRP (proposed): Development of waste management infrastructure</t>
  </si>
  <si>
    <t>HUN49</t>
  </si>
  <si>
    <t>86 bn HUF</t>
  </si>
  <si>
    <t>EU RRP (proposed): Intelligent, innovative and sustainable industry and secondary material market development</t>
  </si>
  <si>
    <t>IDN1</t>
  </si>
  <si>
    <t>IDR 1.27  trillion</t>
  </si>
  <si>
    <t xml:space="preserve"> "President Joko “Jokowi” Widodo has announced that Indonesia's poorest households will receive free electricity and
 discounts to help them cope with the economic shocks caused by the COVID-19 pandemic. This will be targetted at the 24 million customers using 450 KVa and the 7 million customers using 900 KVa."
</t>
  </si>
  <si>
    <t>Extract from ECO recovery tracking database</t>
  </si>
  <si>
    <t>IDR</t>
  </si>
  <si>
    <t>IDN2</t>
  </si>
  <si>
    <t xml:space="preserve">Under the Omnibus Bill, Indonesia intends to reform the environmental permitting process using a risk-based approach whereby projects will be classified by risk-category. Only projects in the high-risk category will be required to undergo an environmental impact assessment or public consultation with local communities. </t>
  </si>
  <si>
    <t>https://www.nytimes.com/2020/11/03/world/asia/indonesia-stimulus-bill-signed.html</t>
  </si>
  <si>
    <t>IDN3</t>
  </si>
  <si>
    <t>2.59 billion</t>
  </si>
  <si>
    <t>Economic Recovery Program: Compensation Payment for PT Pertamina (Oil &amp; Gas SOE)</t>
  </si>
  <si>
    <t>https://www.energypolicytracker.org/region/g20/</t>
  </si>
  <si>
    <t>IDN 4</t>
  </si>
  <si>
    <t>582.9 million</t>
  </si>
  <si>
    <t>Economic Recovery Program: Bailout for Garuda Indonesia (Airline SOE)</t>
  </si>
  <si>
    <t>IDN 5</t>
  </si>
  <si>
    <t>240.2 million</t>
  </si>
  <si>
    <t>Economic Recovery Program: Bailout for PT Kereta Api Indonesia (Railway SOE)</t>
  </si>
  <si>
    <t>IDN 6</t>
  </si>
  <si>
    <t xml:space="preserve">PLN pledged to reach carbon neutrality in 2060. It will stop developing coal-fired power plants outside those planned in its 35 GW Programme and will start decomissioning of coal plants from 2025 onwards.  </t>
  </si>
  <si>
    <t>https://www.reuters.com/business/energy/renewables-make-up-least-48-indonesias-2021-2030-electricity-plan-2021-06-04/</t>
  </si>
  <si>
    <t>https://news.mongabay.com/2021/06/indonesia-to-retire-coal-fired-power-plants-while-also-adding-more/</t>
  </si>
  <si>
    <t>IDN7</t>
  </si>
  <si>
    <t>Subsidies for the utilization of biodiesel-type biofuel</t>
  </si>
  <si>
    <t>indeterminate</t>
  </si>
  <si>
    <t>IND1</t>
  </si>
  <si>
    <t>90000 crore R</t>
  </si>
  <si>
    <t xml:space="preserve">A one-time emergency liquidity injection of Rs 90,000 crore for DISCOMS (Power distributers) against all their receivables
</t>
  </si>
  <si>
    <t xml:space="preserve">https://www.ndtv.com/india-news/coronavirus-india-covid-19-economic-package-worth-rs-20-97-053-crore-see-breakup-here-2230244, </t>
  </si>
  <si>
    <t>https://economictimes.indiatimes.com/news/economy/policy/summing-up-modis-covid-stimulus-takeaways-so-far-from-the-mother-of-all-incentives/articleshow/75758840.cms?utm_source=contentofinterest&amp;utm_medium=text&amp;utm_campaign=cppst</t>
  </si>
  <si>
    <t>INR</t>
  </si>
  <si>
    <t>IND2</t>
  </si>
  <si>
    <t xml:space="preserve">Government is introducing the commercial mining of coal. There will be a revenue share arrangement between the
government and private companies to
promote the mining and gasification of coal.  Promoting coal gasification through revenue share rebate, auctioning 50 new coal and 500 mineral blocks and liberalising entry norms were among the reforms announced in the energy sector.
</t>
  </si>
  <si>
    <t xml:space="preserve">https://www.vivideconomics.com/wp-content/uploads/2020/07/GreenStimulusIndex14July.pdf </t>
  </si>
  <si>
    <t>https://www.livemint.com/news/india/fm-sitharaman-fast-tracks-industrial-reforms-to-aid-growth-recovery-11589639649764.html</t>
  </si>
  <si>
    <t>IND3</t>
  </si>
  <si>
    <t>50000 crore R</t>
  </si>
  <si>
    <t>Investment  will be made for creating transportation infrastructure for evacuating 1 billion tonnes of coal from state run Coal India Ltd.’s (CIL) mines.</t>
  </si>
  <si>
    <t>IND4</t>
  </si>
  <si>
    <t>6000 crore R</t>
  </si>
  <si>
    <t xml:space="preserve">Tribal people will get employment in forest management, wildlife protection/management and other forest related activities.
</t>
  </si>
  <si>
    <t>IND5</t>
  </si>
  <si>
    <t>200000 crore R</t>
  </si>
  <si>
    <t xml:space="preserve">Concessional credit for farming activities, animal husbandry and Fisheries
</t>
  </si>
  <si>
    <t>IND6</t>
  </si>
  <si>
    <t>20000 crore R</t>
  </si>
  <si>
    <t xml:space="preserve">Development of marine and inland fisheries. This will lead to an additional fish production of 70 lakh tons in next five years and provide employment to 55 lakh people.
</t>
  </si>
  <si>
    <t>IND7</t>
  </si>
  <si>
    <t>India has  fast-tracked the environmental assessment of site clean-ups on projects in order to increase the speed of project development. This increase in the speed of assessments
for environmental performance spans across different industrial sectors.</t>
  </si>
  <si>
    <t>https://qz.com/india/1851634/india-fast-tracks-green-clearance-to-spur-coronavirus-hit-economy/</t>
  </si>
  <si>
    <t>IND8</t>
  </si>
  <si>
    <t>9700 crore R</t>
  </si>
  <si>
    <t>Free LPG cylinders under Pradhan Mantri Garib Kalyan Yojana to 8,00,00,000 beneficiaries of Pradhan Mantri Ujjwala Yojna.  The objective is to help consumers cope with the economic impacts of Covid-19</t>
  </si>
  <si>
    <t>https://pib.gov.in/PressReleasePage.aspx?PRID=1618345</t>
  </si>
  <si>
    <t>IND9</t>
  </si>
  <si>
    <t>Excise duty hiked on retail sale of gasoline and diesel</t>
  </si>
  <si>
    <t>https://energy.economictimes.indiatimes.com/news/oil-and-gas/excise-duty-hike-on-petrol-diesel-govt-to-garner-rs-39000-crore/74633623 Accessed 6 April 2020</t>
  </si>
  <si>
    <t>IND10</t>
  </si>
  <si>
    <t>Extension on waiver of interstate transmission charges granted for power generated from solar and wind power projects until June 30, 2023. This Order had superseded the earlier orders issued in 2016 and 2017. Further, the MoP in its order dated November 2019, had extended the waiver date from date March 31, 2022, to December 31, 2022. No ISTS charges would be levied for 25 years from the date of commissioning of the power plants for the supply and sale to entities having renewable purchase obligations (RPO)</t>
  </si>
  <si>
    <t>https://energy.economictimes.indiatimes.com/news/renewable/govt-grants-ists-waiver-extension-for-solar-wind-projects-until-june-2023/77390466 Accessed 11 August 2020</t>
  </si>
  <si>
    <t>IND11</t>
  </si>
  <si>
    <t>The policy focuses on which fuel will be allowed as far as industries are concerned. Petroleum coke and furnace oil are likely to be banned in the state by March 2024. Though initially, the plan was to roll out the ban of these pollutants over the next two years, the industry associations demanded relief for an additional two years because of the economic downturn induced by the ongoing COVID-19 pandemic. SFP allows the use of coal, wood, pine needle, and agricultural waste.</t>
  </si>
  <si>
    <t>https://www.hindustantimes.com/india-news/ueppcb-approves-state-fuel-policy-petcoke-to-be-banned-as-fuel-in-state-by-march-2024/story-JdWXVPlRVgAURolTFEBacK.html</t>
  </si>
  <si>
    <t>IND12</t>
  </si>
  <si>
    <t xml:space="preserve">Women in 83 million families below poverty line covered under Ujwala scheme will get free LPG cylinders for 3 months. </t>
  </si>
  <si>
    <t>https://home.kpmg/xx/en/home/insights/2020/04/india-government-and-institution-measures-in-response-to-covid.html</t>
  </si>
  <si>
    <t>IND13</t>
  </si>
  <si>
    <t>14775 crore INR</t>
  </si>
  <si>
    <t>Additional subsidy to farmers for DAP and P&amp;K fertilizers</t>
  </si>
  <si>
    <t>https://pib.gov.in/PressReleasePage.aspx?PRID=1730963</t>
  </si>
  <si>
    <t>IND14</t>
  </si>
  <si>
    <t>303058 crore INR</t>
  </si>
  <si>
    <t xml:space="preserve">Financial assistance to DISCOMS (Distribution companies for electricity) for infrastructure creation, up-gradation of system, capacity building and process improvement </t>
  </si>
  <si>
    <t>https://www.iisd.org/articles/how-can-indias-energy-sector-recover-sustainably-covid-19-part-2</t>
  </si>
  <si>
    <t>IND15</t>
  </si>
  <si>
    <t>13277.21 crore INR</t>
  </si>
  <si>
    <t>Exclusive subsidy policy for Urea produced through coal gasification by Talcher Fertilizers Limited</t>
  </si>
  <si>
    <t>https://pib.gov.in/PressReleasePage.aspx?PRID=1712854</t>
  </si>
  <si>
    <t>IND16</t>
  </si>
  <si>
    <t xml:space="preserve"> Extension of deadline for coal-fired utilities to adopt new emission norms</t>
  </si>
  <si>
    <t>http://www.egazette.nic.in/WriteReadData/2021/226335.pdf</t>
  </si>
  <si>
    <t>IND17</t>
  </si>
  <si>
    <t>Amendment of the Mines and Mineral (Development and Regulation) Act, 1957, to increase the production of minerals, including coal, in India.Under which the government invited public and private sector companies from India and abroad to bid for 41 new coal blocks in five states: Chhattisgarh, Jharkhand, Madhya Pradesh, Maharashtra and Odisha.</t>
  </si>
  <si>
    <t>https://energy.economictimes.indiatimes.com/news/coal/lok-sabha-passes-bill-to-amend-mmdr-act/81602553</t>
  </si>
  <si>
    <t>IND18</t>
  </si>
  <si>
    <t>18000 crore INR</t>
  </si>
  <si>
    <t>A new scheme for  raising the share of public transport in urban areas through expansion of metro rail network and augmentation of city bus service</t>
  </si>
  <si>
    <t>IND19</t>
  </si>
  <si>
    <t>Maharashtra announces Renewable Energy Policy which includes 13GW solar projects</t>
  </si>
  <si>
    <t>https://mercomindia.com/maharashtra-renewable-policy-solar-projects/</t>
  </si>
  <si>
    <t>IND20</t>
  </si>
  <si>
    <t>370 crores INR</t>
  </si>
  <si>
    <t xml:space="preserve">Kerala: 50% reduction in motor vehicle tax for electric, fuel cell, and full hybrid battery electric vehicles (EV) for five years in the state’s budget for 2021-2022. </t>
  </si>
  <si>
    <t>https://mercomindia.com/kerala-budget-proposes-loan-rooftop/</t>
  </si>
  <si>
    <t>IND21</t>
  </si>
  <si>
    <t>2500 crores INR</t>
  </si>
  <si>
    <t>Maharashtra energy department to spend Rs 2,500 crore a year on MSEDCL (Maharashtra State Electricity Distribution Company Limited)</t>
  </si>
  <si>
    <t>https://energy.economictimes.indiatimes.com/news/power/maharashtra-energy-department-to-spend-rs-2500-crore-a-year-on-msedcl/80321297</t>
  </si>
  <si>
    <t>IRL1</t>
  </si>
  <si>
    <t>440 million Euros</t>
  </si>
  <si>
    <t>Temporary reduction in the standard rate of VAT
The standard rate of VAT will be decreased from 23% to 21% for the period 1 September 2020 to 28 February 2021
The standard rate applies to some 53% of activity, including the supply of cars, petrol, diesel, alcohol, tobacco, electrical equipment and adult clothes and footwear.</t>
  </si>
  <si>
    <t xml:space="preserve">https://www.gov.ie/en/press-release/946d8-minister-donohoe-announces-details-of-tax-measures-contained-in-the-july-stimulus-plan/ </t>
  </si>
  <si>
    <t>IRL2</t>
  </si>
  <si>
    <t>€42 million ( as part of a €115 million investment in sustainable mobility)</t>
  </si>
  <si>
    <t>Cycle to Work Scheme
The allowable expenditure will be increased from €1000 to €1500 in respect of "ebikes" and €1250 in respect of bicycles.  The scheme currently allows the purchase of a new bicycle every 5 years and this will be reducd to every 4 years.</t>
  </si>
  <si>
    <t>IRL3</t>
  </si>
  <si>
    <t>€2 billion</t>
  </si>
  <si>
    <t xml:space="preserve">Pandemic Stabilisation and Recovery Fund (PSRF) providing support medium and large enterprises in Ireland affected by Covid-19. •Enterprises must be able to demonstrate their business was commercially viable prior to the Covid-19 pandemic, and that they can return to viability and contribute to the Irish economy. All sectors will be considered subject to Irish Strategic Investment Fund (ISIF) Responsible Investment Policies.,ISIF's investment approach will be complementary to other Government policy initiatives via agencies such as SBCI and Enterprise Ireland.Ireland </t>
  </si>
  <si>
    <t>https://isif.ie/pandemic-stabilisation-and-recovery-fund</t>
  </si>
  <si>
    <t>https://isif.ie/uploads/publications/PSRF-GUIDE-PUBLISHED.pdf</t>
  </si>
  <si>
    <t>IRL4</t>
  </si>
  <si>
    <t>€2.35 billion Euros</t>
  </si>
  <si>
    <t xml:space="preserve">Employment Wage Subsidy Scheme (this will replace the Temporary Wage Subsidy Scheme (TWSS) from 1 September 2020 to 31 March 2021.  The TWSS and EWSS will run in parallel from 31 July 2020 until the TWSS ends at the end of August 2020.
It will provide additional flexibility to employers with new hires and sesonal workers who were not previously eligible to be paid via TWSS and who may now qualify for the EWSS.
EWSS is open to all sectors.  Primary criteria for qualification is that the employer must demonstrate that they are operating at no more than 70% turnover from the period July to December 2020 compared to the same period last year.
EWSS will be extended beyond 30 June 2021 until the 31st December 2021.
</t>
  </si>
  <si>
    <t>https://www.gov.ie/en/service/ead8c-employment-wage-subsidy-scheme-ewss/</t>
  </si>
  <si>
    <t>IRL5</t>
  </si>
  <si>
    <t>Stay and Spend incentive, tax credit to encourage tourism within Ireland.  
Taxpayer must spend a minimum of 25 Euros to qualify.  May submit receipts up to a cap of 625Euros total.   This will provide an income tax credit of 125 Euros per taxpayer of 250Euros for a jointly assessed married couple.  
The incentive was available for the period 1 October 2020 to 30 April 2021.</t>
  </si>
  <si>
    <t>IRL6</t>
  </si>
  <si>
    <t xml:space="preserve">Accelerated Corporation Tax Loss Relief for Companies.  Provision of clash-flow support to previously profitable companies experiencing losses as a result of public health measures.The maximum amount of the expected current year loss which will qualify for early carry-back will be 50%.   The balance will qualify for carry-back under the normal rules in due course.
The loss relief entitlement is estimated at €450 million and is neutral in general government terms. It depresses corporation tax revenues in 2020, with a corresponding benefit to the Exchequer in cash terms in 2021.
</t>
  </si>
  <si>
    <t>http://budget.gov.ie/Budgets/2021/Documents/Budget/Irish%20Draft%20Budgetary%20Plan%202021.pdf</t>
  </si>
  <si>
    <t>IRL7</t>
  </si>
  <si>
    <t>150 million Euros</t>
  </si>
  <si>
    <t>Income tax loss relief for self-employed
• This is a new once-off income tax relief measure which will benefit self-employed individuals who were profitable in 2019 but, as a result of the Covid-19 pandemic, are loss making in 2020. 
• The measure will give individuals carrying on a trade or profession as sole traders or members of partnerships a cash-flow boost from the early utilisation of up to €25,000 worth of 2020 losses (and certain unused capital allowances) off-set against 2019 profits.
• The measure includes an additional option for farmers to step out of income averaging for the 2020 tax year</t>
  </si>
  <si>
    <t>https://www.revenue.ie/en/tax-professionals/tdm/income-tax-capital-gains-tax-corporation-tax/part-12/12-01-03.pdf</t>
  </si>
  <si>
    <t>IRL8</t>
  </si>
  <si>
    <t xml:space="preserve">€122 million </t>
  </si>
  <si>
    <t>Enhancement of the help-to-buy scheme for the remainder of 2020
• The level of support available to first time buyers will be increased to the lesser of €30,000 (up from €20,000) or 10 per cent (up from 5 per cent) of the purchase price of the new home/self-build property.
• The enhancement to the scheme is intended to stimulate demand from first time buyers for new houses in the housing market, to encourage house completions and to assist first time buyers in accumulating a deposit for a new home.
• The change will be effective immediately and will apply to applicants who sign a contract for the purchase of a new house or who have yet to make the first draw down of the mortgage in the case of a self-build. All other parameters of the scheme will remain the same.
In Budget 2021, this temporary increase has been extended to 31 December 2021.</t>
  </si>
  <si>
    <t>https://www.gov.ie/en/service/bc9df-help-to-buy-htb-scheme/#what-the-help-to-buy-htb-scheme-is  ; http://budget.gov.ie/Budgets/2021/Documents/Budget/BUDGET%2021_Tax%20Policy%20Changes.pdf</t>
  </si>
  <si>
    <t>IRL9</t>
  </si>
  <si>
    <t>Warehousing of tax liabiilities
This will allow for businesses affected by COVID-19 to delay payment of their PAYE and VAT debts in part of in full for a set period with no interest or penalities.
Legislation underpinning the tax measures announced in the July Jobs Stimulus, the Financial Provisions (Covid-19) (No. 2) Act 2020, was passed by Dáil Éireann and signed into law by the President on 1 August 2020.
As part of the measures announced in the Economic Recovery Plan, the period during which tax debts can be warehoused will be extended until the end of December 2021 for all eligible taxpayers, and the scheme will be extended to cover overpayments of the EWSS.</t>
  </si>
  <si>
    <t>https://taxinstitute.ie/covid-19-hub/debt-warehousing-interest-suspension/</t>
  </si>
  <si>
    <t>IRL10</t>
  </si>
  <si>
    <t>Reduction in the interest rate applying to agreed repayments of all tax debt.
• All taxpayers (sole traders and businesses) that have declared but unpaid tax debts can avail of a reduced interest rate of 3% provided they contact Revenue to agree payment of these debts or have entered into an agreement to pay these debts on or before 30 September 2020.
Extended along with tax warehousing until end of 2021.</t>
  </si>
  <si>
    <t>https://www.gov.ie/en/press-release/946d8-minister-donohoe-announces-details-of-tax-measures-contained-in-the-july-stimulus-plan/ </t>
  </si>
  <si>
    <t>https://www.revenue.ie/en/corporate/communications/documents/debt-warehousing-reduced-interest-measures.pdf</t>
  </si>
  <si>
    <t>IRL 11</t>
  </si>
  <si>
    <t>€25 million</t>
  </si>
  <si>
    <t>Grants up to 50% of capital investment in the COVID Life Sciences Products Scheme to aid the research, development and production of medicinal products in Ireland that are used in the fight against COVID-19.
Applications not accepted after 15 December 2020</t>
  </si>
  <si>
    <t>https://dbei.gov.ie/en/News-And-Events/Department-News/2020/June/04062020b.html</t>
  </si>
  <si>
    <t>https://www.enterprise-ireland.com/en/funding-supports/covid-19-products-scheme/</t>
  </si>
  <si>
    <t>IRL 12</t>
  </si>
  <si>
    <t>€114 million</t>
  </si>
  <si>
    <t>19,000 places on the government's Skills to Complete programme to be used to support people developing skills and attaining qualifications for emerging growth sectors and occupations.
Prioritising the reskilling and retraining of those unable to return to their previous employment following the COVID-19 crisis.
According to ERP: the EU supported SOLAS Recovery Skills Response Programme will see a range of additional educational and training programmes rolled out as part of the Skills to Compete, including the establishment of the SOLAS Green Skills Action programme focusing on providing training to address climate and low carbon economy issues, included in NRRP as green measure</t>
  </si>
  <si>
    <t>https://www.solas.ie/programmes/skills-to-compete/</t>
  </si>
  <si>
    <t>https://www.gov.ie/en/publication/49b23-overview-of-economic-recovery-plan-2021/#the-plan</t>
  </si>
  <si>
    <t>IRL 13</t>
  </si>
  <si>
    <t>€10 million</t>
  </si>
  <si>
    <t>Grants provided to support businesses engaging in green research, development and innovation, capital investment and capacity building.  This is part of the Green Enterprise Fund.  A funding programme to support innovators to develop and demonstrate consumer and business solutions that will stimulate the circular economy in the following thematic areas: Plastics, construction and demolition, food and resources and raw materials (electrical and electronic equipment, textiles and furniture).  Maximum amount of funding available was €100,000 per grant award.  Grant aid is provided on a shared cost contribution basis, from 25% up to 95% of the total eligible project costs incurred.
It is managed through the National Waste Prevention Programme and is co-funded by EPA Research.
Applications are open until 29 July 2021</t>
  </si>
  <si>
    <t>https://www.epa.ie/researchandeducation/research/epafunding/greenenterprise/</t>
  </si>
  <si>
    <t>IRL 14</t>
  </si>
  <si>
    <t>€10 million added to the already €30 million in the scheme</t>
  </si>
  <si>
    <t>An increase of €10 million in funding for the Seed and Venture Capital sector though Enterprise Ireland as a top-up to existing funds and leveraging a combined additional pool of €55 million, as part of the commitment to innovation driven enterprises</t>
  </si>
  <si>
    <t>https://www.enterprise-ireland.com/en/Invest-in-Emerging-Companies/Seed-and-Venture-Capital-Scheme/</t>
  </si>
  <si>
    <t>https://www.gov.ie/en/publication/7347b-preparing-ireland-for-the-economy-of-the-future/</t>
  </si>
  <si>
    <t>IRL 16</t>
  </si>
  <si>
    <t>€40 million ( as part of a €115 million investment in sustainable mobility)</t>
  </si>
  <si>
    <t>Allocated to local authorities to improve pedestrian infrastructure across the country</t>
  </si>
  <si>
    <t>https://platform2020redesign.org/countries/ireland/</t>
  </si>
  <si>
    <t>IRL 17</t>
  </si>
  <si>
    <t>€2 million ( as part of a €115 million investment in sustainable mobility)</t>
  </si>
  <si>
    <t>Support new and expanded bus services in rural and urban areas.</t>
  </si>
  <si>
    <t>IRL 18</t>
  </si>
  <si>
    <t>€21 million ( as part of a €115 million investment in sustainable mobility)</t>
  </si>
  <si>
    <t>Support improving rail journeys, primarily an enhanced programme of track relaying on the main inter-urban route between Dublin and Cork to facilitate increased speeds as well as an expanded programme of ballast cleaning on the network generally</t>
  </si>
  <si>
    <t>IRL 19</t>
  </si>
  <si>
    <t>€250,000 ( as part of a €115 million investment in sustainable mobility)</t>
  </si>
  <si>
    <t>Transitioning local link service vehicles to zero-emission alternatives in rural parts of the country.</t>
  </si>
  <si>
    <t>IRL 20</t>
  </si>
  <si>
    <t>€15 million</t>
  </si>
  <si>
    <t>Multi-year programme to rehabilitate 33,000 hectares of peatlands with a strong focus on just transition for jobs and sustainable long-term job creation. Longer term impacts will reduce greenhouse gas emissions by increasing the area of wetland habitats which will lower carbon emissions by ~6tonnes of CO2 per hectare per year
Currently being supported by the Climate Action Fund.</t>
  </si>
  <si>
    <t>https://www.westmeathindependent.ie/2020/07/24/e15m-fund-for-peatland-rehabilitation-announced/</t>
  </si>
  <si>
    <t>IRL 21</t>
  </si>
  <si>
    <t>€29 million (including €1.2m under Strand 1, and €27.8m under Strand 2)</t>
  </si>
  <si>
    <t>As part of the "Just Transition Fund" money will be available for projects focusing on retraining workers and proposals to generate sustainable employment in green enterprise in the Midlands region, and supporting communitities to transition to a low carbon economy.  It will support and reinforce the other just transition and peat protection measures underway.  The objective is to fund innovative projects that contribute to the economic, social and environmental sustainability of the Wider Midlands region..</t>
  </si>
  <si>
    <t>https://www.gov.ie/en/publication/ed10d-just-transition-fund/</t>
  </si>
  <si>
    <t>https://www.gov.ie/en/press-release/2aae1-cabinet-approves-108m-funding-for-groundbreaking-bord-na-mona-bog-rehabilitation-plan-minister-ryan-also-announces-that-47-more-projects-in-the-midlands-totalling-278m-are-approved-under-the-just-transition-fund/</t>
  </si>
  <si>
    <t>IRL 22</t>
  </si>
  <si>
    <t>€10 million ( as part of a €115 million investment in sustainable mobility)</t>
  </si>
  <si>
    <t>Allocated to adapt roads to the effects of climate change, which including repairs to damaged roads as a result of severe weather events, improved drainage provisions, and the upgrade of certain strategic roads to protect them from the effects of climate change.</t>
  </si>
  <si>
    <t>https://www.gov.ie/en/publication/b8bc5-july-jobs-stimulus-plan/</t>
  </si>
  <si>
    <t>IRL 23</t>
  </si>
  <si>
    <t>Fishery and on-farm renewable energy investments</t>
  </si>
  <si>
    <t>Data from draft EPR of Ireland - https://assets.gov.ie/81556/d4fa4cc4-7e9f-4431-8540-a9ecb7126505.pdf</t>
  </si>
  <si>
    <t>IRL 25</t>
  </si>
  <si>
    <t>€30 million</t>
  </si>
  <si>
    <t>Investment in water infrastructure</t>
  </si>
  <si>
    <t>IRL 26</t>
  </si>
  <si>
    <t>€72 million</t>
  </si>
  <si>
    <t>1.5 National Grand Challenges Programme. Mission-orientated research and innovation funding to be rolled out by Science Foundation Ireland, with a focus on the need for a transition to a climate neutral and clean economy as well as the challenges of digital transition.
Challenges will be used to incentitivise researchers to deliver tangible impact for society in areas such as health, agriculture and climate.</t>
  </si>
  <si>
    <t>National Recovery and Resilience Plan - https://www.gov.ie/en/publication/d4939-national-recovery-and-resilience-plan-2021/</t>
  </si>
  <si>
    <t>https://www.sfi.ie/research-news/news/recovery-resilience-plan/</t>
  </si>
  <si>
    <t>IRL 27</t>
  </si>
  <si>
    <t>€55 million</t>
  </si>
  <si>
    <t xml:space="preserve">1.2 Accelerate decarbonisation of the enterprise sector - through providing supports for Irish SMEs and exporters to address their emissions, and by investing in carbon measurement and abatement technologies for manufacturing companies.
EU funding being used to support enterprise to make the changes necessary to meet Ireland's national and European climate commitments. </t>
  </si>
  <si>
    <t>IRL 28</t>
  </si>
  <si>
    <t>Climate Enterprise Action Fund (a range of different supports): 
Climate Action Voucher - A €1,800 grant to engage consultants to identify opportunities for your business and develop plans in areas like resource efficiency, renewable energy and the circular economy.
GreenStart - Up to €5,000 support to measure your company’s carbon footprint and help identify ways to reduce emissions and improve efficient use of resources.
GreenPlus - Grant funding for 50% of costs of developing a comprehensive climate change and sustainability plan and aligning to international standards and frameworks.</t>
  </si>
  <si>
    <t>Economic Recovery Plan - https://globalambition.ie/climate-action-boosting-low-carbon-agendas/</t>
  </si>
  <si>
    <t>IRL 29</t>
  </si>
  <si>
    <t>€60 million</t>
  </si>
  <si>
    <t>1.3 A Public Sector Retrofit Project to undertake the deep retrofit of public office accommodation</t>
  </si>
  <si>
    <t>https://www.gov.ie/en/publication/d4939-national-recovery-and-resilience-plan-2021/</t>
  </si>
  <si>
    <t>https://www.oireachtas.ie/en/debates/question/2021-01-27/30/</t>
  </si>
  <si>
    <t>IRL 30</t>
  </si>
  <si>
    <t>€164 million</t>
  </si>
  <si>
    <t xml:space="preserve">1.4 Future electrification through targeted Investment in Cork commuter Rail, providing significant capacity increases on the Cork Area Commuter Rail network, including construction of a through platform at Kent Station, line doubling between Glounthaune and Midleton, and re-signalling, with a view to future electrification
Major investment in a metropolitan rail network for Cork - a transformation of the city. </t>
  </si>
  <si>
    <t>https://www.thejournal.ie/new-railways-cork-economic-recovery-plan-5454345-Jun2021/</t>
  </si>
  <si>
    <t>IRL 31</t>
  </si>
  <si>
    <t>€20 million</t>
  </si>
  <si>
    <t>1.7 River Basin Management Plan - Enhanced Ambition Programme to upgrade a minimum of 10 waste water treatment plants, not currently scheduled for upgrade whose discharges have been identified as being significant pressures on receiving water bodies</t>
  </si>
  <si>
    <t>https://www.google.com/url?sa=t&amp;rct=j&amp;q=&amp;esrc=s&amp;source=web&amp;cd=&amp;cad=rja&amp;uact=8&amp;ved=2ahUKEwi3-p2m7JvxAhXSDmMBHZC6AAMQFjACegQIAhAD&amp;url=https%3A%2F%2Fassets.gov.ie%2F109302%2F04c9c1dc-d7dd-4d2f-804e-3011e79f548e.pdf&amp;usg=AOvVaw3svmrHW0M_lIp9FgCiJFRK</t>
  </si>
  <si>
    <t>IRL 32</t>
  </si>
  <si>
    <t>Up to €2 billion</t>
  </si>
  <si>
    <t>Credit Guarantee Scheme - extended in March 2021 until the end of the year. 
The Scheme offers an 80% government guarantee to participating lenders to provide Irish businesses, including those in the farming and fishing sectors, with access to low interest loans as they respond to the impacts of COVID-19.
No green conditions</t>
  </si>
  <si>
    <t>Economic Recovery Plan - gov.ie - Government agrees extension to €2bn Credit Guarantee Scheme (www.gov.ie)</t>
  </si>
  <si>
    <t>Oxford Global Recovery Observatory</t>
  </si>
  <si>
    <t>IRL 33</t>
  </si>
  <si>
    <t>Straw Incorporation Measure (SIM). A fund is available for 2021 on a pilot basis. It has been introduced to support Irish tillage farmers who decide to chop and incorporate the straw into the soil after harvest. 
It is part of Ireland's Rural Development Plan</t>
  </si>
  <si>
    <t>https://www.gov.ie/en/press-release/26a9b-minister-mcconalogue-opens-the-10m-straw-incorporation-measure/</t>
  </si>
  <si>
    <t>IRL 34</t>
  </si>
  <si>
    <t>€2 million</t>
  </si>
  <si>
    <t>The Alternatively-Fuelled Heavy Duty Vehicle (AFHDV) Purchase Grant Scheme is being introduced as part of the Government’s plan to decarbonise the transport sector.
It will support the owners of diesel heavy duty vehicles (large vans, trucks, buses, coaches and refuse collection vehicles) to switch to battery electric, plug in hybrid, gas or hydrogen fuelled vehicles.
Companies may be eligible for support up to the value of €500K and/or 20 heavy duty vehicles. The alternative fuel types supported under the scheme are:
• Fuel Cell Electric Vehicles (FCEVs)
• Battery Electric Vehicles (BEVs)
• Plug in Hybrid Vehicles
• Compressed Natural Gas (CNG)
• Liquified Natural Gas (LNG)</t>
  </si>
  <si>
    <t>https://www.gov.ie/en/press-release/4dbaf-minister-announces-hdv-grant-scheme-to-encourage-companies-towards-zero-or-lower-carbon-emission-vans-trucks-and-buses/</t>
  </si>
  <si>
    <t>IRL 35</t>
  </si>
  <si>
    <t xml:space="preserve">Expansion of the Electric SPSV (eSPSV) Scheme for Small Public Service Vehicles (SPSVs) such as taxis and hackneys. 
The scheme has increased from €1m in 2020 to €15m in 2021 with grants of up to €20,000 now available to existing SPSV drivers who scrap older, high mileage vehicles for new full electric models.
As part of the existing scheme, drivers can apply for grants of up to €10,000 towards the purchase of a new full battery eSPSV with a further €2,500 available to convert it to a wheelchair accessible model. </t>
  </si>
  <si>
    <t>gov.ie - €15m scrappage scheme now available to taxi drivers who go electric (www.gov.ie)</t>
  </si>
  <si>
    <t>IRL 36</t>
  </si>
  <si>
    <t>€14 million</t>
  </si>
  <si>
    <t xml:space="preserve">SEAI EXEED (Excellence in Energy Efficient Design) scheme: 
Government grants for projects delivering best practice in the design, construction and management of energy-efficient buildings.
In order to qualify for a grant, participants must follow the SEAI EXEED standard and embed energy efficiency in the design of their projects, focusing on energy uses such as heating, cooling, refrigeration, compressed air and business processes. The grant is open to public and private organisations that are planning an investment project of any scale or complexity.
</t>
  </si>
  <si>
    <t>https://www.gov.ie/en/press-release/ecf1e-government-funding-of-14-million-available-for-businesses-under-seai-exeed-scheme-grants-to-support-excellence-in-energy-efficient-design/</t>
  </si>
  <si>
    <t>IRL 37</t>
  </si>
  <si>
    <t>€24 million</t>
  </si>
  <si>
    <t xml:space="preserve">Additional funding of €24 million across the justice sector for a number of projects which will improve access to justice in and improve energy efficiency.
Investments will go towards modernising, leasing and refurbishing additional space for Garda stations; improving and renovating courts and prisons facilities and improving the energy sustainability of State buildings. 
Also investments towards addressing the backlog of criminal trials caused by the COVID-19 pandemic and to increase security and safety in prisons. 
Tackling domestic violence is being prioritised under the rollout of An Garda Síochána’s Divisional Protective Service Units
</t>
  </si>
  <si>
    <t>https://www.gov.ie/en/press-release/95667-minister-helen-mcentee-announces-july-jobs-stimulus-investment-of-24-million-to-support-nationwide-projects-for-an-garda-siochana-the-courts-service-and-the-irish-prison-service/</t>
  </si>
  <si>
    <t>IRL 38</t>
  </si>
  <si>
    <t>€5 million</t>
  </si>
  <si>
    <t>Litter/bin infrastructure and awareness campaigns to encourage people to dispose of their rubbish thoughtfully. This is done in preparation for an outdoor summer in Ireland. 
There will be mapping of bin infrastructure to identify optimum placement of new bins and to pin point where smart solar-compacting bins could be feasible.</t>
  </si>
  <si>
    <t>https://www.gov.ie/en/press-release/c4f6e-5m-additional-funding-for-litter-prevention-and-cleaning-as-ireland-prepares-for-an-outdoor-summer/</t>
  </si>
  <si>
    <t>IRL 39</t>
  </si>
  <si>
    <t>€108 million</t>
  </si>
  <si>
    <t xml:space="preserve">1.6 Rehabilitation of peatlands to contribute to reduced carbon emissions, carbon sequestration and enhanced biodiversity. This will be done partly through a Climate Action Fund investment to repurpose 80,000 acres of bog in the Midlands as part of a major peatlands restoration plan.
</t>
  </si>
  <si>
    <t>2021-2025 Rural Development Plan</t>
  </si>
  <si>
    <t>IRL 40</t>
  </si>
  <si>
    <t>€80 million</t>
  </si>
  <si>
    <t xml:space="preserve">Funding package for Irish aviation for 2021. €52m will be allocated between Dublin, Cork and Shannon Airports. Just over €32m of the €52m will be allocated to Cork and Shannon under a bespoke COVID-19 Regional State Airports Programme. A further €20m will be distributed to Dublin, Cork and Shannon to help ease liquidity issues, under a special COVID-19 Supplementary Supports Scheme.
€28m is available to support the Regional Airports Programme and includes a special provision of €6m for liquidity support for Kerry, Knock and Donegal Airports.
</t>
  </si>
  <si>
    <t>Economic Recovery Plan - https://www.gov.ie/en/publication/49b23-overview-of-economic-recovery-plan-2021/#the-plan</t>
  </si>
  <si>
    <t>IRL 41</t>
  </si>
  <si>
    <t>1.1 Derisking a low cost residential retrofit loan scheme</t>
  </si>
  <si>
    <t>IRL 42</t>
  </si>
  <si>
    <t>1.8 Climate Action and Low Carbon Development (Amendment) Bill 2021; The purpose of this reform measure is to provide for primary legislation to strengthen the statutory framework for more effective governance of the State’s climate objectives</t>
  </si>
  <si>
    <t>IRL 43</t>
  </si>
  <si>
    <t>1.9 Base Broadening Carbon Tax, This reform entails a trajectory of rate increases to the carbon tax, which will provide an additional revenue source and support Government expenditure in the areas of climate action and just transition.</t>
  </si>
  <si>
    <t>IRL 44</t>
  </si>
  <si>
    <t>Commission for Regulation of Utilities (CRU) has put in place emergency credit levels for all gas prepayment customers from EUR 10 to EUR 100. The emergency credit is for use in a genuine emergency, and will have to be paid back at a later date</t>
  </si>
  <si>
    <t>ISL1</t>
  </si>
  <si>
    <t>Reimbursement of VAT on labour for work carried out at a residential construction site will temporarily be increased from 60% to 100%. The authorisation will also extend to vacation property and to design or supervision.</t>
  </si>
  <si>
    <t>https://www.government.is/topics/economic-affairs-and-public-finances/measures-in-response-to-covid19/#Tab3</t>
  </si>
  <si>
    <t>ISL2</t>
  </si>
  <si>
    <t>less than 1.1 bn ISK</t>
  </si>
  <si>
    <t>R&amp;D grantsA special tax deduction shall be granted to innovation companies in the years 2021 and 2022. The deduction shall amount to 35% of the expenses incurred to smaller and medium sized companies but 25% of expenses to large companies. The previous rate of this tax deduction was 20%.
The underlying expenses for the deduction cannot amount to more than ISK 1,100,000,000.</t>
  </si>
  <si>
    <t>https://home.kpmg/xx/en/home/insights/2020/04/iceland-tax-developments-in-response-to-covid-19.html</t>
  </si>
  <si>
    <t>ISK</t>
  </si>
  <si>
    <t>ISL3</t>
  </si>
  <si>
    <t>..</t>
  </si>
  <si>
    <t>Updated R&amp;D support: The Government of Iceland has prioritised sustaining innovation through the pandemic and has today announced measures that will make additional contributions to companies investing in growth, and reimbursement ratios and caps on search and development (R&amp;D) will be increased. Together the measures equal just under ISK 4.5bn and there is an aim is to expediate reimbursements for R&amp;D expenses in 2019. / The government has been tracking disbursements by gender (see second link)</t>
  </si>
  <si>
    <t>https://www.government.is/news/article/?newsid=5a7b7cb1-83f7-11ea-9467-005056bc4d74</t>
  </si>
  <si>
    <t>https://www.government.is/government/covid-19/#Tab5</t>
  </si>
  <si>
    <t>ISL4</t>
  </si>
  <si>
    <t>ISK 250 million top-up, adding up to ISK 628 million for 2021</t>
  </si>
  <si>
    <t>Iceland's food production fund ("Matvælasjóður") is being allocated more of the state budget to increase domestic food production in an effort to increase food security and reduce imports-related emissions</t>
  </si>
  <si>
    <t xml:space="preserve">https://www.stjornarradid.is/efst-a-baugi/frettir/stok-frett/2020/10/02/Matvaelasjodur-faer-250-milljon-krona-vidbotarframlag/; https://www.government.is/news/article/?newsid=5a7b7cb1-83f7-11ea-9467-005056bc4d74; </t>
  </si>
  <si>
    <t>ISL5</t>
  </si>
  <si>
    <t>ISK 4.5 billion total (ISK 1.7 billion on circular economy measures; ISK 2.8 billion on sewerage improvements)</t>
  </si>
  <si>
    <t>The government as part of its special investment programme to recover from the pandemic's economic effects is increasing its spending on circular economy issues from ISK 100 million annually to ISK 1.7 billion over 2021-2025. Focus is on promoting responsible production &amp; consumption, reducing waste, increasing recycling and reuse. The government is also investing heavily in the country's sewerage system (2.8 billion over 2021-2025 compared to the ISK 200 million annually that was originally budgeted)</t>
  </si>
  <si>
    <t>https://www.stjornarradid.is/efst-a-baugi/frettir/stok-frett/2020/10/13/4-5-milljardar-i-eflingu-hringrasarhagkerfis-og-urbaetur-i-fraveitumalum/</t>
  </si>
  <si>
    <t>ISL6</t>
  </si>
  <si>
    <t>ISK 3 billion (2021-2025) or ISK 600 million a year</t>
  </si>
  <si>
    <t xml:space="preserve">Increase to budget for climate action to ISK 3 billion over 2021-2025. Focus on energy transition (especially in transport - towards electric vehicles and hydrogen), carbon sequestration, innvation &amp; research, improving emissions accounting. Aims to help Iceland meet its 2040 goal of carbon neutrality.  </t>
  </si>
  <si>
    <t>https://www.stjornarradid.is/efst-a-baugi/frettir/stok-frett/2020/10/13/3-milljarda-krona-aukning-til-loftslagsmala/</t>
  </si>
  <si>
    <t>ISL7</t>
  </si>
  <si>
    <t>air pollution</t>
  </si>
  <si>
    <t>Temporary legislation allows companies to apply a higher depreciation rate to “green” assets for the years 2021-2025</t>
  </si>
  <si>
    <t>OECD,2021. Economic Survey of Iceland</t>
  </si>
  <si>
    <t>ISL8</t>
  </si>
  <si>
    <t>Environmentally-friendly company cars can be fully depreciated in the year of acquisition</t>
  </si>
  <si>
    <t>ISL9</t>
  </si>
  <si>
    <t xml:space="preserve">2020 the government introduced a number of VAT reliefs for environmentally-friendly transport modes, to be phased out in 2023. </t>
  </si>
  <si>
    <t>ISR1</t>
  </si>
  <si>
    <t xml:space="preserve">NIS 6.5 billion </t>
  </si>
  <si>
    <t>Promotion of new renewable energy (solar) projects in the amount of 2000 megawatts and the volume of investment in the economy will be approximately NIS 6.5 billion - investment in clean and sustainable energy.</t>
  </si>
  <si>
    <t>https://www.gov.il/he/departments/publications/reports/economic_growth
https://www.gov.il/BlobFolder/reports/economic_growth/he/economic_growth.pdf</t>
  </si>
  <si>
    <t>ILS</t>
  </si>
  <si>
    <t>ISR2</t>
  </si>
  <si>
    <t>NIS 500 million</t>
  </si>
  <si>
    <t xml:space="preserve">Incentive economy for the establishment of local solar energy by providing a state-guaranteed loan fund in the amount of NIS 500 million, which will incentivize an additional investment of 3.5 billion in renewable energies-investment in clean and sustainable energy. </t>
  </si>
  <si>
    <t>ISR3</t>
  </si>
  <si>
    <t>Removing Barriers to Promoting Existing Projects in Wind Energy. The investment in the economy alone for this project will stand at NIS 1.2 billion and will lead to the required diversity in renewable energies and ensuring redundancy and energy security, all while creating additional clean and sustainable energy.</t>
  </si>
  <si>
    <t>ISR4</t>
  </si>
  <si>
    <t>Removal of barriers that will enable rapid and efficient development of the transmission and distribution network in electricity</t>
  </si>
  <si>
    <t>ISR5</t>
  </si>
  <si>
    <t>NIS 300 million</t>
  </si>
  <si>
    <t>Leading an action plan for an energy-efficient urban space in cities, a project in which there will be a budget and municipal investment of approximately NIS 300 million and will enable the promotion of an efficient and clean energy space, reducing urban pollution, tackling climate crisis, kicking off innovation, adopting new technologies (smart homes, smart homes In the city) economic savings and more. Creating energetic resilience centers that will ensure a regular supply of electricity in an emergency while investing only tens of millions of shekels</t>
  </si>
  <si>
    <t>ISR6</t>
  </si>
  <si>
    <t>NIS 180 million</t>
  </si>
  <si>
    <t>Alternative propulsion for transportation - investment in promoting clean alternative energy for transportation, whether in electricity or in the development of additional clean fuel substitutes, promoting heavy transportation in natural gas and R&amp;D. This is a budget investment of NIS 180 million that will lead to a private investment of at least NIS 180 million. On the way to creating clean and non-polluting transportation</t>
  </si>
  <si>
    <t>ISR7</t>
  </si>
  <si>
    <t>NIS 600 million</t>
  </si>
  <si>
    <t>Construction of a new fuel port in Haifa - this project will lead to an economic investment of about NIS 600 million, this is a very important investment in order to produce an efficient, safe and cleaner infrastructure for the absorption of fuels and distillates, a need that is essential and sustainable in the short and long term.</t>
  </si>
  <si>
    <t>ISR8</t>
  </si>
  <si>
    <t>NIS 250 million</t>
  </si>
  <si>
    <t>Consolidation of infrastructures - creating synchronization in the establishment of infrastructure Transport infrastructures (light rail, subway, Ayalon routes, Moriah, etc.) - This is a step that will lead to an investment of about 250 million NIS</t>
  </si>
  <si>
    <t>ISR9</t>
  </si>
  <si>
    <t>NIS 1 billion</t>
  </si>
  <si>
    <t>Tender for the construction of a solar field in Dimona, a field that will produce about 500 megawatts and the volume of investment in the economy as a result is about one billion NIS. A tenders committee has already been set up to promote this project but it has been delayed due to internal government disputes</t>
  </si>
  <si>
    <t>ISR10</t>
  </si>
  <si>
    <t>0,04 billion</t>
  </si>
  <si>
    <t>Balance grants to local authorities (advance payment of balance grants)</t>
  </si>
  <si>
    <t>O’Callaghan, B., Yau, N., Murdock, E., Tritsch, D., Janz, A., Blackwood, A., Purroy Sanchez, L., Sadler, A., Wen, E., Kope, H., Flodell, H.,  Tillman-Morris, L., Ostrovsky, N., Kitsberg, A., Lee, T., Hristov, D., Didarali, Z., Chowdhry, K., Karlubik, M., Shewry, A., Bialek, F., Wang, M., Rosenbaum, N., Gupta, S., Hazell, T., Angell, Z., and Hepburn, C. (2020). Global Recovery Observatory. Oxford University Economic Recovery Project. https://recovery.smithschool.ox.ac.uk/tracking/</t>
  </si>
  <si>
    <t>https://www.gov.il/he/departments/news/news-24-03-2020</t>
  </si>
  <si>
    <t>ISR11</t>
  </si>
  <si>
    <t>0,06 billion</t>
  </si>
  <si>
    <t>Ensuring waste disposal (support to local authorities in ensuring proper disposal of household waste in their territory)</t>
  </si>
  <si>
    <t>https://www.gov.il/he/departments/news/knesset_approves_moep_law_to_fund_waste_treatment_during_coronavirus_crisiss</t>
  </si>
  <si>
    <t>ISR12</t>
  </si>
  <si>
    <t>0 billion</t>
  </si>
  <si>
    <t>Funding for municipal supervision costs (aid package transferred to 73 authorities in the Arab sector to help pass the month of Ramadan)</t>
  </si>
  <si>
    <t>https://www.gov.il/he/departments/news/news-23-04-2020-3</t>
  </si>
  <si>
    <t>ISR13</t>
  </si>
  <si>
    <t>Annual permit and fee postponement for construction industry (Interior Minister postpones annual permit and fee payments for building industry to alleviate current COVID-19 situation.)</t>
  </si>
  <si>
    <t>https://www.gov.il/he/departments/news/postponding_payment_of_fees_for_constructions</t>
  </si>
  <si>
    <t>ISR14</t>
  </si>
  <si>
    <t>2,15 billion</t>
  </si>
  <si>
    <t>State-guaranteed loan fund for large corporations (State-guaranteed loan fund for large businesses that will allow businesses with an annual turnover of ILS400 million or more to apply for a loan of up to 8% of their annual turnover. The cost is ILS7 billion.)</t>
  </si>
  <si>
    <t>https://www.gov.il/he/departments/news/press_30032020_b</t>
  </si>
  <si>
    <t>ISR15</t>
  </si>
  <si>
    <t>1,85 billion</t>
  </si>
  <si>
    <t>State Guarantee Loan Fund (The fund will provide loans through banks and institutional entities that choose to join the fund, to businesses with a turnover of NIS 200 million or more in industries affected by the COVID-19 crisis. The amount of the loan will be 8% of the annual turnover up to NIS 100 million. The fund is expected to provide a solution to hundreds of companies in the economy. The new state-guaranteed loan fund amounts to ILS6 billion.)</t>
  </si>
  <si>
    <t>https://www.gov.il/he//departments/news/press_030520200</t>
  </si>
  <si>
    <t>ISR16</t>
  </si>
  <si>
    <t>Manufacturing and export industry support (ILS700 million in funding for an assistance program for SMEs to cope with COVID-19. Of this, ILS135 million will be used to encourage investment in the manufacturing industry and to encourage exports.)</t>
  </si>
  <si>
    <t>https://www.gov.il/he/departments/news/economy-news-310520</t>
  </si>
  <si>
    <t>ISR17</t>
  </si>
  <si>
    <t>0,09 billion</t>
  </si>
  <si>
    <t>Tourism and Hotel Industry Assistance (The Minister of Finance and the Minister of Tourism have agreed on an outline of assistance to the tourism and hotel industry in the amount of ILS300 million through the form of direct cash transfers/grants.)</t>
  </si>
  <si>
    <t>https://www.gov.il/he//departments/news/press_01062020</t>
  </si>
  <si>
    <t>ISR18</t>
  </si>
  <si>
    <t>Fixed Expenses Grant (for all businesses) (Grant scheme allows businesses to file grant claims for fixed expenses for businesses for the months of May-June 2020. The payment of the grants is part of the "Economic Safety Network" program and in accordance with the Financial Assistance Program Law. The law stipulates seven bi-monthly eligibility periods for grants until May-June 2021, and the system will allow claims to be submitted for each eligibility period, starting on the 15th of the month following the eligibility period. The grant amounts for those who meet the conditions, for each eligibility period, range from NIS 3,000 to NIS 500,000. Claims can be filed for corporate and partnership grants, whose turnover in 2019 was from NIS 18,000 to NIS 400 million, as well as self-employed whose turnover in 2019 was from NIS 300,000 to NIS 400 million, and who had a decrease in turnover in May-June 2020 compared to these months last year)</t>
  </si>
  <si>
    <t>https://www.gov.il/he//departments/news/sa110820-1</t>
  </si>
  <si>
    <t>ISR19</t>
  </si>
  <si>
    <t>Rescue Package for Hotels (ILS300 million allocated to a rescue package that will help hotels during this difficult time. Created by the Finance and Tourism ministries, the plan offers aid to hotels from June 2020 - May 2021 to ensure they are able to keep operating. Benefits will be scaled to match the loss of income with larger hotels, which are costlier to maintain and are eligible for larger benefits.)</t>
  </si>
  <si>
    <t>https://www.jpost.com/breaking-news/nis-85-billion-stimulus-plan-approved-as-israeli-gnp-spirals-638839</t>
  </si>
  <si>
    <t>ISR20</t>
  </si>
  <si>
    <t>Business grant (Grants for all eligible businesses in the amount of ILS6 billion.)</t>
  </si>
  <si>
    <t>ISR21</t>
  </si>
  <si>
    <t>0,22 billion</t>
  </si>
  <si>
    <t>State-guaranteed loan fund for SMEs (State-guaranteed loan fund for small and medium-sized businesses; expanding eligibility for medium-sized businesses with an annual turnover of up to ILS400 million. The cost is ILS700 million.)</t>
  </si>
  <si>
    <t>ISR22</t>
  </si>
  <si>
    <t>Business Assistance Grant (The Business Assistance Grant aims to compensate businesses for the cost fixed expenses in March and April 2020. Eligibility applies: SMEs - turnover exceeding ILS18,000 and up to ILS20 million per year; self-employed - turnover of up to ILS300,000. The grant ceiling is up to ILS400,000. The deadline for applications is August 10, 2020. Grants will not be subject to VAT.)</t>
  </si>
  <si>
    <t>https://www.gov.il/he/departments/news/sa120520-22</t>
  </si>
  <si>
    <t>ISR23</t>
  </si>
  <si>
    <t>0,08 billion</t>
  </si>
  <si>
    <t>Liquidity support for SMEs (ILS700 million in funding for an assistance program for SMEs to cope with COVID-19. Of this, ILS255 million for targeted co-financing programs for SMEs with the private sector.)</t>
  </si>
  <si>
    <t>ISR24</t>
  </si>
  <si>
    <t>Expense Grant (Self-employed people who opened a new business in January - February 2020 will be able to receive an expense grant in the fixed amount of ILS 3,000-4,000. The submission of applications for the grant is for the months of May-June 2020. The grant will be paid from now and every two months until the period May-June 2021.)</t>
  </si>
  <si>
    <t>https://www.gov.il/he//departments/news/sa120820_2</t>
  </si>
  <si>
    <t>ISR25</t>
  </si>
  <si>
    <t>Assistance grants for the self-employed (As part of the implementation of the Economic Safety Net, the Tax Authority's website opened the possibility of submitting applications for assistance grants to self-employed and employees with control of a few companies, whose turnover in May-June 2020 was damaged by at least 40%. The amount of the grant is up to NIS 15,000 for each eligibility period. The amount of the grant will be 70% of the average taxable income per month, in 2018 or 2019, whichever is higher, multiplied by 2 (for the two months of the eligibility period).)</t>
  </si>
  <si>
    <t>https://www.gov.il/he//departments/news/sa250820-5</t>
  </si>
  <si>
    <t>ISR26</t>
  </si>
  <si>
    <t>3,08 billion</t>
  </si>
  <si>
    <t>Liquidity help for SMEs (Program to ease terms of credit to small and micro businesses, at a scope of ILS10 billion, that will be in effect until the end of June 2021. Within the framework of the program, the Bank of Israel will provide the banking system with loans for a term of 4 years, at a fixed interest rate of negative 0.1 percent, against loans that the banks extend to small and micro businesses, provided that the interest rate on the loans to the small and micro businesses does not exceed Prime +1.3 percent.)</t>
  </si>
  <si>
    <t>https://www.boi.org.il/en/NewsAndPublications/PressReleases/Pages/22-10-20a.aspx</t>
  </si>
  <si>
    <t>ISR27</t>
  </si>
  <si>
    <t>Business Expenses Grant for self-employed business owners (Self-employed business owners with a turnover of up to ILS300,000 whose turnover in September-October 2020 was affected by the outbreak of COVID-19 by at least 25% compared to the same period in 2019, can submit applications for a business expenses grant starting November 5th. This is part of an economic safety net plan.)</t>
  </si>
  <si>
    <t>https://www.gov.il/he//departments/news/sa051120_4</t>
  </si>
  <si>
    <t>ISR28</t>
  </si>
  <si>
    <t>0,62 billion</t>
  </si>
  <si>
    <t>Business Grants (NIS 2 billion in additional grants to the self-employed and to business owners. Plan named 'from stagnation to growth')</t>
  </si>
  <si>
    <t>https://mfa.gov.il/MFA/InnovativeIsrael/Economy/Pages/Joint-Prime-Minister-s-Office-Finance-Ministry-statement-4-January-2020-.aspx; https://www.gov.il/en/departments/news/press_04012020</t>
  </si>
  <si>
    <t>ISR29</t>
  </si>
  <si>
    <t>Cultural Industry Assistance Package (The assistance package includes, among other things, assistance to cultural institutions in the amount of ILS200 million, in addition to strengthening the assistance fund for artists in distress and assistance to the film industry, publishing a call for encouragement for commercial productions.)</t>
  </si>
  <si>
    <t>https://www.gov.il/he/departments/news/press_02062020</t>
  </si>
  <si>
    <t>ISR30</t>
  </si>
  <si>
    <t>0,01 billion</t>
  </si>
  <si>
    <t>Cultural industry support (ILS40 million will be immediately donated to cultural performances throughout the country.)</t>
  </si>
  <si>
    <t>https://www.gov.il/he/departments/news/money-for-culture</t>
  </si>
  <si>
    <t>ISR31</t>
  </si>
  <si>
    <t>Deferred water and electricity payments for SMEs (Deferral of water and electricity payments for Small and Medium Enterprises (SMEs))</t>
  </si>
  <si>
    <t>https://www.gov.il/he/departments/news/economy-news-170320</t>
  </si>
  <si>
    <t>ISR32</t>
  </si>
  <si>
    <t>Food stamp funding (Aid package of ~ILS55 million will be transferred to 73 authorities in the Arab sector to help pass the month of Ramadan. Of this ILS30 million in funding for food stamps to be given to needy families.)</t>
  </si>
  <si>
    <t>https://www.gov.il/he/departments/news/news-23-04-2020-33</t>
  </si>
  <si>
    <t>ISR33</t>
  </si>
  <si>
    <t>Distribution of food baskets for those in isolation (Aid package of ~ILS55 million will be transferred to 73 authorities in the Arab sector to help pass the month of Ramadan. Of this, ILS4 million will be transferred for the purpose of assisting in the distribution of food baskets directly to patients and isolates and their families, who cannot leave the isolation.)</t>
  </si>
  <si>
    <t>ISR34</t>
  </si>
  <si>
    <t>Food Security for poor families (ILS700 million has been allocated in funding to provide food security for poor families, a project championed by Interior Minister Arye Deri.)</t>
  </si>
  <si>
    <t>https://www.jpost.com/breaking-news/nis-85-billion-stimulus-plan-approved-as-israeli-gnp-spirals-638838</t>
  </si>
  <si>
    <t>ISR35</t>
  </si>
  <si>
    <t>0,49 billion</t>
  </si>
  <si>
    <t>Grants for over-67 individuals (Expansion of the social safety net and relief for households in the amount of ILS 20 billion. Of this, grant for those aged 67 and over whose employment was terminated following the crisis. The grant is up to ILS4,000 per eligible person in addition to the old-age pension in March and April. OUERP commentary: residual allocation of the initial ILS20 billion split between non-value entries.)</t>
  </si>
  <si>
    <t>ISR36</t>
  </si>
  <si>
    <t>0,8 billion</t>
  </si>
  <si>
    <t>Self-employed grants (Expansion of the social safety net and relief for households in the amount of NIS 20 billion. Of this, ILS 2.6 billion in grants for the self-employed. Two monthly grants of up to NIS 6,000 this month, and up to NIS 8,000 next month, for the self-employed aged 28 and over who will meet the relevant criteria according to the taxable income from the business and the household. The grant will be paid by the tax authority.)</t>
  </si>
  <si>
    <t>ISR37</t>
  </si>
  <si>
    <t>State-guaranteed loan fund for social associations (Expansion of the social safety net and relief for households in the amount of NIS 20 billion. Of this, opening of a special track in a state-guaranteed loan fund intended for social associations with a turnover of up to NIS 4 million, operating in the fields of health, education and welfare, as part of which state-guaranteed loans will be granted.)</t>
  </si>
  <si>
    <t>ISR38</t>
  </si>
  <si>
    <t>4,31 billion</t>
  </si>
  <si>
    <t>Unemployment benefits for those on sick leave (Expansion of the social safety net and relief for households in the amount of NIS 20 billion. Of this, ILS14 billion for unemployment benefits to employees who went on sick leave.)</t>
  </si>
  <si>
    <t>ISR39</t>
  </si>
  <si>
    <t>Cash flow assistance to households (Expansion of the social safety net and relief for households in the amount of NIS 20 billion. Within this, cash flow assistance to households - deferral of payment of government fees and advance payment of work grant payments (negative income tax), provided to employees who meet income tests. OUERP commentary: residual allocation of the initial ILS20 billion split between non-value entries.)</t>
  </si>
  <si>
    <t>ISR40</t>
  </si>
  <si>
    <t>Advance of National Insurance payments (Due to the large burden on the National Insurance Institute, the National Insurance Institute will be able to pay an advance for the month of April 2020 in the amount of up to ILS8,000, even for those who have not yet completed checking all data regarding their application.)</t>
  </si>
  <si>
    <t>https://www.gov.il/he/departments/news/press_09052020</t>
  </si>
  <si>
    <t>ISR41</t>
  </si>
  <si>
    <t>Extension of unemployment benefit entitlements (The Finance Minister has decided to extend the duration of entitlement to unemployment benefits.)</t>
  </si>
  <si>
    <t>https://www.gov.il/he//departments/news/press_07062020_b</t>
  </si>
  <si>
    <t>ISR42</t>
  </si>
  <si>
    <t>2 billion</t>
  </si>
  <si>
    <t>Cash Handouts (Stipulates that every Israeli will receive ILS750 ($220), and an additional ILS500 ($147) for each child up to the third.)</t>
  </si>
  <si>
    <t>https://www.jns.org/israeli-cabinet-moves-ahead-with-1-9-billion-covid-19-stimulus-plan/</t>
  </si>
  <si>
    <t>ISR43</t>
  </si>
  <si>
    <t>Extension of unemployment benefits (Decision to extend the period of entitlement to unemployment benefits until the end of May 2020 for all those whose entitlement ends before this date.)</t>
  </si>
  <si>
    <t>ISR44</t>
  </si>
  <si>
    <t>0,15 billion</t>
  </si>
  <si>
    <t>Employment Encouragement Grant (Approval of the Employment Encouragement Grant Bill (Temporary Order - New Corona virus), 5720-2020. As part of the bill, which was approved in the Knesset on June 2 in the first reading, it is proposed to provide a financial incentive for employers who will hire or return workers who were removed from the labor market during the crisis.)</t>
  </si>
  <si>
    <t>https://www.gov.il/he/departments/news/press_07062020</t>
  </si>
  <si>
    <t>ISR45</t>
  </si>
  <si>
    <t>Employee Retention Grant (The “Employee Retention Grant” has the purpose of providing incentives to employers to maintain a high level of employment even when the business’s income has been temporarily reduced. It minimises the impact on employees’ wages and economic activity, while also reducing unemployment benefit payments. It is being issued for a month and a half.)</t>
  </si>
  <si>
    <t>https://www.boi.org.il/en/NewsAndPublications/PressReleases/Pages/22-9-20.aspx</t>
  </si>
  <si>
    <t>ISR46</t>
  </si>
  <si>
    <t>Assistance to discharged soldiers (Lone veterans will receive special housing assistance in the COVID-19 crisis. A lone veteran who receives rent assistance from the Division and the Veterans Fund, in his first year of release, will be entitled to a one-time housing grant due to the COVID-19 crisis, amounting to ILS4,000 each.)</t>
  </si>
  <si>
    <t>https://www.gov.il/he/departments/news/press_13052020</t>
  </si>
  <si>
    <t>ISR47</t>
  </si>
  <si>
    <t>Framework for deferring loan repayments (A comprehensive framework adopted by the banking system for deferring loan repayments, as assistance to bank customers in dealing with the ramifications of the COVID-19 crisis. In March – June 2020, the banks deferred loan repayments for approximately 553,000 customers in all activity segments, at a total value of approximately ILS7 billion.)</t>
  </si>
  <si>
    <t>https://www.boi.org.il/en/NewsAndPublications/PressReleases/Pages/13-7-20C.aspx</t>
  </si>
  <si>
    <t>ISR48</t>
  </si>
  <si>
    <t>6,65 billion</t>
  </si>
  <si>
    <t>Unaccounted spending (Leftover, unaccounted for spending within the line "Business assistance in the amount of ILS41 billion".)</t>
  </si>
  <si>
    <t>ISR49</t>
  </si>
  <si>
    <t>0,1 billion</t>
  </si>
  <si>
    <t>Funds to adjust to COVID-19 for SMEs (ILS700 million in funding for an assistance program for SMEs to cope with COVID-19. Of this, ILS310 million is allocated for the costs of making business adjustments to suit COVID-19 regulation, such as, physical adjustments, moving to online commerce and assimilating advanced production in industry.)</t>
  </si>
  <si>
    <t>ISR50</t>
  </si>
  <si>
    <t>3,38 billion</t>
  </si>
  <si>
    <t>Health and Civil Response (Increasing the health and civil response by ILS11 billion. Includes measures such as purchasing testing equipment, purchasing respirators, masks, protective equipment and additional medical equipment is required, increasing the stock of medicines, additional medical manpower, and so on.)</t>
  </si>
  <si>
    <t>ISR51</t>
  </si>
  <si>
    <t>PPE purchase funding (Aid package of ~ILS55 million will be transferred to 73 authorities in the Arab sector to help pass the month of Ramadan. Of this, ~ILS2.5 million allocated for the purchase of protective equipment for COVID-19.)</t>
  </si>
  <si>
    <t>ISR52</t>
  </si>
  <si>
    <t>0,42 billion</t>
  </si>
  <si>
    <t>Healthcare spending (To finance the continued corona testing, epidemiological investigations and the isolation of citizens.)</t>
  </si>
  <si>
    <t>https://m.knesset.gov.il/EN/News/PressReleases/Pages/press16321c.aspx</t>
  </si>
  <si>
    <t>ISR53</t>
  </si>
  <si>
    <t>Vaccine purchases (For implementing purchase agreements with corona vaccine manufacturers.)</t>
  </si>
  <si>
    <t>ISR54</t>
  </si>
  <si>
    <t>0,03 billion</t>
  </si>
  <si>
    <t>Vacciniation programme funding (To fund the logistics of the vaccination drive, including security, additional manpower at vaccination sites, and training. 
)</t>
  </si>
  <si>
    <t>ISR55</t>
  </si>
  <si>
    <t>0,46 billion</t>
  </si>
  <si>
    <t>Vaccine purchases (Purchase of around 18 million doses of the Pfizer and Moderna COVID-19 vaccine, to be used to innoculate children and, if neccessary, as booster jabs or modified to be used against variants.)</t>
  </si>
  <si>
    <t>https://www.gov.il/en/departments/news/spoke_vaccines190421, https://www.timesofisrael.com/israel-closes-long-term-covid-19-vaccine-deal-despite-political-difficulties/</t>
  </si>
  <si>
    <t>ISR56</t>
  </si>
  <si>
    <t>0,07 billion</t>
  </si>
  <si>
    <t>Anti-coronavirus measures during election (Part of an NIS 674.8 million budget approved by the Knesset for the Israeli Central Elections Committee, this money is specifically earmarked to deal with the challenges posed by the coronavirus crisis. For example, the CEC has proposed special shuttles to polling stations for active COVID-19 patients)</t>
  </si>
  <si>
    <t>https://m.knesset.gov.il/EN/News/PressReleases/Pages/press9321f.aspx</t>
  </si>
  <si>
    <t>ISR57</t>
  </si>
  <si>
    <t>Healthcare spending (For health maintenance organizations, in recognition of the continued threat of coronavirus.)</t>
  </si>
  <si>
    <t>ISR58</t>
  </si>
  <si>
    <t>Contact tracing (To fund the Home Front Command's system for breaking the chain of infection, as well as for epidemiological investigations.)</t>
  </si>
  <si>
    <t>ISR59</t>
  </si>
  <si>
    <t>Income tax postponement (Annual income tax report for individuals and businesses postponed until 30 July, 2020.)</t>
  </si>
  <si>
    <t>https://www.gov.il/he/departments/news/sa220320-1</t>
  </si>
  <si>
    <t>ISR60</t>
  </si>
  <si>
    <t>0,92 billion</t>
  </si>
  <si>
    <t>Reimbursement of tax advances (Reimbursement of tax advances for February-March (to be paid in two moves), at a cost of about ILS3 billion.)</t>
  </si>
  <si>
    <t>ISR61</t>
  </si>
  <si>
    <t>0,45 billion</t>
  </si>
  <si>
    <t>Abolishment of customs and purchase tax on many products (Easing of tariffs on a range of products. This means the permanent abolition of customs and purchase tax on a wide range of products, including cell phones, clothing and footwear, baby products, entertainment electronics (televisions, monitors, speakers, etc.), household appliances, toys and games, cosmetics and more in the amount of about ILS1.45 billion a year.)</t>
  </si>
  <si>
    <t>ISR62</t>
  </si>
  <si>
    <t>Cancelling fines on late VAT payments (Cancellation of arrears fines imposed on dealers who submitted VAT reports up to 5 days late in the pandemic period.)</t>
  </si>
  <si>
    <t>https://www.gov.il/he/departments/news/sa110620-1</t>
  </si>
  <si>
    <t>ISR63</t>
  </si>
  <si>
    <t>Fixed Expenses Cash Grants (VAT stipulation) (Israelian Tax Authority opened the possibility to apply for a fixed expenses business grant for the benefit of business owners who report VAT on a cash basis. Calculating the decrease in turnover for these businesses will be based on the decrease in turnover from March to June 2020.)</t>
  </si>
  <si>
    <t>https://www.gov.il/he//departments/news/sa-19072020-1</t>
  </si>
  <si>
    <t>ISR64</t>
  </si>
  <si>
    <t>0,31 billion</t>
  </si>
  <si>
    <t>Tax refunds to businesses (The Tax Authority transfers tax refunds to businesses in the amount of about ILS1 billion in a centralized procedure.)</t>
  </si>
  <si>
    <t>https://www.gov.il/he//departments/news/sa230320-22</t>
  </si>
  <si>
    <t>ISR65</t>
  </si>
  <si>
    <t>0,83 billion</t>
  </si>
  <si>
    <t>Reduced property taxes (Reduction in property taxes for businesses at an annual rate of 25%. Businesses will enjoy 3 months of free property taxes (March-May). The reduction will be funded by the government and local government. The cost is ILS2.7 billion.)</t>
  </si>
  <si>
    <t>ISR66</t>
  </si>
  <si>
    <t>0,86 billion</t>
  </si>
  <si>
    <t>Local property tax cuts (25% discount on property tax payments until end of 2020, reflecting 3 months of exemption. A budget of ILS2.8 billion will be allocated to compensate local authorities for loss of income.)</t>
  </si>
  <si>
    <t>https://www.gov.il/he/departments/news/press_07042020_d ; https://www.gov.il/he/departments/news/news-03-05-2020-1</t>
  </si>
  <si>
    <t>ISR67</t>
  </si>
  <si>
    <t>Training programs (Expansion of the social safety net and relief for households in the amount of NIS 20 billion. Of this, ILS200 million for training programs. In order to enable people who have dropped out of the labor market to return to it quickly and in a quality manner, and in order to increase the productivity of the Israeli economy, the number of professional trainings with state assistance will be increased.)</t>
  </si>
  <si>
    <t>ISR68</t>
  </si>
  <si>
    <t>1,46 billion</t>
  </si>
  <si>
    <t>Job Creation (Safety Net program and will be used for transportation, technology and welfare projects to create 10,000 new jobs.)</t>
  </si>
  <si>
    <t>https://www.jpost.com/breaking-news/nis-85-billion-stimulus-plan-approved-as-israeli-gnp-spirals-638840</t>
  </si>
  <si>
    <t>ISR69</t>
  </si>
  <si>
    <t>Grants for high-tech industry (The program aims to increase employment in high-tech industries through training and placement grants. It comes as a response to the employment crisis in the economy following the COVID-19 crisis. As part of the program, training and placement grants will be given to employers or training bodies. The amount of grants per person will range from ILS25,000 to ILS45,000.)</t>
  </si>
  <si>
    <t>https://www.gov.il/he//departments/news/press_04102020</t>
  </si>
  <si>
    <t>ISR70</t>
  </si>
  <si>
    <t>College student support (To support 350,000 college students who have lost jobs as a result of COVID-19, this ILS100 million aid program increases the student aid budget by giving another 10,000 scholarships.)</t>
  </si>
  <si>
    <t>https://www.gov.il/he/departments/news/press_23062020</t>
  </si>
  <si>
    <t>ISR71</t>
  </si>
  <si>
    <t>Public Transportation Projects (Some ILS2 billion has been earmarked to complete public transportation projects, including the Tel Aviv Red Line light rail.)</t>
  </si>
  <si>
    <t>ITA1</t>
  </si>
  <si>
    <t>EUR 300 mn</t>
  </si>
  <si>
    <t>Increase of EUR 300 mn in the fund for the purchase of low emission vehicles. EUR 100 mn for 2020 and EUR 200 mn in 2021; this is in addition to 60 already spent in 2019 (not counted here), and was an up from orignally 70m in 2020; note that this corresponds to the measure captured in row 357 of the Energy Tracker database as of mid-Nov 2020</t>
  </si>
  <si>
    <t>Art 44 of Decreto Rilancio (aka Law-Decree 19 May 2020, n. 34 - http://www.governo.it/it/dl-rilancio)</t>
  </si>
  <si>
    <t>ITA2</t>
  </si>
  <si>
    <t>EUR 11.4 bn</t>
  </si>
  <si>
    <t>Incentives for: (a) thermal insulations of buildings / heating (heat pumps) / energy efficiency in the form of tax reductions // (b) for the installation on buildings of photovoltaic solar panels conected to the power grid // © For the installation of infrastructure for EV charging in buildings // all in the form of tax reductions. Distribution of resources: EUR 62.2 million in 2020; EUR 1,268.4 million in 2021; EUR 3,239.2 million in 2022, EUR 2827.9 million in 2023, EUR 2,659 million in 2024 and 2025; EUR 1,290.1 million in 2026; 11.2 million EUR in 2031 and EUR 48.6 million in 2032</t>
  </si>
  <si>
    <t>Art 119 of Decreto Rilancio (aka Law-Decree 19 May 2020, n. 34 - http://www.governo.it/it/dl-rilancio)</t>
  </si>
  <si>
    <t>ITA3</t>
  </si>
  <si>
    <t>--</t>
  </si>
  <si>
    <t>Measure potentially detrimental for the environment: 20% reduction on energy bills for energy consumed in the months of  April, May, June, uly and August 2020</t>
  </si>
  <si>
    <t>Art 132 of Decreto Rilancio (aka Law-Decree 19 May 2020, n. 34 - http://www.governo.it/it/dl-rilancio)</t>
  </si>
  <si>
    <t>ITA4</t>
  </si>
  <si>
    <t>EUR 40 mn</t>
  </si>
  <si>
    <t xml:space="preserve">Establishment of a a fund of € 40 million aimed at supporting micro, small and medium enterprises that operate in "economic-environmental zones" (e.g. national parks) and that carry out "eco-friendly" activities. </t>
  </si>
  <si>
    <t>Art 227 of Decreto Rilancio (aka Law-Decree 19 May 2020, n. 34 - http://www.governo.it/it/dl-rilancio)</t>
  </si>
  <si>
    <t>ITA5</t>
  </si>
  <si>
    <t>EUR 0.05 bn</t>
  </si>
  <si>
    <t>In order to encourage "sustainable mobility alternatives", under a government scheme residents of age living in cities with more than 50,000 residents can claim back 60% of the cost of a new bike, an electric bike, small electric vehicles (not cars) etc, up to EUR 500 per person.</t>
  </si>
  <si>
    <t>Art 229 of Decreto Rilancio (aka Law-Decree 19 May 2020, n. 34 - http://www.governo.it/it/dl-rilancio)</t>
  </si>
  <si>
    <t>ITA6</t>
  </si>
  <si>
    <t>In order to favor the decongestion of traffic in the urban areas by reducing the use of the private vehicles, businesses and public administrations listed in article 1, paragraph 2, of the legislative decree 30 March 2001, n.165, with single local units with more than 100 employees located in a regional capital, in a metropolitan city, in a provincial capital or in a municipality with a population of more than 50,000 inhabitants are required to adopt by December 31 of every year, a plan of home-work travel of one's own employees aimed at reducing the use of the vehicle individual private transport by appointing a mobility manager. The
Mobility Manager promotes, also collaborating in the adoption of the plan of sustainable mobility, the realization of interventions of organization and management of the demand for mobility in order to allow structural and permanent reduction of the environmental impact deriving from vehicular traffic in the  urban and metropolitan areas through the implementation of interventions of sustainable mobility.</t>
  </si>
  <si>
    <t>ITA7</t>
  </si>
  <si>
    <t>EUR 100 mn (unclear)</t>
  </si>
  <si>
    <t>Incentives for the technological innovation in areas of energy efficiency and renewable energies</t>
  </si>
  <si>
    <t>Art 42-bis of Decreto Rilancio (July update) (aka Law-Decree 19 May 2020, n. 34 - http://www.governo.it/it/dl-rilancio)</t>
  </si>
  <si>
    <t>ITA 8</t>
  </si>
  <si>
    <t>EUR 500 mn</t>
  </si>
  <si>
    <t xml:space="preserve">The purchase of a seasonal public transport pass by commuter travellers is reimboursed.The reimbourseent will take place as either (a) a voucher that can be used within one year of issue; or (b) the estention of the duration of the pass for a period that corresponds to that during which it was not possible to use it. </t>
  </si>
  <si>
    <t>Art 200 of Decreto Rilancio (aka Law-Decree 19 May 2020, n. 34 - http://www.governo.it/it/dl-rilancio)</t>
  </si>
  <si>
    <t>ITA9</t>
  </si>
  <si>
    <t>Measure potentially detrimental for the environment: The so-called "safeguard clauses" which provide for automatic increases in the rates of value added tax and those relating to excise duty on certain fuel products are definitively abolished, starting from 1 January 2021.</t>
  </si>
  <si>
    <t>Art 123 of Decreto Rilancio (aka Law-Decree 19 May 2020, n. 34 - http://www.governo.it/it/dl-rilancio)</t>
  </si>
  <si>
    <t>ITA10</t>
  </si>
  <si>
    <t xml:space="preserve">Increase in state incentives for those who buy and register low-carbon cars </t>
  </si>
  <si>
    <t>Art 74 of Decreto Agosto (aka Law-Decree 14 August 2020, n. 104) https://www.gazzettaufficiale.it/eli/id/2020/08/14/20G00122/sg</t>
  </si>
  <si>
    <t>https://www.idealista.it/news/finanza/economia/2020/10/21/151392-ecoincentivi-auto-le-misure-del-decreto-agosto-2020-in-gazzetta-ufficiale#:~:text=L'articolo%2074%20del%20decreto,euro%20per%20l'anno%202020.</t>
  </si>
  <si>
    <t>ITA 11</t>
  </si>
  <si>
    <t>Fund for the financing of public works for the implementation of energy efficiency measures, including the efficiency of public lighting, energy saving of public buildings, installation of energy production systems from renewable sources and sustainable territorial development including sustainable mobility.</t>
  </si>
  <si>
    <t>Art 30 of Decreto Crescita (Law-Decree 30 April 2019, n. 34) -- period of implementation of the measure extended to October 31 2020 by the Decreto Rilancio)</t>
  </si>
  <si>
    <t>https://www.mise.gov.it/index.php/it/incentivi/energia/comuni-progetti-di-efficientamento-energetico-e-sviluppo-territoriale</t>
  </si>
  <si>
    <t>ITA 12</t>
  </si>
  <si>
    <t>3000000000 EUR</t>
  </si>
  <si>
    <t>Alitalia (national carrier) nationalisation</t>
  </si>
  <si>
    <t>http://www.governo.it/sites/new.governo.it/files/DL_20200520.pdf _x000D_
Accessed 13 May 2020</t>
  </si>
  <si>
    <t>https://www.reuters.com/article/us-italy-alitalia-minister/italy-to-inject-3-billion-euros-in-new-alitalia-industry-minister-idUSKBN22J19P_x000D_
Accessed 13 May 2020</t>
  </si>
  <si>
    <t>ITA 13</t>
  </si>
  <si>
    <t xml:space="preserve">This measure is an economic incentive of up to 2,000 euros for those who scrap their old car and buy a new one instead. </t>
  </si>
  <si>
    <t>https://www.innovationpost.it/wp-content/uploads/2020/07/Ultimi-Emendamenti-approvati-DL-Rilancio.pdf 7 July 2020</t>
  </si>
  <si>
    <t>ITA 14</t>
  </si>
  <si>
    <t>Alitalia has undergone 3 failed restructuring attempts and has not been doing well financially, even before C-19. The objective of the nationalisation is to also protect jobs and the aim is to also focus on long haul flights.</t>
  </si>
  <si>
    <t xml:space="preserve">http://www.governo.it/sites/new.governo.it/files/DL_20200520.pdf </t>
  </si>
  <si>
    <t>ITA 15</t>
  </si>
  <si>
    <t>EUR 1.5 billion</t>
  </si>
  <si>
    <t>M1C3. I4.2 Construction of new waste management plants and modernization of existing plants: Investments aimed at improving the urban waste separate collection network, constructing new treatment / recycling plants for organic, multi-material, glass, paper packaging.</t>
  </si>
  <si>
    <t>National Recovery and Resilience Plan - https://www.governo.it/sites/governo.it/files/PNRR.pdf</t>
  </si>
  <si>
    <t>ITA 16</t>
  </si>
  <si>
    <t>EUR 0.60 billion</t>
  </si>
  <si>
    <t>Circular economy “flagship” projects: the measure intends to strengthen the waste collection network and treatment / recycling plants, contributing to the achievement of the following targets of: 55 percent recycling of waste electrical and electronic equipment (WEEE); 85 percent of recycling in the paper and cardboard industry; 65 percent of plastic waste recycling</t>
  </si>
  <si>
    <t>ITA17</t>
  </si>
  <si>
    <t>EUR 2 billion</t>
  </si>
  <si>
    <t>Logistic development for the agri-food, fishing and aquaculture, forestry, floriculture and nursery sectors: the logistics plan aims to improve sustainability by: i) reducing the environmental impact of the transport system in the agri-food sector, by intervening on traffic in the most congested areas; ii) improvement of the storage capacity of raw materials, in order to preserve the differentiation of products for quality, sustainability, traceability and production characteristics; iii) strengthening the export capacity of Italian food SMEs; iv) improving accessibility to freight villages and hub services, and the logistical capacity of wholesale markets; v) digitalization of logistics; vi) guarantee of product traceability; vii) Reduction of food waste.</t>
  </si>
  <si>
    <t>ITA18</t>
  </si>
  <si>
    <t>Parco Agrisolare: the project aims to incentivize the installation of solar energy panels on a total area without land consumption of 4.3 million square meters, with an installed power of approximately 0.43GW, at the same time carrying out a redevelopment of the production structures subject to intervention, with the removal of asbestos on the roofs, where present, and / or the improvement of insulation and ventilation.</t>
  </si>
  <si>
    <t>ITA19</t>
  </si>
  <si>
    <t>EUR 0.50 billion</t>
  </si>
  <si>
    <t>Innovation and mechanization in the agricultural and food sector: The project aims to support the modernization of agricultural machinery that allows the introduction of precision farming techniques (e.g. reduction of the use of pesticides by 25-40 percent depending on the application cases) and the use of agricultural technologies. 4.0, as well as the modernization of the vehicle fleet to reduce emissoins. Furthermore, with a view to circular economy, the investment includes the modernization of the processing, storage and packaging of food products, with the aim of improving the sustainability of the production process, reducing / eliminating the generation of waste, promoting reuse for energetic.</t>
  </si>
  <si>
    <t>ITA20</t>
  </si>
  <si>
    <t>EUR 0.20 billion</t>
  </si>
  <si>
    <t>Green islands: The investments will be concentrated on 19 small islands, which will act as a "laboratory" for the development of "100 percent green" and self-sufficient models. The interventions, specific for each island, will affect the electricity grid and the related infrastructures to guarantee the continuity and security of supplies and facilitate the integration of renewable sources, but will proceed according to an integrated logic of efficient resource management. Examples are the optimization of separate waste collection, plants for the production of electricity from renewable sources, storage devices, smart grids, innovative consumption management and monitoring systems, integration of the electricity system with the island's water system, desalination systems, construction or adaptation of cycle paths and sustainable mobility services / infrastructures.</t>
  </si>
  <si>
    <t>ITA21</t>
  </si>
  <si>
    <t>EUR 0.14 billion</t>
  </si>
  <si>
    <t>Green communities: The project intends to support the sustainable and resilient development of rural and mountain areas that intend to exploit in a balanced way the main resources they have, including, first of all, water, woods and landscape, starting a new subsidiary and exchange relationship with the urban and metropolitan communities</t>
  </si>
  <si>
    <t>ITA22</t>
  </si>
  <si>
    <t>EUR 0.03 billion</t>
  </si>
  <si>
    <t>Culture and awareness of environmental issues and challenges: This investment aims to contribute to the achievement of three priority objectives: i) to increase the level of awareness on the scenarios of climate change and its consequences; ii) educate about the options available for adopting more sustainable lifestyles and consumption at the level of individuals, families and communities; iii) promote the adoption of virtuous behavior, including at the community level (e.g. by involving teachers, families, local stakeholders).</t>
  </si>
  <si>
    <t>ITA23</t>
  </si>
  <si>
    <t>EUR 1.10 billion</t>
  </si>
  <si>
    <t>The investment measure specifically provides for: i) implementation of hybrid agricultural energy production systems that do not compromise the use of land dedicated to agriculture, but contribute to the environmental and economic sustainability of the companies involved, also potentially enhancing the water basins through floating solutions ; ii) monitoring of the achievements and their effectiveness, with the collection of data both on photovoltaic systems and on production and underlying agricultural activity, in order to evaluate the microclimate, water saving, recovery of soil fertility, resilience to changes climatic conditions and agricultural productivity for different types of crops.</t>
  </si>
  <si>
    <t>ITA24</t>
  </si>
  <si>
    <t>EUR 2.20 billion</t>
  </si>
  <si>
    <t>Renewable promotion for energy communities and self-consumption:this investment aims to ensure the necessary resources to install approximately 2,000 MW of new electricity generation capacity in distributed configuration by renewable energy communities and self-consumers of renewable energy acting jointly.</t>
  </si>
  <si>
    <t>ITA25</t>
  </si>
  <si>
    <t>EUR 0.68 billion</t>
  </si>
  <si>
    <t>Promotion of innovative plants (including off-shore): The aim of the project is to support the construction of offshore renewable energy generation systems, which combine technologies with high development potential with more experimental technologies</t>
  </si>
  <si>
    <t>ITA26</t>
  </si>
  <si>
    <t>EUR 1.92 billion</t>
  </si>
  <si>
    <t>Biomethane development: The investment line aims to: i) convert and improve the efficiency of existing agricultural biogas plants towards the total or partial production of biomethane to be used both in the industrial and residential heating and cooling sector and in the tertiary and commercial sectors. transport; ii) support the construction of new plants for the production of biomethane (through a contribution
40 percent of the investment), always with the same destinations; iii) promote the diffusion of ecological practices in the biogas production phase (minimum soil processing sites, systems
low-emission innovative products for the distribution of digestate) to reduce the use of synthetic fertilizers and increase the supply of organic matter in soils, and create consortium poles for the centralized treatment of digestates and effluents with the production of fertilizers of organic origin; iv) promoting the replacement of obsolete and low-efficiency mechanical vehicles with methane / biomethane powered vehicles; v) improve the efficiency in terms of use of heat and reduction of emissions of existing small-scale agricultural plants for which it is not possible to access the conversion.</t>
  </si>
  <si>
    <t>ITA27</t>
  </si>
  <si>
    <t>M2C2 - R1.1  Simplification of authorization procedures for onshore and offshore renewable plants, new legal framework to support production from renewable sources and extension of the timing and eligibility of current support schemes</t>
  </si>
  <si>
    <t>ITA28</t>
  </si>
  <si>
    <t>M2C2 - R1.2 New legislation for the promotion of the production and consumption of renewable gas</t>
  </si>
  <si>
    <t>ITA29</t>
  </si>
  <si>
    <t>EUR 3.61 billion</t>
  </si>
  <si>
    <t>Smart grid reinforcement: The intervention is  aimed at increasing the degree of reliability, safety and flexibility of the national energy system, increasing the amount of energy produced from RES fed into the distribution network and promoting greater electrification of consumption.</t>
  </si>
  <si>
    <t>ITA30</t>
  </si>
  <si>
    <t>Interventions on the  resilience of networks: The initiative aims to increase the resilience of the electricity system, with a reduction in both the probability and duration and extent of power outages in the event of stress deriving from extreme climatic phenomena. The investment is specifically aimed at improving the resilience of the approximately 4,000km network.</t>
  </si>
  <si>
    <t>ITA31</t>
  </si>
  <si>
    <t>Production in abandoned industrial areas: The project aims to promote the local production and use of hydrogen in industry and local transport, with the creation of the so-called hydrogen valleys, industrial areas with an economy in part based on hydrogen.</t>
  </si>
  <si>
    <t>ITA32</t>
  </si>
  <si>
    <t>EUR 2.00 billion</t>
  </si>
  <si>
    <t>Use of hydrogen in hard-to-abate sectors</t>
  </si>
  <si>
    <t>ITA33</t>
  </si>
  <si>
    <t>EUR 0.23 billion</t>
  </si>
  <si>
    <t>Testing of hydrogen for road transport: The intervention aims to promote the creation of hydrogen-based refueling stations and implement projects for testing hydrogen lines</t>
  </si>
  <si>
    <t>ITA34</t>
  </si>
  <si>
    <t>EUR 0.30 billion</t>
  </si>
  <si>
    <t>Testing of hydrogen for rail transport: The intervention therefore provides for the conversion to hydrogen of non-electrified railway lines in regions characterized by high traffic in terms of passengers with a strong use of trains</t>
  </si>
  <si>
    <t>ITA35</t>
  </si>
  <si>
    <t>EUR 0.16 billion</t>
  </si>
  <si>
    <t>Research and development on hydrogen: The project aims to improve knowledge of hydrogen-related technologies in all phases: production, storage and distribution</t>
  </si>
  <si>
    <t>ITA36</t>
  </si>
  <si>
    <t>M2C2 - R3.1 Administrative simplification and reduction of regulatory obstacles to the diffusion of hydrogen</t>
  </si>
  <si>
    <t>ITA37</t>
  </si>
  <si>
    <t>M2C2 - R3.2 Measures to promote the competitiveness of hydrogen: the reform provides for the establishment of: i) tax incentives to support the production of green hydrogen in consideration of its neutral environmental impact (green taxes), included in a broader project for a general revision of the taxation of energy products and inefficient subsidies to fuels fossils; ii) measures for the diffusion of green hydrogen consumption in the transport sector</t>
  </si>
  <si>
    <t>ITA38</t>
  </si>
  <si>
    <t>Strengthening of cycling mobility: The intervention aims to facilitate and further promote the growth of the sector through the creation and maintenance of cycle networks in urban, metropolitan, regional and national contexts, both for tourist or recreational purposes, and to encourage daily travel and intermodality, ensuring safety. The measure also has the objective of improving social cohesion at the national level, with 50 percent of the resources allocated to the Southern Regions.</t>
  </si>
  <si>
    <t>ITA39</t>
  </si>
  <si>
    <t>EUR 3.60 billion</t>
  </si>
  <si>
    <t>Rapid mass transport development: The measure aims at reducing the problems related to car transport by developing rapid mass transport systems that shift the demand for mobility away from private cars.</t>
  </si>
  <si>
    <t>ITA40</t>
  </si>
  <si>
    <t>EUR 0.74 billion</t>
  </si>
  <si>
    <t>Electric charging infrastructure development</t>
  </si>
  <si>
    <t>ITA41</t>
  </si>
  <si>
    <t>EUR 4.24 billion</t>
  </si>
  <si>
    <t>Renewal of bus fleets, green trains</t>
  </si>
  <si>
    <t>ITA42</t>
  </si>
  <si>
    <t>M2C2 - R4.1 Faster procedures for the evaluation of projects in the sector of local public transport systems with fixed installations and in the sector of rapid mass transport</t>
  </si>
  <si>
    <t>ITA43</t>
  </si>
  <si>
    <t>EUR 1.00 billion</t>
  </si>
  <si>
    <t>Renewables and batteries: the intervention is aimed at strengthening the supply chains in Italy in the photovoltaic, wind, batteries for the transport sector and for the electricity sector</t>
  </si>
  <si>
    <t>ITA44</t>
  </si>
  <si>
    <t>EUR 0.45 billion</t>
  </si>
  <si>
    <t>Hydrogen: To develop the hydrogen market, the installation in Italy of approximately 5 GW of electrolysis capacity is expected by 2030. Furthermore, the development of further technologies necessary to support the final use of hydrogen (eg. fuel for trucks).</t>
  </si>
  <si>
    <t>ITA45</t>
  </si>
  <si>
    <t>Electric buses: The intervention  aimed at spreading and promoting the technological transformation of the supply chain linked to bus production in Italy, with the main objectives of expanding production capacity and improving the environmental impact.</t>
  </si>
  <si>
    <t>ITA46</t>
  </si>
  <si>
    <t>EUR 0.25 billion</t>
  </si>
  <si>
    <t>Support for start-ups and venture capitalists active in the ecological transition</t>
  </si>
  <si>
    <t>ITA47</t>
  </si>
  <si>
    <t>EUR .32(40% of EUR 0.80 billion )</t>
  </si>
  <si>
    <t>Plan for the replacement of school buildings and energy requalification: This line of investment focuses on the progressive replacement of part of the obsolete school building stock with the aim of creating modern and sustainable structures to favor: i) the reduction of consumption and polluting emissions, ii) the increase of the seismic safety of buildings and the development of green areas, iii) the design of school environments through the involvement of all those involved with the aim of positively influencing the teaching and learning of teachers and students, iv) the sustainable development of the territory and services aimed at enhancing the community.</t>
  </si>
  <si>
    <t>ITA48</t>
  </si>
  <si>
    <t>EUR 0.41 billion</t>
  </si>
  <si>
    <t>Efficiency of the judicial buildings</t>
  </si>
  <si>
    <t>ITA49</t>
  </si>
  <si>
    <t>Simplification and acceleration of procedures for carrying out interventions for energy efficiency</t>
  </si>
  <si>
    <t>ITA50</t>
  </si>
  <si>
    <t>EUR 18.67 billion</t>
  </si>
  <si>
    <t>Ecobonus and Sismabonus up to 110 percent for energy efficiency and building safety</t>
  </si>
  <si>
    <t>ITA51</t>
  </si>
  <si>
    <t>Development of district heating systems</t>
  </si>
  <si>
    <t>ITA52</t>
  </si>
  <si>
    <t>The investment is aimed at developing a monitoring system that makes it possible to identify and predict risks on the territory, as a consequence of climate change and inadequate territorial planning. The use of advanced technologies will allow remote control of large territorial areas, with consequent optimization of the allocation of resources. The monitoring data will form the basis for the development of risk prevention plans, including for existing infrastructures, and adaptation to climate change. The tool will also make it possible to combat illegal waste disposal phenomena and to identify accumulations, identifying their characteristics, for the consequent removal interventions.</t>
  </si>
  <si>
    <t>ITA53</t>
  </si>
  <si>
    <t>EUR 2.49 billion</t>
  </si>
  <si>
    <t>Measures for flood risk management and hydrogeological risk reduction</t>
  </si>
  <si>
    <t>ITA54</t>
  </si>
  <si>
    <t>EUR 6 billion</t>
  </si>
  <si>
    <t>Interventions for the resilience, the enhancement of the territory and the energy efficiency of the Municipalities</t>
  </si>
  <si>
    <t>ITA55</t>
  </si>
  <si>
    <t>Simplification and acceleration of procedures for the implementation of interventions against hydrogeological instability</t>
  </si>
  <si>
    <t>ITA56</t>
  </si>
  <si>
    <t>EUR 0.33 billion</t>
  </si>
  <si>
    <t>Protection and enhancement of urban and extra-urban green areas</t>
  </si>
  <si>
    <t>ITA57</t>
  </si>
  <si>
    <t>EUR 0.10 billion</t>
  </si>
  <si>
    <t>Digitization of national parks</t>
  </si>
  <si>
    <t>ITA58</t>
  </si>
  <si>
    <t>EUR 0.36 billion</t>
  </si>
  <si>
    <t>Renaturation of the Po area: The project consists of the redevelopment of the river Po with the aim of balancing the active morphological processes, to ensure the renaturation of the river</t>
  </si>
  <si>
    <t>ITA59</t>
  </si>
  <si>
    <t>Reclamation of orphan sites: The aim of this intervention is to give the land a second use, favoring its reintegration into the real estate market, reducing the environmental impact and promoting the circular economy.</t>
  </si>
  <si>
    <t>ITA60</t>
  </si>
  <si>
    <t>EUR 0.40 billion</t>
  </si>
  <si>
    <t>Restoration and protection of the seabed and marine habitats</t>
  </si>
  <si>
    <t>ITA61</t>
  </si>
  <si>
    <t>Adoption of national air pollution control programs: The reform aims to align national and regional legislation, and to introduce related accompanying measures for the reduction of emissions of atmospheric pollutants</t>
  </si>
  <si>
    <t>ITA62</t>
  </si>
  <si>
    <t>M2C4 - 4.1 Investments in primary water infrastructure for the security of water supply</t>
  </si>
  <si>
    <t>ITA63</t>
  </si>
  <si>
    <t>EUR 0.90 billion</t>
  </si>
  <si>
    <t>M2C4 - 42.Reduction of losses in water distribution networks, including digitization and monitoring of networks</t>
  </si>
  <si>
    <t>ITA64</t>
  </si>
  <si>
    <t>EUR 0.88 billion</t>
  </si>
  <si>
    <t>M2C4 - 4.3Investments in the resilience of the irrigation agrosystem for a better management of water resources</t>
  </si>
  <si>
    <t>ITA65</t>
  </si>
  <si>
    <t>M2C4 - 4.4Investments in sewerage and purification</t>
  </si>
  <si>
    <t>ITA66</t>
  </si>
  <si>
    <t>M2C4 -  4.1 Simplification of legislation and strengthening of governance for the realization of investments in water supply infrastructures</t>
  </si>
  <si>
    <t>ITA67</t>
  </si>
  <si>
    <t>M2C4 - 4.2 Measures to ensure full management capacity for integrated water services</t>
  </si>
  <si>
    <t>ITA68</t>
  </si>
  <si>
    <t>EUR 26.52</t>
  </si>
  <si>
    <t>M3C1 railways investment</t>
  </si>
  <si>
    <t>ITA69</t>
  </si>
  <si>
    <t>EUR 0.80 billion</t>
  </si>
  <si>
    <t>Naval fleet renewal</t>
  </si>
  <si>
    <t>Fondo Complementare - https://www.governo.it/sites/governo.it/files/PNRR_InvestimentiProgrammazioneComplementare.pdf</t>
  </si>
  <si>
    <t>ITA70</t>
  </si>
  <si>
    <t>National network for health, environment and climate</t>
  </si>
  <si>
    <t>ITA71</t>
  </si>
  <si>
    <t>Resources under the "fondo complementare"for mission 2</t>
  </si>
  <si>
    <t>https://www.governo.it/sites/governo.it/files/PNRR_InvestimentiProgrammazioneComplementare.pdf // http://documenti.camera.it/leg18/dossier/pdf/VQ3166.pdf?_1627114854622</t>
  </si>
  <si>
    <t>ITA72</t>
  </si>
  <si>
    <t>EUR .27 billion</t>
  </si>
  <si>
    <t>m3c2 - 1.1 green ports</t>
  </si>
  <si>
    <t>water bonus: grant/loan – establishing a water saving fund with an allocation of EUR20mil for the replacement in 2021 of water implements in buildings and apartments (taps, toilets etc.) to reduce water consumption</t>
  </si>
  <si>
    <t xml:space="preserve">(budget) law of 30 December 2020, Nr. 178, Art. 1, commas 61-65, </t>
  </si>
  <si>
    <t>ITA73</t>
  </si>
  <si>
    <t>Creation of the Minister for the Ecological Transition</t>
  </si>
  <si>
    <t xml:space="preserve"> DECREE-LAW 1 March 2021, n. 22Urgent provisions on the reorganization of the responsibilities of ministries. (21G00028) (OJ No. 51 of 1-3-2021)
 LEGGE 22 aprile 2021, n. 55Conversion into law, with amendments, of decree-law 1 March 2021, n. 22, containing urgent provisions on the reorganization of the powers of the Ministries. (21G00065) (OJ No 102 of 29-4-2021)
 DECRETO-LEGGE 23 giugno 2021, n. 92Urgent measures for the strengthening of the Ministry of Ecological Transition and in the field of sport. (21G00108) (OJ No 148 of 23-6-2021)
</t>
  </si>
  <si>
    <t>JPN1</t>
  </si>
  <si>
    <t>JPY 5 billion</t>
  </si>
  <si>
    <t xml:space="preserve">Support the installation of self-consumption, on-site solar power generation facilities through PPA. 
Also includes support for supply chain reform and domestic investment in production bases. </t>
  </si>
  <si>
    <t>https://www.env.go.jp/guide/budget/r02/r0204-hos-gaiyo/005.pdf; https://www5.cao.go.jp/keizai1/keizaitaisaku/2020/20200420_economic_measures_all.pdf</t>
  </si>
  <si>
    <t>JPY</t>
  </si>
  <si>
    <t>JPN3</t>
  </si>
  <si>
    <t>JPY 2 trillion</t>
  </si>
  <si>
    <t>Measures to promote a green society - 2 trillion-yen fund to support innovative technology developments which contribute to achieving 2050 carbon neutral target</t>
  </si>
  <si>
    <t>https://www.meti.go.jp/english/press/2021/0312_002.html
; https://www5.cao.go.jp/keizai1/keizaitaisaku/2020-2/20201208_economic_measures.pdf, https://www.mof.go.jp/english/policy/budget/budget/fy2020/05.pdf</t>
  </si>
  <si>
    <t>https://english.kyodonews.net/news/2020/12/8a909b0c27bb-urgent-japan-to-compile-73-tril-yen-new-stimulus-package.html</t>
  </si>
  <si>
    <t>JPN4</t>
  </si>
  <si>
    <t>unquantified</t>
  </si>
  <si>
    <t>Addressing infectious medical waste</t>
  </si>
  <si>
    <t>https://www.env.go.jp/saigai/novel_coronavirus_2020.html</t>
  </si>
  <si>
    <t>http://www.env.go.jp/saigai/novel_coronavirus_2020/COVID-19_0727QA_en.pdf</t>
  </si>
  <si>
    <t>JPN5</t>
  </si>
  <si>
    <t>JAXA, ESA, and NASA cooperation for development and operation of Earth observing dashboard on COVID-19</t>
  </si>
  <si>
    <t>https://eodashboard.org/</t>
  </si>
  <si>
    <t>JPN6</t>
  </si>
  <si>
    <t>Promoting dissemination of electric vehicles and fuel cell vehicles.</t>
  </si>
  <si>
    <t>https://www.env.go.jp/guide/budget/r02/r02-hos_03-gaiyo/001.pd</t>
  </si>
  <si>
    <t>JPN7</t>
  </si>
  <si>
    <t>Green Growth Strategy through Achieving  Carbon Neutrality in 2050</t>
  </si>
  <si>
    <t>https://www.meti.go.jp/english/press/2020/1225_001.html</t>
  </si>
  <si>
    <t>https://www.meti.go.jp/english/press/2021/0618_002.html</t>
  </si>
  <si>
    <t>JPN8</t>
  </si>
  <si>
    <t>Addressing infectious waste</t>
  </si>
  <si>
    <t>JPN9</t>
  </si>
  <si>
    <t>JPN</t>
    <phoneticPr fontId="6"/>
  </si>
  <si>
    <t>JPY 3 billion</t>
  </si>
  <si>
    <t>Support for the introduction of high-performance ventilation equipment to reduce the risk of large-scale infection</t>
    <phoneticPr fontId="6"/>
  </si>
  <si>
    <t>http://www.env.go.jp/guide/budget/r02/r0204-hos-gaiyo/full.pdf</t>
    <phoneticPr fontId="6"/>
  </si>
  <si>
    <t>JPN10</t>
  </si>
  <si>
    <t>Promotion of integrated hazards assessment research</t>
    <phoneticPr fontId="6"/>
  </si>
  <si>
    <t>http://www.jamstec.go.jp/tougou/eng/research/theme_d.html</t>
    <phoneticPr fontId="6"/>
  </si>
  <si>
    <t>JPN11</t>
  </si>
  <si>
    <t>unquantified</t>
    <phoneticPr fontId="6"/>
  </si>
  <si>
    <t>Attracting customers to national parks and promoting 'workations' in National Parks and hot springs.</t>
  </si>
  <si>
    <t>https://www5.cao.go.jp/keizai1/keizaitaisaku/2020/20200420_economic_measures_all.pdf</t>
  </si>
  <si>
    <t>JPN12</t>
  </si>
  <si>
    <t>Assessment Report on Climate Change Impact including infectious disiease and regular review of adaptation planning</t>
    <phoneticPr fontId="5"/>
  </si>
  <si>
    <t>https://www.env.go.jp/en/earth/cc/adaptation.html</t>
    <phoneticPr fontId="5"/>
  </si>
  <si>
    <t>JPN13</t>
  </si>
  <si>
    <t>Promoting ESG finance including "impact finance" for sustainable post COVID-19 world</t>
  </si>
  <si>
    <t>JPN14</t>
  </si>
  <si>
    <t>Promoting the Satoyama initiative for the conservation and sustainable use of local natural resources, while also practicing "local production for local consumption" and building communities.</t>
    <phoneticPr fontId="5"/>
  </si>
  <si>
    <t>https://satoyama-initiative.org/</t>
  </si>
  <si>
    <t xml:space="preserve">https://www.mof.go.jp/english/policy/budget/budget/fy2020/05.pdf </t>
  </si>
  <si>
    <t>JPN16</t>
  </si>
  <si>
    <t>JPY 175 billion</t>
  </si>
  <si>
    <t>Misc spending for 'Realizing green society' classified under 'Realizing digitalization and green society' in the theThird Supplementary Budget for FY2020</t>
  </si>
  <si>
    <t>KOR1</t>
  </si>
  <si>
    <t>07/04 announced by the Ministry of  Environment of Korea: first case benefited from the shortened period for permission/authorization of the use of toxic chemicals (the period is shortened from 75 days max to almost half)</t>
  </si>
  <si>
    <t>Ministry of Environment of Korea, 7 April:
https://www.me.go.kr/home/web/board/read.do?pagerOffset=20&amp;maxPageItems=10&amp;maxIndexPages=10&amp;searchKey=title&amp;searchValue=%EC%BD%94%EB%A1%9C%EB%82%98&amp;menuId=286&amp;orgCd=&amp;boardId=1363780&amp;boardMasterId=1&amp;boardCategoryId=&amp;decorator=
Hankook Ilbo, 8 April: "Ministry of Environment to temporarily relax standards of the 'Enforcement rule of the Act on registration, evaluation, etc. of chemicals' and the 'Toxic chemicals control Act' as economic circles called on the government"
https://www.hankookilbo.com/News/Read/202004081761027378
Seoul Newspaper, 7 April: "Korea to relax environmental regulation in light of the COVID-19 outbreak...charge reduction period to be extended" - 'Act on the promotion of saving and recycling of resources' was partially revised (Temporary waste charge reduction for small and medium enterprises producing plastics to be extended into 2021) and scheduled to take effect on14 April 2020, following the announcement on the same day
http://www.seoul.co.kr/news/newsView.php?id=20200407500105</t>
  </si>
  <si>
    <t>KOR2</t>
  </si>
  <si>
    <t xml:space="preserve">KRW 163.4 billion </t>
  </si>
  <si>
    <t>12/04 announced by the Ministry of  Environment of Korea: Korea to stabilise the recycling industry as a preemptive response to  COVID-19 / Korea to promote the early execution of the upbringing funds for recycling incustry in the light of COVID-19 (KRW 98.4 billion to be executed until the second quarter out of KRW 163.4 billion for the year)</t>
  </si>
  <si>
    <t>Ministry of Environment of Korea, 12 April:
https://www.me.go.kr/home/web/board/read.do?pagerOffset=10&amp;maxPageItems=10&amp;maxIndexPages=10&amp;searchKey=title&amp;searchValue=%EC%BD%94%EB%A1%9C%EB%82%98&amp;menuId=286&amp;orgCd=&amp;boardId=1364490&amp;boardMasterId=1&amp;boardCategoryId=&amp;decorator=</t>
  </si>
  <si>
    <t>KRW</t>
  </si>
  <si>
    <t>KOR3</t>
  </si>
  <si>
    <t xml:space="preserve">22/04 announced by the Ministry of Environment of Korea: 
Korea to relax environmental regulation in the crisis of COVID-19 
- Prolongation of the deadline to collect environmental charges: from 3 months to 3 years depending on the charges - this includes waste disposal charge, air &amp; water pollution charge, recycling charge and waste charge. </t>
  </si>
  <si>
    <t xml:space="preserve">
Ministry of Environment of Korea, 22 April:
https://www.me.go.kr/home/web/board/read.do?pagerOffset=10&amp;maxPageItems=10&amp;maxIndexPages=10&amp;searchKey=title&amp;searchValue=%EC%BD%94%EB%A1%9C%EB%82%98&amp;menuId=286&amp;orgCd=&amp;boardId=1366820&amp;boardMasterId=1&amp;boardCategoryId=&amp;decorator=
Seoul Newspaper, 22 April:  https://www.seoul.co.kr/news/newsView.php?id=20200422500115&amp;wlog_tag3=naver
E-daily, 22 April:
https://www.edaily.co.kr/news/read?newsId=02817526625738744&amp;mediaCodeNo=257&amp;OutLnkChk=Y</t>
  </si>
  <si>
    <t>KOR4</t>
  </si>
  <si>
    <t xml:space="preserve">22/04 announced by the Ministry of Environment of Korea: 
Korea to relax environmental regulation in the crisis of COVID-19 
- Companies/individuals can apply for/benefit from deferment of collection of the environmental charges and making payment by instalments. If they are located in the special disaster zone including Daegu, Kyungbook, Kyungsan, Chung-do and Bonwha, they can take advantage of this with no proof documents. If they are not located in the zone, they need to present the evidence of damage from the COVID-19.  </t>
  </si>
  <si>
    <t>KOR5</t>
  </si>
  <si>
    <t>22/04 announced by K-water Research Institute under the Ministry of Environment of Korea: 
Charges for the use of dam water and multiregional water supply to be lowered in the light of COVID-19 crisis (for individuals,small-business owners and SMEs)</t>
  </si>
  <si>
    <t>Ministry of Environment of Korea, 22 April:
https://www.me.go.kr/home/web/board/read.do?pagerOffset=10&amp;maxPageItems=10&amp;maxIndexPages=10&amp;searchKey=title&amp;searchValue=%EC%BD%94%EB%A1%9C%EB%82%98&amp;menuId=286&amp;orgCd=&amp;boardId=1366840&amp;boardMasterId=1&amp;boardCategoryId=&amp;decorator=</t>
  </si>
  <si>
    <t>KOR6</t>
  </si>
  <si>
    <t>KRW 11.2 billion</t>
  </si>
  <si>
    <t xml:space="preserve">13/05 announced by the Ministry of Environment of Korea: Support project for the small and medium sized environment enterprises to be expanded in response to COVID-19 - the support fund more than doubled in size, from KRW 4.8 billion last year to KRW 11.2 billion </t>
  </si>
  <si>
    <t>Ministry of Environment of Korea, 13 May:
https://www.me.go.kr/home/web/board/read.do?pagerOffset=10&amp;maxPageItems=10&amp;maxIndexPages=10&amp;searchKey=title&amp;searchValue=%EC%BD%94%EB%A1%9C%EB%82%98&amp;menuId=286&amp;orgCd=&amp;boardId=1370870&amp;boardMasterId=1&amp;boardCategoryId=&amp;decorator=</t>
  </si>
  <si>
    <t>KOR8</t>
  </si>
  <si>
    <t>KRW 4.8 trillion</t>
  </si>
  <si>
    <t xml:space="preserve">K-new deal (component 1 of Green New Deal - Pursue carbon neutrality).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Investments under component 1 aim at building an emissions measurement system and creating a carbon
reduction program for industries, additionally further projects to effectively support the transition to a low-carbon economy are included
</t>
  </si>
  <si>
    <t>https://english.moef.go.kr/pc/selectTbPressCenterDtl.do?boardCd=N0001&amp;seq=5173</t>
  </si>
  <si>
    <t>KOR9</t>
  </si>
  <si>
    <t>KRW 16 trillion</t>
  </si>
  <si>
    <t>K-new deal (component 2 of Green New Deal - green transition of infrastructure).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2: 
- Turning public facilities into zero energy buildings                                                                                                                                                                                                                                 
- Restoring the terrestrial, marine and  urban ecosystems
-  Building a management system for  clean and safe water</t>
  </si>
  <si>
    <t>Korea's New Deal - https://covantai.blogspot.com/2020/08/south-korea-government-releases-english.html</t>
  </si>
  <si>
    <t>KOR10</t>
  </si>
  <si>
    <t>KRW 30 trillion</t>
  </si>
  <si>
    <t>K-new deal (component 3 of Green New Deal - Low carbon and decentralized energy).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3: 
- Buildings a smart grid for more efficient energy management                                                                                                                                                                                                                          
- Promoting renewable energy use and supporting a fair transition
- Expanding the supply of electric and hydrogen vehicles</t>
  </si>
  <si>
    <t>KOR11</t>
  </si>
  <si>
    <t>KRW 10.2 trillion</t>
  </si>
  <si>
    <t>K-new deal (component 4 of Green New Deal - Innovation in the green industry).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4: 
- Promoting prospective business to lead the green industry                                                                                                                                                                                                                         
- Laying the foundation for green innovation via the R&amp;D and financial sectors</t>
  </si>
  <si>
    <t>KOR12</t>
  </si>
  <si>
    <t>KRW 40 trillion</t>
  </si>
  <si>
    <t>Key Industry Support Fund - allocated to aviation and shipping</t>
  </si>
  <si>
    <t>http://www.businesskorea.co.kr/news/articleView.html?idxno=45666</t>
  </si>
  <si>
    <t>KOR13</t>
  </si>
  <si>
    <t>KRW 2.9 trillion</t>
  </si>
  <si>
    <t>Bailout for the Airline Companies (Korean Air &amp;#038; Asiana)</t>
  </si>
  <si>
    <t>https://asia.nikkei.com/Business/Transportation/Virus-hit-Korean-Air-and-Asiana-offered-2bn-bailout Accessed 7 July 2020</t>
  </si>
  <si>
    <t>KOR14</t>
  </si>
  <si>
    <t>KRW 3 trillion</t>
  </si>
  <si>
    <t>Bailout of Doosan Heavy Industries &amp;#038; Construction Co</t>
  </si>
  <si>
    <t>https://www.koreaexim.go.kr/site/program/board/basicboard/view?boardtypeid=284&amp;boardid=62860&amp;menuid=002001007  Accessed 7 July 2020</t>
  </si>
  <si>
    <t>KOR17</t>
  </si>
  <si>
    <t>Submission of registration documents is partially omitted for chemical substances that require stable supply chain management due to COVID-19 /                                                                                                                                                                                          Among new chemical substances whose annual manufacturing and import volume is 100 kg or more and less than 1 ton, for substances requiring supply chain stabilization due to COVID-19, data related to physicochemical properties and harmfulness among documents that must be submitted for temporary registration by December 31, 2021 Some of it was omitted
※ Data that can be omitted: ① Data related to physical and chemical properties and hazards, ② Data related to risk, ③ Guidelines for safe use, ④ Exposure information related to use, etc. (Enforcement Rule of the Peace and Peace Act Article 5 (2) 1)</t>
  </si>
  <si>
    <t>http://me.go.kr/home/web/board/read.do?pagerOffset=10&amp;maxPageItems=10&amp;maxIndexPages=10&amp;searchKey=title&amp;searchValue=%EC%BD%94%EB%A1%9C%EB%82%98&amp;menuId=286&amp;orgCd=&amp;boardId=1383130&amp;boardMasterId=1&amp;boardCategoryId=&amp;decorator=</t>
  </si>
  <si>
    <t>KOR18</t>
  </si>
  <si>
    <t>Deliberate and finalize measures to improve the management system for imported wild animals /                                          1) Establish a system to track and manage wild animals imported from abroad                                                             2) Quarantine of wild animals and inspection of wild animals at the customs clearance stage through collaboration between ministries                                                           3) Establish hygiene and disease control standards for each size of wildlife exhibition and experience facilities                      4) Added 'infectious disease transmission risk' item to wild animal risk assessment and strengthened the cross-ministerial zoonotic infectious disease monitoring system</t>
  </si>
  <si>
    <t>http://me.go.kr/home/web/board/read.do?pagerOffset=10&amp;maxPageItems=10&amp;maxIndexPages=10&amp;searchKey=title&amp;searchValue=%EC%BD%94%EB%A1%9C%EB%82%98&amp;menuId=286&amp;orgCd=&amp;boardId=1375640&amp;boardMasterId=1&amp;boardCategoryId=&amp;decorator=</t>
  </si>
  <si>
    <t>KOR15</t>
  </si>
  <si>
    <t xml:space="preserve">1. Plans to revise the sub-laws of the 'Waste Management Act' within this year so that petrochemical companies can recycle petroleum products such as naphtha and diesel by replacing crude oil through pyrolysis of waste plastics 2. Realize a circular economy and carbon neutrality by 2050 by increasing the proportion of waste plastic pyrolysis treatment from the current 0.1% to 10% by 2030 </t>
  </si>
  <si>
    <t>http://me.go.kr/home/web/board/read.do?boardMasterId=1&amp;boardId=1460570&amp;menuId=286</t>
  </si>
  <si>
    <t>KOR16</t>
  </si>
  <si>
    <t>4.8 billion</t>
  </si>
  <si>
    <t>Support loss costs to medical waste collection and transport companies, and safety equipment to collection and transport companies and disposal companies</t>
  </si>
  <si>
    <t>http://me.go.kr/home/web/board/read.do?pagerOffset=0&amp;maxPageItems=10&amp;maxIndexPages=10&amp;searchKey=title&amp;searchValue=%EC%BD%94%EB%A1%9C%EB%82%98&amp;menuId=286&amp;orgCd=&amp;boardId=1432500&amp;boardMasterId=1&amp;boardCategoryId=&amp;decorator=</t>
  </si>
  <si>
    <t>KOR19</t>
  </si>
  <si>
    <t>50 million</t>
  </si>
  <si>
    <t>Finding ways to vitalize environmental education for children after the Corona era</t>
  </si>
  <si>
    <t>http://www.me.go.kr/home/web/board/read.do?menuId=290&amp;boardMasterId=39&amp;boardCategoryId=52&amp;boardId=1456430</t>
  </si>
  <si>
    <t>KOR20</t>
  </si>
  <si>
    <t>regulatory change</t>
  </si>
  <si>
    <t xml:space="preserve">Residential electricity tariffs are kept artificially low and are cross-subsidised through industrial sector tariffs. While Korea provides subsidies for domestic coal mining, it is committed to phasing out fossil-fuel subsidies. No final date has been set due to social considerations. In 2018, coal subsides amounted to USD 24 million. This includes USD 8 million paid to power plants for the use of uneconomical coal. The remaining USD 16 million was provided as a subsidy for the use of coal in domestic heating in coal mining and other remote areas. The government has increased prices of domestically produced coal and coal products every year since 2016. In April 2021, the Korean President announced that Korea will phase-out all new financing for overseas coal projects. </t>
  </si>
  <si>
    <t xml:space="preserve">Update on Recent Progress in Reform of Fossil-Fuel Subsidies </t>
  </si>
  <si>
    <t>LTU1</t>
  </si>
  <si>
    <t>EUR 18 Mio</t>
  </si>
  <si>
    <t>2.5 bn EUR fiscal package for business, of those 18 Mio for investment measures to co-finance climate change investment projects. The remainder is split in investment for health care (992 Mio) and support to SMEs (1.3 billion) but with unclear environmental implication (no detailed information available). Only the 18 Million for climate change are considered</t>
  </si>
  <si>
    <t>https://www.imf.org/en/Topics/imf-and-covid19/Policy-Responses-to-COVID-19#L</t>
  </si>
  <si>
    <t>ECO recovery tracking database</t>
  </si>
  <si>
    <t>LTU2</t>
  </si>
  <si>
    <t>1 billion euros</t>
  </si>
  <si>
    <t>additional 1 billion for businesses economic recovery</t>
  </si>
  <si>
    <t>LTU3</t>
  </si>
  <si>
    <t>5.373 billion Euro</t>
  </si>
  <si>
    <t>"DNA of the future" - Economic stimulus plan was approved, comprising 6.3 billion euros, of which 2.2 billion euros is new investment and the remainder is already planned investment that will be accelerated. The plan covers 757 € investments in human capital, 1382 Mio € in digital economy and business, 989 Mio € in innovation and research, 2056 Mio € in infrastructure and investments in climate change and energy through the end of 2021. All components, except the climate change and energy componets (excluded here, see LTU6), might have positive and negative effects on the environment; the detailed investment measures are not available</t>
  </si>
  <si>
    <t>https://www.lrt.lt/en/news-in-english/19/1179830/lithuania-unveils-eur6-3bn-dna-of-the-future-economic-stimulus-plan</t>
  </si>
  <si>
    <t>LTU4</t>
  </si>
  <si>
    <t>EUR 927 Mio</t>
  </si>
  <si>
    <t>"DNA of the future" - Economic stimulus plan; 927 Euro investments in climate change and energy, supposed to have predominantly positive environmental effects through improved energy efficiency, the promotion of renewable sources and the use of green energy in infrastructure</t>
  </si>
  <si>
    <t>LTU5</t>
  </si>
  <si>
    <t>The Bank of Lithuania has lowered its counter-cyclical capital buffer from 1 to 0 percent and has encouraged banks to be flexible and negotiate, on a case-by-case basis, loan terms with borrowers if necessary</t>
  </si>
  <si>
    <t>LTU6</t>
  </si>
  <si>
    <t>EUR 5.4 Mio</t>
  </si>
  <si>
    <t xml:space="preserve">1 Reform of the provision of long-term care services – Day Centres (installation); the environmental aspect refers to Energy efficiency renovation or energy efficiency measures regarding public infrastructure
</t>
  </si>
  <si>
    <t>National Recovery and Resilience Plan - https://eur-lex.europa.eu/legal-content/EN/TXT/?uri=CELEX%3A52021SC0162&amp;qid=1624627879387</t>
  </si>
  <si>
    <t>LTU7</t>
  </si>
  <si>
    <t>1 systematically strengthening the resilience of the health system to work in emergencies – Personal health care facilities (reconstruction); the environmental aspect refers to Energy efficiency renovation or energy efficiency measures regarding public infrastructure</t>
  </si>
  <si>
    <t>LTU8</t>
  </si>
  <si>
    <t>2 Increasing GHG absorption capacity (Adaptation to climate change measures and prevention and management of
climate related risks: others, e.g. storms and drought (including awareness raising, civil protection and disaster management systems, infrastructures and ecosystem based approaches)</t>
  </si>
  <si>
    <t>LTU9</t>
  </si>
  <si>
    <t>EUR 9.786 Mio</t>
  </si>
  <si>
    <t>2 - More sustainably produced electricity in the country - Preparatory work for the development of offshore wind power plant and related infrastructure</t>
  </si>
  <si>
    <t>LTU10</t>
  </si>
  <si>
    <t>EUR 19.322 Mio</t>
  </si>
  <si>
    <t>2 – More sustainably produced electricity in the country – Investment support for the construction of RES plants (wind power plants on land)</t>
  </si>
  <si>
    <t>LTU11</t>
  </si>
  <si>
    <t>EUR 6.44 Mio</t>
  </si>
  <si>
    <t>2 – More sustainably produced electricity in the country – construction of individual energy storage facilities</t>
  </si>
  <si>
    <t>LTU12</t>
  </si>
  <si>
    <t>EUR 103.05 Mio</t>
  </si>
  <si>
    <t>2 – More sustainably produced electricity in the country – Investment support for the construction of RES power stations (solar)</t>
  </si>
  <si>
    <t>LTU13</t>
  </si>
  <si>
    <t>2 – More sustainably produced electricity in the country – Installation of other electricity storage infrastructure</t>
  </si>
  <si>
    <t>LTU14</t>
  </si>
  <si>
    <t>EUR 3.788 Mio</t>
  </si>
  <si>
    <t>2 – More sustainably produced electricity in the country – Regional support for the construction of a 4 MW solar park in Utena County</t>
  </si>
  <si>
    <t>LTU15</t>
  </si>
  <si>
    <t xml:space="preserve">2 – Accelerating renovation of buildings and a sustainable urban environment – Organic renovation construction materials, promoting circular construction </t>
  </si>
  <si>
    <t>LTU16</t>
  </si>
  <si>
    <t xml:space="preserve">2 – Accelerating renovation of buildings and a sustainable urban environment – Pilot renovation projects </t>
  </si>
  <si>
    <t>LTU17</t>
  </si>
  <si>
    <t>EUR 3 Mio</t>
  </si>
  <si>
    <t>2 – Accelerating renovation of buildings and a sustainable urban environment – Digitalisation of renovation projects</t>
  </si>
  <si>
    <t>LTU18</t>
  </si>
  <si>
    <t>EUR 154.8 Mio</t>
  </si>
  <si>
    <t>2 – Accelerating renovation of buildings and a sustainable urban environment – State incentive for the renovation of multiapartment buildings with organic materials</t>
  </si>
  <si>
    <t>LTU19</t>
  </si>
  <si>
    <t>2 – Moving without polluting the environment – Purchase of clean vehicles</t>
  </si>
  <si>
    <t>LTU20</t>
  </si>
  <si>
    <t>EUR 72 Mio</t>
  </si>
  <si>
    <t>2 – Moving without polluting the environment – Expansion of refuelling/charging infrastructure</t>
  </si>
  <si>
    <t>LTU21</t>
  </si>
  <si>
    <t>EUR 69 Mio</t>
  </si>
  <si>
    <t>2 – Moving without polluting the environment – Investments in electric buses (M2 or M3)</t>
  </si>
  <si>
    <t>LTU22</t>
  </si>
  <si>
    <t>EUR 52 Mio</t>
  </si>
  <si>
    <t>2 – Moving without polluting the environment – Installation of recharge/charge infrastructure (public + private transport)</t>
  </si>
  <si>
    <t>LTU23</t>
  </si>
  <si>
    <t>EUR 22.21 Mio</t>
  </si>
  <si>
    <t>2 – Moving without polluting the environment – Establishment of biomethane gas production capacity</t>
  </si>
  <si>
    <t>LTU24</t>
  </si>
  <si>
    <t>EUR 8.7 Mio</t>
  </si>
  <si>
    <t>2 – Moving without polluting the environment – Installation of second generation biofuel production capacity</t>
  </si>
  <si>
    <t>LTU25</t>
  </si>
  <si>
    <t>2 – Moving without polluting the environment – Development of green hydrogen technologies and their use</t>
  </si>
  <si>
    <t>LTU26</t>
  </si>
  <si>
    <t>5 - Effective implementation of innovation policy and increased demand for innovation in the startup ecosystem and development of green innovation – Fostering the development of
green innovation (Support to environmentally friendly production processes and resource efficiency in SME)</t>
  </si>
  <si>
    <t>LTU27</t>
  </si>
  <si>
    <t xml:space="preserve">6 - A single window to pay fines - Government ICT solutions, e-services, applications valid with GHG emission reduction or energy efficiency criteria </t>
  </si>
  <si>
    <t>LTU28</t>
  </si>
  <si>
    <t>EUR 12.14 Mio</t>
  </si>
  <si>
    <t>7 – Client-centred employment support: Increasing the scope and diversity of employment support measures, contributing to the objectives of digital and green transformation and promoting the circular economy – Measures to promote entrepreneurship (green course)</t>
  </si>
  <si>
    <t>LUX1</t>
  </si>
  <si>
    <t>up to EUR 800 000 per company</t>
  </si>
  <si>
    <t>the state is encouraging companies (both SMEs and large companies) to invest in 'environmental protection projects'</t>
  </si>
  <si>
    <t>https://meco.gouvernement.lu/dam-assets/dossiers/Neistart-Letzebuerg-Tableau-Mesures.pdf</t>
  </si>
  <si>
    <t>On how much has been disbursed up to October 2020 (but not very fine-grained): https://gouvernement.lu/dam-assets/documents/actualites/2020/10-octobre/Dashboard.pdf</t>
  </si>
  <si>
    <t>LUX2</t>
  </si>
  <si>
    <t xml:space="preserve">up to 50% of consulting fees; cannot exceed 30 000 EUR per company </t>
  </si>
  <si>
    <t>Under the Neistart Lëtzebuerg stimulus package, the "Fit 4 Resilience" programme encourages companies (mid-sized and larger) to reinvent themselves with the help of strategy and management consultants. Although the measure isn't explicitly environmental, consultants must frame all of their recommendations in terms of the SDGs. In the consultant's report on the effects of COVID-19 on the company's activities, one of the aspects they are asked to cover is circular economy (in the context of a wider discussion on the company's markets, supply chain, etc)</t>
  </si>
  <si>
    <t>https://guichet.public.lu/fr/entreprises/financement-aides/coronavirus/programme-fit4-resilience.html</t>
  </si>
  <si>
    <t>LUX3</t>
  </si>
  <si>
    <t>50% increase to current support</t>
  </si>
  <si>
    <t>Increased support for individuals or non-state entities for energy efficiency improvements in renovation projects initiated between now and the end of the first trimester of 2021</t>
  </si>
  <si>
    <t>LUX4</t>
  </si>
  <si>
    <t>25% increase to current support</t>
  </si>
  <si>
    <t>Increased support for individuals and non-state entities to install heating systems based on renewable energies; same timeline as measure listed above</t>
  </si>
  <si>
    <t>LUX5</t>
  </si>
  <si>
    <t>60% increase to current support (8k EUR instead of 5k per car)</t>
  </si>
  <si>
    <t>State increasing incentives for buying electric vehicles (between now and end of third trimester 2021)</t>
  </si>
  <si>
    <t>LUX6</t>
  </si>
  <si>
    <t>Up to 600 EUR</t>
  </si>
  <si>
    <t>Similar assistance as that listed above but for electric bikes, push bikes, etc</t>
  </si>
  <si>
    <t>LUX7</t>
  </si>
  <si>
    <t>not listed</t>
  </si>
  <si>
    <t>Support for individuals to install smart charging stations for electric vehicles</t>
  </si>
  <si>
    <t>LUX8</t>
  </si>
  <si>
    <t>Temporary compensation of administrative fees for energy efficiency programmes</t>
  </si>
  <si>
    <t>LUX9</t>
  </si>
  <si>
    <t>Expansion of state aid for the installation of solar PV (30kW+) to all individuals, companies and municipalities (currently reserved for cooperatives and civil society)</t>
  </si>
  <si>
    <t>LUX10</t>
  </si>
  <si>
    <t>carbon tax currently at 20, will go up to 25 euros per tonne by 2022 and 30 euros by 2023; other measures with unclear budget allocations</t>
  </si>
  <si>
    <t>Increase of minimum carbon tax rate to 25 euros per tonne by 2022 and 30 per tonne by 2023. Expanding existing programmes for super-reduced VAT on energy efficiency renovations (minimum age of the building reduced from 20 to 10 to benefit from the programme); the threshold at which independent producers of PV solar electricity need to pay tax on it has been increased to incentivise more private generation</t>
  </si>
  <si>
    <t>https://mea.gouvernement.lu/fr/actualites.gouvernement%2Bfr%2Bactualites%2Btoutes_actualites%2Bcommuniques%2B2020%2B10-octobre%2B30-pollueur-payeur.html</t>
  </si>
  <si>
    <t>LUX11</t>
  </si>
  <si>
    <t>EUR 51.46 Mio</t>
  </si>
  <si>
    <t>1C.I1 ‘Neischmelz’ project in Dudelange, Revalorization of the former industrial wasteland "Neischmelz" in Dudelange
and progressive construction of new housing, focusing on the
energy concept of the project</t>
  </si>
  <si>
    <t>National Recovery and Resilience plan, p. 18 - https://mfin.gouvernement.lu/fr/dossiers/2021/planderelance.html</t>
  </si>
  <si>
    <t>LUX12</t>
  </si>
  <si>
    <t>2A.R1 Minimum targets: minimum percentage of vehicles with low or zero emissions among the vehicles obtained through puclic contracts, including in particular electric vehicles</t>
  </si>
  <si>
    <t>LUX13</t>
  </si>
  <si>
    <t>2A.I1 Support scheme for charging points</t>
  </si>
  <si>
    <t>LUX14</t>
  </si>
  <si>
    <t>EUR 13.63 Mio</t>
  </si>
  <si>
    <t>2B.I1 ‘Naturpakt’, Legislative, financial, technical and advisory framework to support municipalities in their intervention in favor of biodiversity</t>
  </si>
  <si>
    <t>LVA1</t>
  </si>
  <si>
    <t>Rail Baltica: additional EU funding for large-scale infra project connecting the rail networks of the Baltic states with Finland (via ferry) and Poland</t>
  </si>
  <si>
    <t>https://www.mk.gov.lv/en/aktualitates/karins-more-10-billion-euros-will-be-available-latvian-economy-over-next-seven-years</t>
  </si>
  <si>
    <t>LVA2</t>
  </si>
  <si>
    <t>EUR 52 million (total - including co-financing and loans)</t>
  </si>
  <si>
    <t>"On June 29 the Government of the Republic of Latvia has supported several municipal investment projects with the aim of supporting those who contribute to the economy at the same time reducing greenhouse gas emissions. The approved projects include projects such as the reconstruction of road coverage and the road infrastructure, the energy efficiency measures for buildings, the improvement of traffic safety, the construction of a new combined pedestrian and cycling path and the others."</t>
  </si>
  <si>
    <t>https://platform2020redesign.org/countries/latvia/</t>
  </si>
  <si>
    <t>On supported local government investment projects for granting state loans for the reduction and prevention of the impact of the emergency situation in relation to the spread of COVID-19 (likumi.lv)</t>
  </si>
  <si>
    <t>LVA3</t>
  </si>
  <si>
    <t>EUR 9.4 million (EU funding)</t>
  </si>
  <si>
    <t>"13 Latvian municipalities. The goal is to increase energy efficiency in municipal buildings, to create public infrastructure and to promote business development in order to create new jobs, to support local producers and service providers, thus attracting private investment in the regions. Simultaneously as a result of the implementation of these projects, the achievement of Latvia's climate change goals will be promoted (increasing the energy efficiency of municipal buildings and using of renewable energy resources). Reducing dependence on fossil energy imports and switching to local renewables is also expected to benefit the health of the population by improving air quality, especially in cities."</t>
  </si>
  <si>
    <t>https://likumi.lv/ta/id/316127-noteikumi-par-nosacijumiem-un-kartibu-kada-pasvaldibam-izsniedz-valsts-aizdevumu-arkartejas-situacijas-ietekmes-mazinasanai</t>
  </si>
  <si>
    <t>LVA4</t>
  </si>
  <si>
    <t xml:space="preserve">On July 14 the Government of the Republic of Latvia approved the Regulation on capital investments in enterprises whose operations have been affected by the spread of Covid-19, setting out the rules for the establishment of alternative investment funds for the support of large enterprises affected by the Covid-19 crisis.The fund is being created with the aim to support well-managed, perspective enterprises that have run into temporary difficulties as a result of the Covid-19 crisis. AS Development Finance Institution Altum will decide on investment based on the business plan developed by the enterprises, which also have to include an action plans to address the impact of Covid-19 infection on the enterprises business, information, how the received investment supports the activities of the enterprise in accordance with the objectives of the European Union and Latvia's obligations related to green and digital transformation, including the objective of the European Union to achieve climate neutrality by 2050. </t>
  </si>
  <si>
    <t>LVA5</t>
  </si>
  <si>
    <t>EUR 293 million</t>
  </si>
  <si>
    <t>1.1.1 "‘The greening of the transport system of Riga 
metropolis area’ includes the electrification and modernisation of trains, upgrade of trains to reduce 
emissions, purchase of emission-free public transport vehicles, and construction of bicycle and park-and-ride 
infrastructure. The plan envisages that these reforms and investments will contribute to behaviour change, 
making private car users to switch to public transportation or cycling."</t>
  </si>
  <si>
    <t>https://bankwatch.org/wp-content/uploads/2021/04/2021-04-27_Latvian-RRF-assessment_final.pdf; part of NRRP</t>
  </si>
  <si>
    <t>Country Report | Green Recovery Tracker</t>
  </si>
  <si>
    <t>LVA6</t>
  </si>
  <si>
    <t>EUR 80 million</t>
  </si>
  <si>
    <t>1.2.1.5.i. "‘Modernisation of electricity transmission and distribution networks’ includes 
investments for the development of electric car charging points as well as a reform to define obligations for 
fuel traders to install electric charging points for the expansion of the electric charging network. Although it is 
not clear how much would be invested specifically in the development of new charging points, this is certainly 
a step in the right direction.". The EU Assessment of this measure concludes that harm is prevented by environmental impact assessment  and specific milestones are introduced to assure that biodiversity is not harmed.</t>
  </si>
  <si>
    <t>https://bankwatch.org/wp-content/uploads/2021/04/2021-04-27_Latvian-RRF-assessment_final.pdf, part of NRRP</t>
  </si>
  <si>
    <t>LVA8</t>
  </si>
  <si>
    <t>EUR 33 Mio</t>
  </si>
  <si>
    <t>1.3.1.2.i "‘Investments in flood risk reduction infrastructure, including renovation of polder pumping 
stations, restoration of protective dams, restoration of regulated sections of rivers’ raised serious concerns 
about whether this could negatively impact wetlands – not only CO2 absorption, but also biodiversity. If the 
plan stated that only green solutions would be used, the measure could be acceptable, but the absence of such 
a guarantee signals that plans exist to implement projects that might not be very nature sensitive"</t>
  </si>
  <si>
    <t>LVA9</t>
  </si>
  <si>
    <t>EUR 57.3 Mio</t>
  </si>
  <si>
    <t>1.2.1.1.i.I Improving the energy efficiency of multi-apartment buildings and transition to renewable energy technologies</t>
  </si>
  <si>
    <t>LVA10</t>
  </si>
  <si>
    <t>EUR 120.6 Mio</t>
  </si>
  <si>
    <t>1.2.1.2.i. Increasing energy efficiency in business, which is planned to be implemented nationally in the form of a combined financial instrumen</t>
  </si>
  <si>
    <t>LVA11</t>
  </si>
  <si>
    <t>EUR 29.3 Mio</t>
  </si>
  <si>
    <t>1.2.1.3.i.I. Improving municipal buildings and infrastructure by promoting the transition to renewable energy technologies and improving energy efficiency</t>
  </si>
  <si>
    <t>LVA12</t>
  </si>
  <si>
    <t>1.2.1.4.i.I. Improving the energy efficiency of public sector buildings, including historical buildings</t>
  </si>
  <si>
    <t>LVA13</t>
  </si>
  <si>
    <t>EUR 36.6 Mio</t>
  </si>
  <si>
    <t xml:space="preserve">1.3.1.1.i.1. Capacity building for rescue services, in particular the upgrading of the infrastructure and the logistical base as climate change adaptation measure;  This measure relates to the building of new energy-efficient fire rescue centres which will be part of an overall reform of the fire and civil recue service of Latvia. </t>
  </si>
  <si>
    <t>LVA14</t>
  </si>
  <si>
    <t>3.1.1.6.i.  Purchase of zero-emission vehicles for the performance of municipal functions and services</t>
  </si>
  <si>
    <t>LVA15</t>
  </si>
  <si>
    <t>creation of incentives for wind power development through better regulatory framework, improved
community relations and reduced legal uncertainty for investors</t>
  </si>
  <si>
    <t>MEX1</t>
  </si>
  <si>
    <t>MXN 65 million ( USD 2.88 million)</t>
  </si>
  <si>
    <t>Tax reduction for PEMEX (State-owned oil company)</t>
  </si>
  <si>
    <t>https://www.eleconomista.com.mx/empresas/Gobierno-de-AMLO-otorga-estimulo-fiscal-a-Pemex-por-65000-millones-de-pesos-20200427-0142.html</t>
  </si>
  <si>
    <t>MEX2</t>
  </si>
  <si>
    <t>(MXN25 billion )USD 1.1 billion- not all going to water facilities (see summary)</t>
  </si>
  <si>
    <t>Construction of pavement and drinking water facilities in deprived areas</t>
  </si>
  <si>
    <t>https://presidente.gob.mx/presidente-anuncia-acciones-para-la-reactivacion-economica-ante-covid-19-en-primer-informe-del-ano-al-pueblo-de-mexico/</t>
  </si>
  <si>
    <t>MEX3</t>
  </si>
  <si>
    <t xml:space="preserve">161,000 million pesos (USD 7.94 billion) </t>
  </si>
  <si>
    <t>Continuation of construction of Oil Refinary in Dos Bocas. Announced as part of plan for recovery although it was already planned</t>
  </si>
  <si>
    <t>https://www.msn.com/es-mx/dinero/noticias/el-paquete-econ%C3%B3mico-2021-asigna-19-000-mdp-m%C3%A1s-al-tren-maya-que-a-salud-pese-a-crisis-de-coronavirus/ar-BB18RsCV?li=AAggPN5</t>
  </si>
  <si>
    <t>MEX4</t>
  </si>
  <si>
    <t xml:space="preserve">45,000 million pesos (USD 2.2 billion) </t>
  </si>
  <si>
    <t>Continuation of construction of Mayan Train in the Riviera Maya region. The project does not have an environmental impact assessment and it has been recently announced that it will be diesel-based. Announced as part of plan for recovery althouh it was already planned.</t>
  </si>
  <si>
    <t>https://www.dineroenimagen.com/economia/paquete-economico-en-2021-destinaran-45-mil-50-mdp-la-refineria-de-dos-bocas/126549</t>
  </si>
  <si>
    <t>MEX5</t>
  </si>
  <si>
    <t>no specific funds have been assigned</t>
  </si>
  <si>
    <t xml:space="preserve">A new mobility strategy "Estrategia 4S"has been launched by the National Government. It has the aim of attaining safer, more sustainable, healthier and more inclusive mobility, reducing car use while preparing systems to be better equiped for providing social distancing. However, there has not been any dedicated funding assigned to the implementation of the strategy and some funds that were available for urban mobility projects (e.g. A Metropolitan Fund) have been suppressed. </t>
  </si>
  <si>
    <t>https://www.gob.mx/sedatu/documentos/movilidad-4s-para-mexico-saludable-segura-sustentable-y-solidaria-plan-de-movilidad-para-una-nueva-normalidad</t>
  </si>
  <si>
    <t>MEX6</t>
  </si>
  <si>
    <t>Expansion of Cycling Lanes in Mexico City</t>
  </si>
  <si>
    <t>https://web.archive.org/save/, https://www.semovi.cdmx.gob.mx/comunicacion/nota/boletin-guia-ciclovias-emergentes ; https://cicloviaspermanentes.org/wp-content/uploads/2020/09/ciclovia-insurgentes.pdf</t>
  </si>
  <si>
    <t>MEX7</t>
  </si>
  <si>
    <t xml:space="preserve">EUR 750 million </t>
  </si>
  <si>
    <t>First Sustainable Sovereign Bonds linked to the UN Sustainable Development Goals</t>
  </si>
  <si>
    <t>https://www.gob.mx/cms/uploads/attachment/file/577794/Comunicado_No._071.pdf</t>
  </si>
  <si>
    <t>.</t>
  </si>
  <si>
    <t>MEX8</t>
  </si>
  <si>
    <t xml:space="preserve">MXN 177 million (USD 7.8 million) </t>
  </si>
  <si>
    <t>Loans for housing during the next 9 months. Potentially could cause people moving further out of places that are better connected by publict transport and that imply shorter trip to destinations. This as in general population could more easily afford to rent in more central areas but can only afford housing located in outskirts. ther is no information on the eligibility of population, and also no links/ conditionality to more sustainable housing.</t>
  </si>
  <si>
    <t>MEX9</t>
  </si>
  <si>
    <t>USD 3.99 billion</t>
  </si>
  <si>
    <t>Infrastructure project targeting road constructions</t>
  </si>
  <si>
    <t>Global Recovery Observatory - https://recovery.smithschool.ox.ac.uk/tracking/</t>
  </si>
  <si>
    <t>https://www.gob.mx/shcp/prensa/comunicado-no-079-gobierno-de-mexico-firma-acuerdo-para-la-reactivacion-economica-con-el-consejo-coordinador-empresarial</t>
  </si>
  <si>
    <t>MEX10</t>
  </si>
  <si>
    <t>USD 1.77 billion</t>
  </si>
  <si>
    <t>Railway construction projects</t>
  </si>
  <si>
    <t>https://www.gob.mx/presidencia/prensa/nada-nos-hara-regresar-al-pasado-afirma-presidente-al-presentar-informe-al-pueblo-de-mexico?idiom=es</t>
  </si>
  <si>
    <t>MEX11</t>
  </si>
  <si>
    <t>USD 2.50 billion</t>
  </si>
  <si>
    <t>Hydrocarbon energy investment, in various dirty energy projects</t>
  </si>
  <si>
    <t xml:space="preserve">https://www.elfinanciero.com.mx/economia/gobierno-e-ip-anuncian-39-proyectos-de-infraestructura-por-un-monto-de-297-344-mdp </t>
  </si>
  <si>
    <t>MEX12</t>
  </si>
  <si>
    <t>USD 0.05 billion</t>
  </si>
  <si>
    <t>2 waste management projects</t>
  </si>
  <si>
    <t>MEX13</t>
  </si>
  <si>
    <t xml:space="preserve">USD 5.78 billion </t>
  </si>
  <si>
    <t>Second agreement for infrastructure projects</t>
  </si>
  <si>
    <t>https://www.gob.mx/shcp/prensa/comunicado-no-095-gobierno-de-mexico-presenta-segundo-anuncio-de-proyectos-para-apuntalar-la-reactivacion-economica</t>
  </si>
  <si>
    <t>MEX14</t>
  </si>
  <si>
    <t xml:space="preserve">introduced tax benefit for gasoline consumption in the southern border region  in December 2020. </t>
  </si>
  <si>
    <t>MEX15</t>
  </si>
  <si>
    <t xml:space="preserve">Increase in electricity subsidies for residential consumers during the COVID-19 pandemic in 2020. As a response to residential consumers being classified into the Domestic High Consumption Tariff (DAC) category due to increased consumption during covid-19 lockdowns, the Federal Electricity Commission (CFE) will not subject the increased electricity consumption to the higher DAC tariff rate not to encomplicate the economic situation of residents (April 2020), </t>
  </si>
  <si>
    <t>NLD1</t>
  </si>
  <si>
    <t>EUR 3.4 billion</t>
  </si>
  <si>
    <t xml:space="preserve">KLM loan and loan guarantee. The only environmental condition for the bailout is that KLM will reduce its night flights from Schiphol by 20%, from 32 thousand to 25 thousand per year.  KLM also has to comply with already existing requirements to emit 50% less CO2 per passenger by 2030 and that 14 percent of used fuels should be sustainable. The emission reduction goal was set by the International Air Transport Association (IATA) and thus nothing additional to what was already agreed. The 14% sustainable fuels objective was already adopted earlier this year in a Dutch Draft Sustainable Aviation Agreement. </t>
  </si>
  <si>
    <t>EPT</t>
  </si>
  <si>
    <t>NLD2</t>
  </si>
  <si>
    <t>Though not directly a 'stimulus' effort, in the middle of the pandemic, the Dutch government announced measures to cut the use of coal, limit livestock herds and increase garden greening. See also NLD8 and NLD9 for associated funding allocation</t>
  </si>
  <si>
    <t>https://www.theguardian.com/world/2020/apr/24/dutch-officials-reveal-measures-to-cut-emissions-after-court-ruling</t>
  </si>
  <si>
    <t>NLD3</t>
  </si>
  <si>
    <t>EUR 2.61 billion</t>
  </si>
  <si>
    <t>Compensation to cover losses made by public transport companies due to COVID-19; 1.5 bn for 2020, 740 Mio for the first half of 2021; 370 Mio for the second half (including aviation, maritime and automotive)</t>
  </si>
  <si>
    <t>https://www.energypolicytracker.org/country/the-netherlands</t>
  </si>
  <si>
    <t>https://www.rijksoverheid.nl/actueel/nieuws/2021/02/05/beschikbaarheidsvergoeding-ov-met-drie-maanden-verlengd</t>
  </si>
  <si>
    <t>NLD4</t>
  </si>
  <si>
    <t>Tax deferral on almost entirely CO2-based passenger cars and motorcycles tax</t>
  </si>
  <si>
    <t>https://www.rijksoverheid.nl/onderwerpen/coronavirus-financiele-regelingen/overzicht-financiele-regelingen/belastingmaatregelen  Accessed 16 June 2020</t>
  </si>
  <si>
    <t>NLD5</t>
  </si>
  <si>
    <t>Tax deferral on sustainable energy surcharge</t>
  </si>
  <si>
    <t>NLD6</t>
  </si>
  <si>
    <t>Environmental tax deferral (coal tax)</t>
  </si>
  <si>
    <t>https://www.belastingdienst.nl/wps/wcm/connect/nl/ondernemers/content/bijzonder-uitstel-van-betaling-vanwege-coronacrisis  Accessed 16 June 2020</t>
  </si>
  <si>
    <t>NLD7</t>
  </si>
  <si>
    <t>Environmental tax deferral (energy tax)</t>
  </si>
  <si>
    <t>https://www.rijksoverheid.nl/onderwerpen/coronavirus-financiele-regelingen/overzicht-financiele-regelingen/energiebelastingen  Accessed 16 June 2020</t>
  </si>
  <si>
    <t>NLD8</t>
  </si>
  <si>
    <t>EUR 2.33 billion</t>
  </si>
  <si>
    <t>Commitment to Renewables (2bn, mostly rooftop solar) and household efficiency (0.3bn). See also NLD2</t>
  </si>
  <si>
    <t>https://www.urgenda.nl/en/themas/climate-case/dutch-implementation-plan/</t>
  </si>
  <si>
    <t>NLD9</t>
  </si>
  <si>
    <t>Compensation to reduce livestock herds. See also NLD2</t>
  </si>
  <si>
    <t>NLD10</t>
  </si>
  <si>
    <t>EUR 52.4 Mio</t>
  </si>
  <si>
    <t>The Netherlands will receive 52.4 Mio € from the European Recovery Fund for the development of agriculture following the corona crisis in a resilient, sustainable, and economic way in 2021&amp; 2022. Sustainable economic recovery is the basis of this scheme, targeting climate, biodiversity and circular agriculture</t>
  </si>
  <si>
    <t>https://www.rijksoverheid.nl/actueel/nieuws/2021/02/04/524-miljoen-vanuit-europa-voor-corona-herstel-landbouw</t>
  </si>
  <si>
    <t>NLD11</t>
  </si>
  <si>
    <t xml:space="preserve">EUR 150 Mio </t>
  </si>
  <si>
    <t>Research support for the transport sector in manufacturing industry (aviation, automotive and maritime); Measure aimed to maintain the levels of investment in research and development in the automotive, aviation and maritime industry, no green coditions or any standards mentioned</t>
  </si>
  <si>
    <t>https://www.rijksoverheid.nl/actueel/nieuws/2021/03/12/kabinet-breidt-coronasteun-ondernemers-verder-uit</t>
  </si>
  <si>
    <t>NLD12</t>
  </si>
  <si>
    <t>Due to higher than expected demand, triggered by COVID-19 pandemic, funds for RREW (Residential Energy Consumption Reduction)  scheme were increased by 30 mln EUR to a total of 100 Mio €; additionally the SEEH (Sustainable Efficient Energy Homes) fund was increased by 70 mln EUR to a total of 150 Mio €</t>
  </si>
  <si>
    <t>https://www.rijksoverheid.nl/actueel/nieuws/2021/04/22/meer-nederlanders-verduurzamen-hun-woning-tijdens-lockdown</t>
  </si>
  <si>
    <t>NLD13</t>
  </si>
  <si>
    <t xml:space="preserve">tax deferral on  storage of sustainable energy  </t>
  </si>
  <si>
    <t>https://www.belastingdienst.nl/wps/wcm/connect/nl/coronavirus/content/voor-welke-belastingen-kunt-u-bijzonder-uitstel-van-betaling-aanvragen</t>
  </si>
  <si>
    <t>tax deferral on  waste</t>
  </si>
  <si>
    <t>NOR1</t>
  </si>
  <si>
    <t>NOK 6 billion</t>
  </si>
  <si>
    <t>Loan guaranties to airline companies under some conditions</t>
  </si>
  <si>
    <t>NOK</t>
  </si>
  <si>
    <t>NOR2</t>
  </si>
  <si>
    <t>Suspension  of the air passengers tax from 1 January until 31 October 2020</t>
  </si>
  <si>
    <t>NOR3</t>
  </si>
  <si>
    <t>NOK 59 
billion in 2020 and NOK 40 billion in 2021. Tax revenues should increase in later years.</t>
  </si>
  <si>
    <t>Several temporary tax reductions fort oil companies operating on the continental shelf, combined with new committments to reduce emissions.
A tax relief package has been recently approved by the Norwegian government which will benefit liquidity and reduce breakeven prices for near term projects by about 40% on average, for use by oil and gas exploration and production companies. 
The package will allow O&amp;G companies to deduct costs faster and is expected to fast-track new projects on the Norwegian continental shelf over the next two years.</t>
  </si>
  <si>
    <t>https://www.regjeringen.no/contentassets/a29386c923894b9b91a8df7a0903fff2/no/pdfs/prp201920200127000dddpdfs.pdf
https://oilprice.com/Energy/Energy-General/Tax-Relief-Lowers-Breakeven-Prices-For-Norwegian-Oil-Drillers.html</t>
  </si>
  <si>
    <t>NOR4</t>
  </si>
  <si>
    <t>NOK 2 billion in 2020
NOK 3.3 billion in 2021</t>
  </si>
  <si>
    <t>Increased grant  to "Enova", which provides R&amp;D funding for industries</t>
  </si>
  <si>
    <t>https://www.regjeringen.no/contentassets/a29386c923894b9b91a8df7a0903fff2/no/pdfs/prp201920200127000dddpdfs.pdf</t>
  </si>
  <si>
    <t>NOR5</t>
  </si>
  <si>
    <t>NOK 485 million</t>
  </si>
  <si>
    <t>Grants to promote green shipping, including R&amp;D and investments in low-emission ships</t>
  </si>
  <si>
    <t>NOR6</t>
  </si>
  <si>
    <t>NOK 333 million in 2020; NOK 1 Billion over 3 years</t>
  </si>
  <si>
    <t>Increased grants to 3 R&amp;D-funding organisations other than Enova</t>
  </si>
  <si>
    <t>NOR7</t>
  </si>
  <si>
    <t>NOK 100 million</t>
  </si>
  <si>
    <t>Grants to stimulate a circular economy</t>
  </si>
  <si>
    <t>NOR8</t>
  </si>
  <si>
    <t>NOK 25 million</t>
  </si>
  <si>
    <t>Grants to promote ocean-based wind tubines</t>
  </si>
  <si>
    <t>NOR9</t>
  </si>
  <si>
    <t>Almost NOK 20 million</t>
  </si>
  <si>
    <t>Grants to support genbanks for wild salmon, etc.</t>
  </si>
  <si>
    <t>NOR10</t>
  </si>
  <si>
    <t>NOK 30 million</t>
  </si>
  <si>
    <t>Grants to increase the basic funding of environmental research institutions</t>
  </si>
  <si>
    <t>NOR11</t>
  </si>
  <si>
    <t>NOK 50 million in 2020
NOK 100 million in 2021</t>
  </si>
  <si>
    <t>Grants to "Klimasats", which supports measures in local authorities to reduce GHG emissions</t>
  </si>
  <si>
    <t>NOR12</t>
  </si>
  <si>
    <t>NOK 13 million</t>
  </si>
  <si>
    <t>Increased grants to support measures to prevent invasive species</t>
  </si>
  <si>
    <t>NOR13</t>
  </si>
  <si>
    <t>A reduction in the compulsory capital reserve requirements for banks, in order to avoid a reduction in their lending activities.</t>
  </si>
  <si>
    <t>NOR14</t>
  </si>
  <si>
    <t>A reduction to zero of Bank of Norway's lending rate to the banks, in three stages, from 1½% prior to the crisis.</t>
  </si>
  <si>
    <t>NOR15</t>
  </si>
  <si>
    <t>NOK 2 billion. The Government may exceed the limit by NOK 300 million if needed</t>
  </si>
  <si>
    <t>Purchase of regional air transport services, in order to compensate to income losses</t>
  </si>
  <si>
    <t>NOR16</t>
  </si>
  <si>
    <t>NOK 35 million. Orininally NOK 100 was allocated, but due to low demand, the grant was reduced.</t>
  </si>
  <si>
    <t>Purchase of services from airline companies for home transport of Norwegian citizens from abroad</t>
  </si>
  <si>
    <t>NOR17</t>
  </si>
  <si>
    <t xml:space="preserve">NOK 235 million </t>
  </si>
  <si>
    <t>Purchase of services from ferry companies operating in connection with national roads, in order to compensate to income losses</t>
  </si>
  <si>
    <t>NOR18</t>
  </si>
  <si>
    <t xml:space="preserve">NOK 100 million </t>
  </si>
  <si>
    <t>Income support for commercial bus and ferry companies</t>
  </si>
  <si>
    <t>NOR19</t>
  </si>
  <si>
    <t>NOK 1550 million. The Government may exceed the limit by NOK 300 if needed.</t>
  </si>
  <si>
    <t>Purchase of services from railway companies, in order to compensate to income losses</t>
  </si>
  <si>
    <t>NOR20</t>
  </si>
  <si>
    <t>NOK 900 million</t>
  </si>
  <si>
    <t>Increased maintenance of road, railway and coastal infrastructure</t>
  </si>
  <si>
    <t>NOR21</t>
  </si>
  <si>
    <t>NOK 1900 million</t>
  </si>
  <si>
    <t>Compensation for income losses for rail and other public transport companies, due to the COVID crisis, covering the first 6 months of 2021</t>
  </si>
  <si>
    <t>https://www.regjeringen.no/no/dokumenter/meld.-st.-1-20202021/id2768215/</t>
  </si>
  <si>
    <t>NOR22</t>
  </si>
  <si>
    <t>NOK 40 million</t>
  </si>
  <si>
    <t xml:space="preserve">Grant to cover the operating deficit for the last remaining coal mine on the remote island of Spitsbergen. </t>
  </si>
  <si>
    <t xml:space="preserve">https://www.regjeringen.no/no/aktuelt/regjeringa-vil-dekkje-driftsunderskottet-i-gruve-7-pa-svalbard/id2769019/ </t>
  </si>
  <si>
    <t>NOR23</t>
  </si>
  <si>
    <t>NOK 700 million</t>
  </si>
  <si>
    <t>Grant to increase the capital of the venture company "Nysnø" (New Snow), which invests in firms that develop new climate-friendly technologies.</t>
  </si>
  <si>
    <t xml:space="preserve">https://www.regjeringen.no/no/aktuelt/meir-pengar-til-klimavenlege-investeringar-i-nysno2/id2769012/ </t>
  </si>
  <si>
    <t>NOR24</t>
  </si>
  <si>
    <t>NOK 600 million</t>
  </si>
  <si>
    <t>Loans to support green fleet renewal in the coastal transport and fisheries sectors.</t>
  </si>
  <si>
    <t xml:space="preserve"> https://www.regjeringen.no/no/aktuelt/regjeringa-fortset-satsinga-pa-gron-skipsfart-og-maritim-naring/id2769006/ </t>
  </si>
  <si>
    <t>NOR25</t>
  </si>
  <si>
    <t>Exemption from CO2 tax on natural gas and LPG for chemical reduction or electrolysis, metallurgical and mineralogical processes, will be re-introduced from April 2020 to Jul 2021 at the earliest with the rate of 25% applying afterwards</t>
  </si>
  <si>
    <t>https://www.regjeringen.no/no/dokumenter/meld.-st.-2-20192020/id2702126/?ch=1#kap1-1 ; https://www.regjeringen.no/no/dokumenter/meld.-st.-2-20192020/id2702126/?ch=1#kap1-2</t>
  </si>
  <si>
    <t>NZL1</t>
  </si>
  <si>
    <t>NZD 27.5 million  (20/21-23/24)</t>
  </si>
  <si>
    <t>Containing Wallabies to Protect Agriculture, Forestry and Native Plants, and Boost Regional Economies This initiative supports regional communities by providing employment and stimulating economic activity across a wide range of goods and services providers, through delivery of a management plan for wallabies. This initiative will enable more effective management of wallabies and reduce their growing impact on agriculture, plantation forestry and native vegetation. It will fund increased aerial and ground based control operations, including fencing to push wallabies back to existing containment/buffer zones in the Bay of Plenty, Waikato, Canterbury and Otago regions. This initiative will enable national coordination to contain and control wallabies in New Zealand.</t>
  </si>
  <si>
    <t>https://treasury.govt.nz/system/files/2020-05/b20-sum-initiatives-crrf.pdf</t>
  </si>
  <si>
    <t>NZD</t>
  </si>
  <si>
    <t>NZL2</t>
  </si>
  <si>
    <t>NZD 100 million (20/21-23/24)</t>
  </si>
  <si>
    <t>National Wilding Conifer Control Programme to Boost Regional Economies and Employment This initiative supports regional communities by providing employment opportunities and stimulating economic activity across a wide range of goods and services providers by controlling wilding conifers. This funding will enable the removal of extensive infestations, reduce the spread of wilding conifers, and minimise lifetime control costs. Controlling wilding conifers will also help to protect farmland, water and biodiversity.</t>
  </si>
  <si>
    <t>NZL3</t>
  </si>
  <si>
    <t>NZ 10.55 million (20/21)</t>
  </si>
  <si>
    <t>Preventing Food Waste and Supporting Primary Sector Production by Supplying Food to New Zealanders in Need This initiative addresses acute immediate food production challenges from the drop off in demand through COVID-19 restrictions by maintaining and redirecting products to struggling communities. The initiative will establish a contingency fund to directly purchase products where significant food waste, animal welfare, biosecurity concerns or environmental concerns would otherwise result, and will scale up Fruit in Schools to provide an additional 10,000 fruit and vegetable boxes a week for 10 weeks and enable other food products likely to be wasted to be redirected. It will also fund the development and trial of digital platforms to enable other novel solutions to connect food with consumers.</t>
  </si>
  <si>
    <t>NZL4</t>
  </si>
  <si>
    <t>NZD 80 million</t>
  </si>
  <si>
    <t>Replacing Lost Frontline Biosecurity Operations Revenue This initiative will fund existing border biosecurity operations that are usually funded through passenger and cargo levies, as COVID-19 restrictions have eliminated passenger revenue and reduced cargo and freight revenue. Replacement funding will enable the Ministry for Primary Industries to pay existing salaries and other necessary operating costs (eg, scanning equipment leases) in the short to medium term. This will ensure New Zealand can manage biosecurity risks at the border</t>
  </si>
  <si>
    <t>NZL5</t>
  </si>
  <si>
    <t>NZD 56.4 million (20/21-21/22)</t>
  </si>
  <si>
    <t>Expanding the Warmer Kiwi Homes Programme to Support Low-Income Households This initiative provides funding for subsidised insulation and heating retrofits in houses occupied by low-income owners. It will expand the Energy Efficiency and Conservation Authority’s existing Warmer Kiwi Homes programme and will increase the proportion of the cost of insulation and heating retrofits that is covered by government grants. This will increase the incentive for low-income owner-occupiers to access the Warmer Kiwi Homes grants. It will provide a greater level of support to help lowincome households keep their homes warm and dry, leading to significant health benefits.</t>
  </si>
  <si>
    <t>NZL6</t>
  </si>
  <si>
    <t>NZ 154.245 million (20/21-23/24)</t>
  </si>
  <si>
    <t>Enhancing Biodiversity Outcomes on Public and Private Land This initiative will fund significant job creation across the country, particularly in the regions through nationwide community programmes delivered by third party providers, regional councils and landowner groups to provide support for protection and restoration of indigenous biodiversity and habitat, revegetation of private and public conservation land and land riparian buffer protection and maintenance.</t>
  </si>
  <si>
    <t>NZL7</t>
  </si>
  <si>
    <t>NZD 147.506 million (20/21-23/24)</t>
  </si>
  <si>
    <t>Pest Management, Including Predator Free and Eradication: This initiative will fund significant job creation across the country, particularly in the regions through nationwide community and catchment led pest and predator control programmes. This will assist in protecting New Zealand’s most threatened species and habitats</t>
  </si>
  <si>
    <t>NZL8</t>
  </si>
  <si>
    <t>NZD 200 million (20/21-23/24)</t>
  </si>
  <si>
    <t>Supporting Employment Through Environment Projects on Department of Conservation Land This initiative will focus on the swift redeployment of a portion of the labour market who are facing job insecurity into new temporary nature-based jobs that support regional environmental projects. Projects will include boosting predator control efforts, restoring wetlands, planting, and improving tracks, huts and other recreational and visitor assets on public conservation land.</t>
  </si>
  <si>
    <t>NZL9</t>
  </si>
  <si>
    <t>NZD 124 million (20/21-23/24)</t>
  </si>
  <si>
    <t>Phasing Out Problem Plastics and Implementing the Waste Disposal Levy Expansion This initiative will provide funding to establish cross-agency governance to consider recommendations from the Chief Science Advisor’s report on Rethinking Plastics. This will aim to advance key recommendations including standardising kerbside recycling and consumer labelling on recyclability. The initiative will also provide funding to prepare for a potential increase and expansion of the Waste Disposal Levy and improve data on waste and resource recovery, pending Cabinet’s decision.</t>
  </si>
  <si>
    <t>https://www.beehive.govt.nz/release/government-steps-action-waste-funds-recycling-infrastructure-and-expands-levy-scheme</t>
  </si>
  <si>
    <t>NZL10</t>
  </si>
  <si>
    <t>NZD 433 million (20/21-23/24)</t>
  </si>
  <si>
    <t>Post-COVID-19 Economic Recovery Through Environment-Related Activity: Improving the Health of New Zealand’s Waterways This initiative will provide funding to improve the health of New Zealand's waterways and support economic recovery. This will involve working in partnership with local government and farmers. It will include restoring mini wetlands, stabilising river banks, removing sediment, and providing for fish passage. The funding will support employment across New Zealand, including the Kaipara catchment.</t>
  </si>
  <si>
    <t>NZL11</t>
  </si>
  <si>
    <t>NZD 40 million (20/21-23/24)</t>
  </si>
  <si>
    <t>Land Information New Zealand Biosecurity Programme for Immediate and Sustained Job Creation to Remove Pests and Weeds This initiative will enable the scaling up of LINZ biosecurity programme to remove pests and weeds from some of New Zealand's iconic landscapes. This expense will bring immediate and sustained employment and economic stimulus benefits for some of the regions most impacted by COVID-19</t>
  </si>
  <si>
    <t>NZL12</t>
  </si>
  <si>
    <t>NZD 50 million</t>
  </si>
  <si>
    <t>Land Information New Zealand Third Party Funding Shortfall This initiative will provide a capital injection to LINZ to enable LINZ to meet its operating expenses and provide stability for its balance sheet as it faces a significant shortfall in third-party funded revenue as a result of COVID-19.</t>
  </si>
  <si>
    <t>NZL13</t>
  </si>
  <si>
    <t>NZD 600 million</t>
  </si>
  <si>
    <t>Aviation support package w/o environmental conditionality</t>
  </si>
  <si>
    <t>https://www.beehive.govt.nz/release/121-billion-support-new-zealanders-and-business</t>
  </si>
  <si>
    <t>NZL14</t>
  </si>
  <si>
    <t xml:space="preserve">No change to Natural Resource Management Act, but consenting process fast-tracked with potential environmental implications. The COVID-19 Recovery (Fast-track Consenting) Act 2020 allows any public or private project to apply to the Minister for the Environment for access to be referred to the fast-track consenting and designation process.  
The Minister will consider a project against criteria that includes consideration of the economic benefits a project will give to communities or industries affected by COVID-19; how it will affect social and cultural wellbeing now and into the future; whether the project’s timeline will benefit from the fast track process; and the public benefit that would accrue from the project.  </t>
  </si>
  <si>
    <t>NZL15</t>
  </si>
  <si>
    <t>NZD 182 million</t>
  </si>
  <si>
    <t xml:space="preserve">Part of NZD 3 billion infrastructure Investment Fund. investment package in public transport and walking and cycling infrastructure, helping the Auckland economic recovery while reducing emissions. This investment is expected to create 800 jobs and protects around 200 jobs on the two projects already underway. </t>
  </si>
  <si>
    <t>https://www.beehive.govt.nz/release/auckland-transport-infrastructure-revealed</t>
  </si>
  <si>
    <t>NZL16</t>
  </si>
  <si>
    <t>NZD 39 million</t>
  </si>
  <si>
    <t xml:space="preserve">Part of NZD 3 billion infrastructure Investment Fund. New Zealand Government is investing in a new rail maintenance facility in Christchurch which will support hundreds of construction jobs and ensure a strong future for South Island rail networks. </t>
  </si>
  <si>
    <t>https://www.beehive.govt.nz/release/green-light-te-awa-river-ride-220m-nationwide-cycleways-investment</t>
  </si>
  <si>
    <t>NZL17</t>
  </si>
  <si>
    <t>NZD 220 million</t>
  </si>
  <si>
    <t>Part of NZD 3 billion infrastructure Investment Fund. Nationwide cycleway package</t>
  </si>
  <si>
    <t>NZL18</t>
  </si>
  <si>
    <t>NZD 20 million</t>
  </si>
  <si>
    <t xml:space="preserve">Part of NZD 3 billion infrastructure Investment Fund. Investing in infrastructure to support hydrogen vehicles, with the establishment of a nationwide network of hydrogen-fuelling stations. These stations will begin to supply zero emission fuel to trucks, buses and commercial fleets from 2021. </t>
  </si>
  <si>
    <t>https://www.beehive.govt.nz/release/low-emissions-options-heavy-transport-step-closer</t>
  </si>
  <si>
    <t>NZL19</t>
  </si>
  <si>
    <t>NZD 210 million</t>
  </si>
  <si>
    <t xml:space="preserve">Part of NZD 3 billion infrastructure Investment Fund. Projects, focused on protecting land from soil erosion, flooding and the destruction of infrastructure associated with extreme weather events, will also create more than 500 jobs. </t>
  </si>
  <si>
    <t>https://www.beehive.govt.nz/release/less-flooding-more-jobs-southland-and-otago https://www.beehive.govt.nz/release/climate-resilience-packages-regions</t>
  </si>
  <si>
    <t>NZL20</t>
  </si>
  <si>
    <t>NZD 1.69 million</t>
  </si>
  <si>
    <t xml:space="preserve">The Chatham Islands will receive close to 40 million NZD for projects that will improve its infrastructure, provide jobs and training opportunities for locals. Of this is 1.69 million NZD allocated to two projects to develop and strengthen the local fishing industry, improve food security and enhance biodiversity. </t>
  </si>
  <si>
    <t>https://www.beehive.govt.nz/release/big-boost-chatham-islands%E2%80%99-economy</t>
  </si>
  <si>
    <t>NZL21</t>
  </si>
  <si>
    <t>NZD 37 million</t>
  </si>
  <si>
    <t xml:space="preserve">Part of NZD 3 billion infrastructure Investment Fund.The Thermal Drying Facility (TDF) at the New Plymouth Wastewater Treatment Plant processes the bio-solids from the district’s sewage, turning it into a household fertiliser which is sold in bulk and in retail outlets.  The TDF diverts the district’s wastewater bio-solids away from landfill and provides a beneficial reuse for what would otherwise be a waste. </t>
  </si>
  <si>
    <t>NZL22</t>
  </si>
  <si>
    <t>NZD 25 million</t>
  </si>
  <si>
    <t>Temporary funding enables the Ministry for Primary Industries to continue essential biosecurity border services. These services are experiencing significant revenue reductions due to COVID-19 international travel restrictions. MPI has mitigated the loss of revenue by temporarily redeploying staff and reducing other support costs. Temporary financial support to retain core biosecurity capability will enable New Zealand’s borders to immediately reopen when it is safe to do so, while helping ensure that New Zealand’s biodiversity and primary industries are protected from biosecurity incursions. Funded from the COVID-19 Response and Recovery Fund</t>
  </si>
  <si>
    <t>https://www.treasury.govt.nz/sites/default/files/2021-05/b21-wellbeing-budget.pdf</t>
  </si>
  <si>
    <t>NZL23</t>
  </si>
  <si>
    <t>NZD 2118 million (operating) and 1682 million (capital)</t>
  </si>
  <si>
    <t>Housing Acceleration Fund: This Fund will increase the pace and scale of new housing supply through supporting the provision of infrastructure and housing, and expanding the Land for Housing programme. This will include increasing affordable homes, whether for rent or home ownership, and will focus on locations with high housing need, including Kāinga Ora large-scale projects. Operating:21/22: NZD 354 million; 22/23 NZD 608 million; 23/24: 585.50 million; 24/25: 570.5 million; Capital: 1682 million</t>
  </si>
  <si>
    <t>POL1</t>
  </si>
  <si>
    <t>The compensation system for energy-intensive sectors and sub-sectors to improve and accelerate compensation payments for indirect costs of emission allowances that were incurred by energy-intensive enterprises in 2019;</t>
  </si>
  <si>
    <t xml:space="preserve">An "Anti-crisis Shield 1.0 " support programme was adopted by the Polish Government on 26/03, approved by the Parliament on 28/03, discussed by the Senate on 30/03 suggesting several amendments.Ustawa z 16 kwietnia 2020 r. o szczególnych instrumentach wsparcia w związku z rozprzestrzenianiem się wirusa SARS-CoV-21 (Dz.U. z 2020 r. poz. 695). 
Source in Polish:
https://wyborcza.pl/7,155287,25821533,sa-juz-gotowe-projekty-ustaw-o-pomocy-pracownikom-i-firmom.html
</t>
  </si>
  <si>
    <t>POL2</t>
  </si>
  <si>
    <t>Postponing the dates of activities related to environmental protection: plans to build charging station networks, air protection plans, reporting dates for entrepreneurs, proceedings conducted on the basis of the provisions of the Energy Law;</t>
  </si>
  <si>
    <t xml:space="preserve">https://www.gov.pl/web/tarczaantykryzysowa/nowe-terminy </t>
  </si>
  <si>
    <t>https://dziennikustaw.gov.pl/D2020000069501.pdf
https://wyborcza.pl/7,155287,25821533,sa-juz-gotowe-projekty-ustaw-o-pomocy-pracownikom-i-firmom.html</t>
  </si>
  <si>
    <t>POL3</t>
  </si>
  <si>
    <t>Conditional possibility of utilization of medical waste in thermal waste treatment installations technologically adapted to this (appropriate combustion temperatures, etc.), which do not have the required decisions and permits.</t>
  </si>
  <si>
    <t>https://www.dentons.com/pl/insights/alerts/2020/april/1/covid-19-environmental-alert</t>
  </si>
  <si>
    <t>POL4</t>
  </si>
  <si>
    <t>"Facilitation of investment in new technologies".</t>
  </si>
  <si>
    <t>https://serwisy.gazetaprawna.pl/nowe-technologie/artykuly/1475040,uzyskaniu-kredytu-na-innowacje-technologiczne.html</t>
  </si>
  <si>
    <t>POL5</t>
  </si>
  <si>
    <t>PLN 300 million (EUR 68 million)</t>
  </si>
  <si>
    <t>Voivodship Environmental Protection Funds (VEPFs) offer additional assistance to companies that have submitted applications for funding of green investments. VEPFs offer the possibility of granting additional loans to maintain financial liquidity. The total amount available for VEPFs is PLN 300 million. The terms of granting such loans vary from Fund to Fund, but a potential borrower os offered preferential interest rates, no additional fees and a flexible approach to security. The interest rate on loans at VEPFs starts from 1.5%. The required collateral for the support provided is most often determined in the course of individual negotiations between a given Fund and the borrower. Support for maintaining financial liquidity may reach a maximum of up to 100% of the total costs of the pro-ecological investment implemented.</t>
  </si>
  <si>
    <t>https://www.gov.pl/web/tarczaantykryzysowa/zielona-tarcza-wojewodzkie-fundusze-ochrony-srodowiska-i-gospodarki-wodnej-wspieraja-przedsiebiorcow-w-czasie-epidemii</t>
  </si>
  <si>
    <t>POL6</t>
  </si>
  <si>
    <t xml:space="preserve">Ministry of Climate approves RES auction rules for 2020 to support RES auctions and accommodate Anti-Crisis Shield measures. The Ministry of Climate approved regulations for this year's auctions selling electricity from renewable sources as established by the president of the Energy Regulatory Office. The regulations cover how the auction is to be organized, how bids are to be submitted, how the data will be processed, and how to access the online platform, among other issues. Measures taken in the Anti-Crisis Shield have also been accounted for. For example, bids can only be submitted through the online platform. Auctions will be held from 3 Nov. to 3 Dec. 2020. There will be a total of 8 auctions held, the first for existing RES installations, the second for new installations, and the remainder for large PV and wind installations. </t>
  </si>
  <si>
    <t>https://www.cire.pl/item,204624,1,0,0,0,0,0,minister-klimatu-zatwierdzil-regulamin-tegorocznych-aukcji-oze.html (accessed 21 Sep 2020)</t>
  </si>
  <si>
    <t>POL7</t>
  </si>
  <si>
    <t xml:space="preserve">Amendment to the Renewable Energy Act on the definition of wood energy to allow for wood not collected from forests due to COVID-19 to be used for electricity generation. By temporarily changing the definition of "energy from wood," wood currently unused will be allowed to go to the power industry for the purposes of electricity generation. This is considered a solution to sustainable forest management for the duration of the global pandemic. Critics of the amendment say this will lead to more tree felling. </t>
  </si>
  <si>
    <t>https://www.cire.pl/item,203346,1,0,0,0,0,0,prezydent-podpisal-zmiane-ustawy-o-oze-z-nowa-definicja-drewna-energetycznego.html (accessed 8 Sep 2020)</t>
  </si>
  <si>
    <t>POL8</t>
  </si>
  <si>
    <t xml:space="preserve">Establishing a strategic hard coal reserve by the Material Reserves Agency. Strategic coal reserve is part of the announced restructuring strategy for the energy and mining sector aimed at increasing the stability of the sector (and in particular of the Polish Mining Group) that faces structural challenges and further difficulties caused by the COVID-19 crisis. The Material Reserves Agency will create a strategic reserve of hard coal for energy purposes. The estimated value of coal for the purposes of creating this reserve amounts to approx. PLN 130 million net. </t>
  </si>
  <si>
    <t>https://www.gov.pl/web/aktywa-panstwowe/informacja-dotyczaca-dzialan-podjetych-w-sektorze-energetyki-i-gornictwa-wegla-kamiennego</t>
  </si>
  <si>
    <t>POL9</t>
  </si>
  <si>
    <t>The Infrastructure Minister's ordinance to support 14 public airports to help the selected state and local public airports to sustain financial liquidity. Under the regulation, airports will be able to receive a subsidy from the COVID-19 Counteracting Fund. They will be required to maintain a minimum operational readiness in the state of epidemic emergency and epidemic. The subsidy will be awarded to cover the costs, the catalog of which will be included in the draft regulation.</t>
  </si>
  <si>
    <t>https://www.gov.pl/web/infrastruktura/ponad-140-mln-zl-rzadowego-wsparcia-dla-lotnisk</t>
  </si>
  <si>
    <t>POL10</t>
  </si>
  <si>
    <t>PLN 50 million</t>
  </si>
  <si>
    <t>Liquidity support for TAURON, SOE energy company (Anti-crisis and Financial Shield). Sustaining the financial liquidity of firms after major decrease in revenues caused by COVID-19 pandemic. The company has reported an impact of COVID-19 on financial results. The Group secured PLN 50 million of support from the anti-crisis shield.</t>
  </si>
  <si>
    <t>https://media.tauron.pl/pr/555846/grupa-tauron-niemal-10-mld-zl-przychodow-i-2-4-mld-zl-ebitda-w-pierwszym-polroczu-2020-r</t>
  </si>
  <si>
    <t>POL11</t>
  </si>
  <si>
    <t>2 PLN</t>
  </si>
  <si>
    <t>Clean transport as a mitigation tool for local governments - support for CTZs / forseen to be covered by Iceland Lichtenstein Norway grants</t>
  </si>
  <si>
    <t>Country submission</t>
  </si>
  <si>
    <t>Early stage of the project - no information published</t>
  </si>
  <si>
    <t>PLN</t>
  </si>
  <si>
    <t>POL12</t>
  </si>
  <si>
    <t>PLN 2.2 million (2 yr)</t>
  </si>
  <si>
    <t>Green Funds Search Engine (Wyszukiwarka EkoDotacji)</t>
  </si>
  <si>
    <t>www.ekodotacje.ios.edu.pl</t>
  </si>
  <si>
    <t>POL13</t>
  </si>
  <si>
    <t>PLN 2 million</t>
  </si>
  <si>
    <t xml:space="preserve">Training programme for CRO (Climate Resilience Officer) in Polish cities around the country. National Centre for Climate Change is working on creating a training program for the position of Climate Resilience Officer in the cities across Poland. The program will focus on increasing competences and skills among people that are already working in the Town/City Halls and that are the most adequate for the position of Climate Resilience Officer. The main goal of the training program is to teach CRO how to create and implement Climate Adaptation Plans and strategies in the cities. This program is a crucial project which will boost adaptation practices in Polish cities that are in line with European requirements. </t>
  </si>
  <si>
    <t>https://www.rockefellerfoundation.org/report/city-resilience-framework/</t>
  </si>
  <si>
    <t>POL14</t>
  </si>
  <si>
    <t>PLN 3.6 million</t>
  </si>
  <si>
    <t xml:space="preserve">Resilient City - a series of workshops and webinars for local governments and city residents.                                                                                                                                                 The main goal of open webinaras is to build  the awareness of  climate change and its consequences for cities. The meetings  lead by experts, enriched with visually attractive material showing good practices on the discussed topics will present how to shape city resilience to climate change. The workshops for local governments will be an overview of contemporary trends in urban action in the context of  pandemic. Participants will use the potential of the ongoing change to build climate resilient cities. The workshops will relate  to open webinars and previously discussed issues as : circular economy, 15 minute city, placemaking, green city, smart city,  sustainable mobility. </t>
  </si>
  <si>
    <t>POL15</t>
  </si>
  <si>
    <t>PLN 0.5 million</t>
  </si>
  <si>
    <t xml:space="preserve">Action for Climate Empowerment methodology in creating resilent cities. Pilot project. The project aims to support local governments in the implementation of the citiy resilience to climate change strategy  by using the methodology defined by the United Nations Framework Convention on Climate Change (UNFCCC) as Action for Climate Empowerment (ACE). This methodology assumes the involvement of  all members of society to engage in climate action, through education, training, public awareness, public participation, public access to information, and international cooperation.The pilot project will follow this assumption, and the developed model will be ready for implementation in all local government units in Poland.
</t>
  </si>
  <si>
    <t>https://unfccc.int/topics/education-and-outreach/resources/ace-guidelines</t>
  </si>
  <si>
    <t>POL16</t>
  </si>
  <si>
    <t>PLN 304 million</t>
  </si>
  <si>
    <t>Aim of Deep Retrofit Accelerator is to initiate the process of modernisation of Polands built stock, by showing that increasing of the energy efficiency by 75% is technically doable. Poland has about 14million buildings which, mainly from heating, emits 1/3 of countrys GHG emissions. In order to cut it to net zero, new technologies, new skills and methodologies must be introduced, together with new educational methods - the DeRA project cover all of the above and aims to scale it up. National Centre for Climate Change will run demonstration of deep retrofit at 50buildings and present its findings on maximal levels of energy efficiency to wider public.</t>
  </si>
  <si>
    <t>POL17</t>
  </si>
  <si>
    <t>PLN 1.5 million</t>
  </si>
  <si>
    <t>The aim of Sires Project - Silesian Renevable Energy Sources Living Lab is to create a living lab dealing with innovative technologies, tools, methodologies in relation to RES production, energy storage and efficient energy use to minimise energy production from coal in Poland and supporting just transition process of specific industries and regions. Managed by Polish Academy of Sciences and National Centre for Climate Change. It aims toward both adaptation and mitigation measures.</t>
  </si>
  <si>
    <t>POL19</t>
  </si>
  <si>
    <t>EUR 1.77 billion</t>
  </si>
  <si>
    <t>Support scheme package launched by the NFEP&amp;WM to facilitate investment in energy transition (launched in spring 2020)</t>
  </si>
  <si>
    <t>www.nfosigw.gov.pl</t>
  </si>
  <si>
    <t>POL20</t>
  </si>
  <si>
    <t>New Law for Offshore Wind Farm</t>
  </si>
  <si>
    <t>https://www.gov.pl/web/klimat/ustawa-offshore-przyjeta-przez-senat</t>
  </si>
  <si>
    <t>POL21</t>
  </si>
  <si>
    <t>PLN 1 million</t>
  </si>
  <si>
    <t xml:space="preserve">Support for cities (gathered in Partnership Iniciative for Cities - Pilotage Programme of Ministry of Development Funds and Regional Policy) determined in prioritising support for public transport, investments and initiatives for improving air quality, clean energy and investments based on natural solutions.   13 projects were financed for a total amount of PLN 1.5 million, including 3 on air quality and 4 on urban mobility  </t>
  </si>
  <si>
    <t>https://www.gov.pl/web/fundusze-regiony/konkurs-dotacji-w-ramach-partnerskiej-inicjatywy-miast-dla-sieci-pilotazowych-w-latach-2017--2019</t>
  </si>
  <si>
    <t>POL22</t>
  </si>
  <si>
    <t>Regulation of the Council of Ministries on the maximum amount and value of energy from renewable energy sources that can be sold at auctions in 2021 r.</t>
  </si>
  <si>
    <t>https://www.cire.pl/item,209269,1,0,0,0,0,0,rzad-przyjal-rozporzadzenie-w-sprawie-przyszlorocznych-aukcji-oze-.html</t>
  </si>
  <si>
    <t>https://isap.sejm.gov.pl/isap.nsf/DocDetails.xsp?id=WDU20200002363</t>
  </si>
  <si>
    <t>POL25</t>
  </si>
  <si>
    <t>Polish Nuclear Power Programme envisages construction of 6 nuclear power units by 2043. It aims to reinforce the energy security and to contribute to climate protection by replacing ageing fleet of high-emission baseload coal units with dispatchable and scalable zero-emission units. It is envisaged that it will reduce dramatically the emissions of greenhouse gases into the atmosphere from the energy sector. The execution of the programme will bring benefits for the economy:  lack of high costs of purchase
of CO2 emission allowances, lack of high fuel costs.</t>
  </si>
  <si>
    <t>Ministry of Climate and Environment</t>
  </si>
  <si>
    <t>https://www.gov.pl/web/klimat/program-polskiej-energetyki-jadrowej1</t>
  </si>
  <si>
    <t>POL26</t>
  </si>
  <si>
    <t>PLN 13.5 billion</t>
  </si>
  <si>
    <t>Supporting high-efficiency cogeneration to reduce GHG emissions, while ensuring the security of heat and electricity supplies and improving the efficiency of energy use.</t>
  </si>
  <si>
    <t>https://www.ure.gov.pl/pl/urzad/informacje-ogolne/aktualnosci/8856,Ponad-13-mld-zlotych-na-wsparcie-wysokosprawnej-kogeneracji-w-2020-roku.html</t>
  </si>
  <si>
    <t>POL 27</t>
  </si>
  <si>
    <t>PLN 38 billion</t>
  </si>
  <si>
    <t>green investment plans by the Ministry of Climate and Environment: the funds will be used to implement projects related to energy transformation, improving air quality, thermal upgrading of buildings, development of electromobility, investments in RES micro-installations or solutions related to mitigating the effects of drought.</t>
  </si>
  <si>
    <t>https://www.euractiv.com/section/energy/opinion/green-investment-plan-will-be-an-impulse-for-economic-growth/</t>
  </si>
  <si>
    <t>POL28</t>
  </si>
  <si>
    <r>
      <t xml:space="preserve">Representatives of the Polish government (including the Ministry of State Assets, Chancellary of the Prime Minister, and Ministry of Climate </t>
    </r>
    <r>
      <rPr>
        <b/>
        <sz val="9"/>
        <color rgb="FF000000"/>
        <rFont val="Arial"/>
        <family val="2"/>
        <charset val="238"/>
      </rPr>
      <t>and Environment)</t>
    </r>
    <r>
      <rPr>
        <sz val="9"/>
        <color rgb="FF000000"/>
        <rFont val="Arial"/>
        <family val="2"/>
      </rPr>
      <t xml:space="preserve"> signed an agreement with trade union members in Poland (Inter-union Protest and Strike Committee) to close down the Polish </t>
    </r>
    <r>
      <rPr>
        <b/>
        <sz val="9"/>
        <color rgb="FF000000"/>
        <rFont val="Arial"/>
        <family val="2"/>
        <charset val="238"/>
      </rPr>
      <t>coal</t>
    </r>
    <r>
      <rPr>
        <sz val="9"/>
        <color rgb="FF000000"/>
        <rFont val="Arial"/>
        <family val="2"/>
      </rPr>
      <t xml:space="preserve"> mining industry by 2049. The liquidation of individual mines will occur in phases between 2021 and 2049. Coal miners are guaranteed their jobs until retirement; if this is not possible, they will be covered by a social protection plan.The agreement does not cover coking coal mines in Silesia </t>
    </r>
    <r>
      <rPr>
        <b/>
        <sz val="9"/>
        <color rgb="FF000000"/>
        <rFont val="Arial"/>
        <family val="2"/>
        <charset val="238"/>
      </rPr>
      <t>nor coal mines owned by private entities.</t>
    </r>
  </si>
  <si>
    <t>https://www.gov.pl/web/aktywa-panstwowe/porozumienie-w-sprawie-transformacji-i-przyszlosci-gornictwa-podpisane (accessed 28 Sep 2020);</t>
  </si>
  <si>
    <t>POL30</t>
  </si>
  <si>
    <t>PLN 33.7 million</t>
  </si>
  <si>
    <t>Financial support for LW Bogdanka coal mine from the Fund of Guaranteed Employee Benefits to protect the jobs during the pandemic crisis</t>
  </si>
  <si>
    <t>https://www.cire.pl/item,207480,1,0,0,0,0,0,opublikowano-pierwsza-czesc-reformy-rynku-bilansujacego.html</t>
  </si>
  <si>
    <t>POL32</t>
  </si>
  <si>
    <t>PLN 100 million</t>
  </si>
  <si>
    <t>The National Fund for Environmental Protection and Water Management will provide an additional PLN 100 million for investments in the production of electricity from PV installations with a capacity of 2-10 kW. The decision had been made in reaction to the exhaustion of the pool of already allocated subsidies worth PLN 1 billion.</t>
  </si>
  <si>
    <t>https://www.nfosigw.gov.pl/o-nfosigw/aktualnosci/art,1675,nfosigw-zwieksza-budzet-mojego-pradu-o-dodatkowe-100-mln-zl.html</t>
  </si>
  <si>
    <t>POL33</t>
  </si>
  <si>
    <t>PLN 1 billion</t>
  </si>
  <si>
    <t>Jastrzębska Spółka Węglowa will receive a PLN 1 billion under the Financial Shield of the Polish Development Fund for Large Companies. The money will supply the liquidty of company, due to COVID-19 related crisis losses. The loan will have to be repaid by September 30, 2024 at the latest. The JSW Group is the largest producer of high-quality type 35 (hard) coking coal and a significant producer of Coke in the European Union.</t>
  </si>
  <si>
    <t>https://www.jsw.pl/relacje-inwestorskie/raporty-gieldowe/raporty-biezace/raport-biezacy/raport-biezacy-nr-40-2020</t>
  </si>
  <si>
    <t>POL34</t>
  </si>
  <si>
    <t>PLN 146 milllion</t>
  </si>
  <si>
    <t xml:space="preserve">The construction or modernization of heating networks in 20 towns in Poland. The funds will help improve conditions of the network infrastructure as well as reduce greenhouse gas emissions and primary energy consumption. The funding comes from the OP Infrastructure and Environment programme, which benefits from EU Cohesion Funds and the EU Regional Development Fund. It is overseen by the National Fund for Environmental Protection and Water Management. </t>
  </si>
  <si>
    <t>http://nfosigw.gov.pl/o-nfosigw/aktualnosci/art,1688,ponad-146-mln-zl-unijnego-dofinansowania-na-infrastrukture-cieplownicza-w-20-miejscowosciach.html</t>
  </si>
  <si>
    <t>POL35</t>
  </si>
  <si>
    <t>PLN 2.9 billion</t>
  </si>
  <si>
    <t>With the approval of the European Commission, LOT Polish Airlines was granted in December 2020 state aid in the amount of PLN 2.9 billion in light of the global pandemic. The aid package consists of (1) an increase in the share capital by the State Treasury by PLN 1.1 billion and (2) a PLN 1.8 billion loan that will be granted by the Polish Development Fund. LOT has committed to repay the majority of the aid value, including interest, within six years.</t>
  </si>
  <si>
    <t>https://www.gov.pl/web/aktywa-panstwowe/pakiet-pomocowy-dla-pll-lot-przyjety</t>
  </si>
  <si>
    <t>POL36</t>
  </si>
  <si>
    <t>PLN 57 million</t>
  </si>
  <si>
    <t>Funding for street lighting will be provided in the form of preferential loans, which can be redeemed up to 10% (but not more than PLN 1 million). This funding will support the installation of over 22,000 ecological lighting points. The funding will be provided by the National Fund for Environmental Protection and Water Management.</t>
  </si>
  <si>
    <t>http://nfosigw.gov.pl/o-nfosigw/aktualnosci/art,1697,wsparcie-nfosigw-na-modernizacje-oswietlenia-zewnetrznego-w-pieciu-wojewodztwach.html</t>
  </si>
  <si>
    <t>POL38</t>
  </si>
  <si>
    <t>PLN 1.75 billion</t>
  </si>
  <si>
    <t xml:space="preserve">The funding for the Polish Mining Group (PPG) was approved by the government March 30, 2021. PGG will receive a liquidity loan of PLN 1 billion from the Polish Development Fund (Polski Fundusz Rozwoju). Support also consists of a preferential loan of PLN 750 million. </t>
  </si>
  <si>
    <t>https://biznes.wprost.pl/koronawirus/tarcza-antykryzysowa/10434518/miliard-zlotych-pozyczki-dla-pgg-rada-ministrow-wydala-zgode.html</t>
  </si>
  <si>
    <t>POL39</t>
  </si>
  <si>
    <t>Changes to the “Clean Air” program: withdrawal of subsidies for coal-fired boilers. The purchase and installation of a coal-fired boiler under the "Clean Air" program will be possible only until December 31, 2021, which means that from January 1, 2022 there will be no subsidies for this heat source. In addition, from July 1, 2021, it is planned to increase the current income thresholds entitling to an increased level of co-financing.</t>
  </si>
  <si>
    <t>http://nfosigw.gov.pl/o-nfosigw/aktualnosci/art,1798,wazne-zmiany-w-programie-czyste-powietrze-wycofanie-dotacji-na-kotly-weglowe-i-podwyzszenie-progow-dochodowych.html</t>
  </si>
  <si>
    <t>POL40</t>
  </si>
  <si>
    <t xml:space="preserve">Programme "Moja Woda" (My Water) will provide support to individual households for the retention of rain water. House owners will be eligible to receive PLN 5 000 to arrange the collection and use of rain water for their household. </t>
  </si>
  <si>
    <t>https://www.money.pl/gospodarka/oze-kurtyka-10-mld-zl-na-zielone-inwestycje-6519549601420929a.html</t>
  </si>
  <si>
    <t>POL41</t>
  </si>
  <si>
    <r>
      <t>Programme "Neutralization of hazardous medical waste resulting from COVID-19" co-financed by the Regional Funds for EnvironmentalProtection and Water Management. Up to 100% of eligible costs, not more than PLN 17 000 per project.</t>
    </r>
    <r>
      <rPr>
        <b/>
        <sz val="9"/>
        <color rgb="FF000000"/>
        <rFont val="Arial"/>
        <family val="2"/>
        <charset val="238"/>
      </rPr>
      <t xml:space="preserve"> First  programme was implemented in 2020. Second analogical programme for 2021</t>
    </r>
    <r>
      <rPr>
        <sz val="9"/>
        <color rgb="FF000000"/>
        <rFont val="Arial"/>
        <family val="2"/>
        <charset val="238"/>
      </rPr>
      <t xml:space="preserve"> </t>
    </r>
    <r>
      <rPr>
        <b/>
        <sz val="9"/>
        <color rgb="FF000000"/>
        <rFont val="Arial"/>
        <family val="2"/>
        <charset val="238"/>
      </rPr>
      <t>has been run since April 2021.</t>
    </r>
  </si>
  <si>
    <t>https://wfosigw.pl/porgramy_i_konkursy/oz-2-unieszkodliwianie-zakaznych-odpadow-medycznych-w-zwiazku-z-przeciwdzialaniem-covid-19/</t>
  </si>
  <si>
    <t>https://wfosigw.pl/porgramy_i_konkursy/2021-oz-1-unieszkodliwianie-zakaznych-odpadow-medycznych-w-zwiazku-z-przeciwdzialaniem-covid-19/</t>
  </si>
  <si>
    <t>POL42</t>
  </si>
  <si>
    <t>EUR 4180 Mio</t>
  </si>
  <si>
    <t>EU RRP (proposed): B.1 Improving the energy efficiency of the economy</t>
  </si>
  <si>
    <t>Recovery and Resilience Plan - https://www.gov.pl/web/planodbudowy/kpo-wyslany-do-komisji-europejskiej</t>
  </si>
  <si>
    <t>POL43</t>
  </si>
  <si>
    <t>EUR 5084 Mio</t>
  </si>
  <si>
    <t>EU RRP (proposed): B.2 Increasing the use of renewable energy sources</t>
  </si>
  <si>
    <t>POL44</t>
  </si>
  <si>
    <t>EUR 4626 Mio</t>
  </si>
  <si>
    <t>EU RRP (prosposed): B.3 Adaptation to climate change and reduction of envionmental degradation</t>
  </si>
  <si>
    <t>POL45</t>
  </si>
  <si>
    <t>EUR 2445 Mio</t>
  </si>
  <si>
    <t>EU RRP (proposed): E.1 Increase the share of zero and low-emission transport as well as preventing and reducing the negative impact of transport on the environment</t>
  </si>
  <si>
    <t>POL46</t>
  </si>
  <si>
    <t>EU RRP (proposed): Adoption of the Act on Investments in the field of counteracting the effects of drought</t>
  </si>
  <si>
    <t>POL47</t>
  </si>
  <si>
    <t>EU RRP (proposed): Adoption of the Amendment to the Act on the Public Utility Bus Development Fund; to maintain the increased rate of surcharge and create conditions for concluding long-term contracts for the surcharge</t>
  </si>
  <si>
    <t>POL48</t>
  </si>
  <si>
    <t>EU RRP (proposed): Adoption of legislative changes introducing higher limits for the share of low and zero-emission rolling stock in procurement (incuding the obligation of exclusively purchase such vehicles in cities over 100000)</t>
  </si>
  <si>
    <t>POL49</t>
  </si>
  <si>
    <t>PLN 37,5 million</t>
  </si>
  <si>
    <t>Programme "Effective construction of apartment buildings" ("Budownictwo efektywne energetycznie i procesowo") - R&amp;D services aimed to create a technology which enables quickly developed modular and energy efficient buildings for housing purposes for socially unprivileged, elderly and small families (the technology is invented by the service providers). Research contractors are selected through pre-commercial public procurement (PCP model).</t>
  </si>
  <si>
    <t>https://www.gov.pl/web/ncbr/8420pup79---budownictwo-efektywne-energetycznie-i-procesowo</t>
  </si>
  <si>
    <t>POL50</t>
  </si>
  <si>
    <t>PLN 32,5 million</t>
  </si>
  <si>
    <t>Programme "Biogas plants" - R&amp;D services aimed to create a technology for creating a biogas plant with a specific minimum energy efficiency (the technology behind the plant is invented by the service providers).  Research contractors are selected through pre-commercial public procurement (PCP model). ("Innowacyjna biogazownia")</t>
  </si>
  <si>
    <t>https://www.gov.pl/web/ncbr/innowacyjna-biogazownia2</t>
  </si>
  <si>
    <t>POL51</t>
  </si>
  <si>
    <t>PLN 27 million</t>
  </si>
  <si>
    <t>Programme "Water treatment plants" - R&amp;D services aimed to create a technology for the use of a water treatment plant with a specific requirement of the further use of the sewage as a source of both fertilizers and water for industry or agriculture (the technology behind the plant is invented by the service providers), (Oczyszczalnia przyszłości)</t>
  </si>
  <si>
    <t>https://www.gov.pl/web/ncbr/oczyszczalnia-przyszlosci2</t>
  </si>
  <si>
    <t>POL52</t>
  </si>
  <si>
    <t>PLN 38 million</t>
  </si>
  <si>
    <t xml:space="preserve">Programme "Renewable-energy-based heating plants"(Ciepłownia Przyszłości, czyli system ciepłowniczy z OZE)-  R&amp;D services aimed to create a technology which enables the transformation of heating plants from coal to at least 80% renewable sources, without major changes of the heating-transfer infrastructur (the technology is invented by the service providers).  Research contractors are selected through pre-commercial public procurement (PCP model). </t>
  </si>
  <si>
    <t>https://www.gov.pl/web/ncbr/7221pu---cieplownia-przyszlosci-czyli-system-cieplowniczy-z-oze</t>
  </si>
  <si>
    <t>POL53</t>
  </si>
  <si>
    <t>PLN 12,9 million</t>
  </si>
  <si>
    <t xml:space="preserve">Programme "Electricity storage" (Magazynowanie energii elektrycznej) - R&amp;D services aimed to create a new battery and a battery system with a specific minimum efficiency and universality requirements and using accessible in Poland resources [which may be nevertheless acquired in any other EU country, e.g. lead] (the technology behind the battery and system are invented by the service providers). Research contractors are selected through pre-commercial public procurement (PCP model). </t>
  </si>
  <si>
    <t>https://www.gov.pl/web/ncbr/7521pu---magazynowanie-energii-elektrycznej</t>
  </si>
  <si>
    <t>POL54</t>
  </si>
  <si>
    <t>PLN 5,8 million</t>
  </si>
  <si>
    <t>Programme "Water retention" ("Technologia domowej retencji") -  R&amp;D services aimed to create a universal and ultimately zero-waste water retention system for houses and schools using the same rain water in subsequent use cycles for drinking, bathing cleaning, toilet and gardening (the technology behind the system are invented by the service providers). Research contractors are selected through pre-commercial public procurement (PCP model).</t>
  </si>
  <si>
    <t>https://www.gov.pl/web/ncbr/8621pu---technologie-domowej-retencji</t>
  </si>
  <si>
    <t>POL55</t>
  </si>
  <si>
    <t>PLN 42 million</t>
  </si>
  <si>
    <t xml:space="preserve">Programme "Renewable-energy-based heating plants with the use of the links in the local energy system " ("Elektrociepłownia w lokalnym systemie energetycznym")-  R&amp;D services aimed to create a technology which enables the transformation of heating plants from coal to at least 80% renewable sources, without major changes of the heating-transfer infrastructur  with the use of the links in the local energy system (the technology is invented by the service providers). Research contractors are selected through pre-commercial public procurement (PCP model). </t>
  </si>
  <si>
    <t>https://www.gov.pl/web/ncbr/8821pup63---elektrocieplownia-w-lokalnym-systemie-energetycznym</t>
  </si>
  <si>
    <t>POL56</t>
  </si>
  <si>
    <t>PLN 7,5 million</t>
  </si>
  <si>
    <t>Programme "Ventilation" ("Wentylacja dla szkół i domów")- R&amp;D services aimed to create a universal ventilation system which without the change of the construction may be used in the majority of old school buildings and old apartments on the Polish market and improve the air quality and temperature comfort of the users (the technology behind the system are invented by the service providers). Research contractors are selected through pre-commercial public procurement (PCP model).</t>
  </si>
  <si>
    <t>https://www.gov.pl/web/ncbr/9421pup37---wentylacja-dla-szkol-i-domow</t>
  </si>
  <si>
    <t>POL57</t>
  </si>
  <si>
    <t>PLN 8,2 million</t>
  </si>
  <si>
    <t>Programme "Heat and cold storage" ("Magazynowanie Ciepła i Chłodu") - R&amp;D services aimed to create a new heating and/or cooling storage system with a specific minimum energy- and cost efficiency requirements (the technology behind the system are invented by the service providers). System harvesting and storage the maximum available energy at a given time from RES and distributing it depending on the building's needs.  Research contractors are selected through pre-commercial public procurement (PCP model).</t>
  </si>
  <si>
    <t>https://www.gov.pl/web/ncbr/10521pup40---magazynowanie-ciepla-i-chlodu</t>
  </si>
  <si>
    <t>POL58</t>
  </si>
  <si>
    <t>PLN 20 million</t>
  </si>
  <si>
    <t xml:space="preserve">GOSPOSTRATEG - „Social and Economic Development of Poland in the Conditions of Globalising Markets”. 
The GOSPOSTRATEG Programme is related to the governmental Strategy for Responsible Development. The main objective of the Program is to increase the use of the results of socio-economic research in shaping national and regional development policies in the perspective of 2028. The specific objectives of the Program are: 
(i) implementation of policies, strategies, operational documents and specific solutions developed under the Program; 
(ii) implementation of solutions developed under the Program, strengthening social capital necessary to implement national and regional development policies.
The seventh competition in frame of the Program aims to select contractors of so-called commissioned projects and covers two research issues submitted by the Ministry of Climate and the Environment:
1. Sectoral program for the reconstruction of selected branches of Polish industry for the needs of offshore wind energy (OWE) in order to create a new Polish economic specialization
2. A comprehensive program of transformation and revitalization of the Polish industry for the development of photovoltaics (PV). Promoting intra-sector cooperation, stimulating an increase in productivity, innovation and personnel competences, strengthening energy security and supply chains for the development of photovoltaics
</t>
  </si>
  <si>
    <t>https://www.gov.pl/web/ncbr/gospostrateg--vii-konkurs-na-projekty-zamawiane</t>
  </si>
  <si>
    <t>POL61</t>
  </si>
  <si>
    <t>PLN 500 million</t>
  </si>
  <si>
    <t>My Electricity; Around 200 thousand prosumer installations have been installed during 2-year lifetime of the programme. It is based on co-financing for 50 per cent of the costs of constructing an installation with a power output of 2 up to 10kW and can amount to a total of PLN 5 thousand (USD 1,350) in previous two versions and PLN 3 thousand (770 USD currently). The programme has been launched in Q3 2019. Third edition- My Electricity 3.0 has been launched in June this year.</t>
  </si>
  <si>
    <t>https://www.gov.pl/web/klimat/mkis-i-nfosigw-zapowiadaja-kolejne-kroki-w-strategii-rozwoju-oferty-dla-prosumentow-wsrod-nich-dwa-nowe-nabory-w-programie-moj-prad</t>
  </si>
  <si>
    <t>PRT1</t>
  </si>
  <si>
    <t>Expansion of the Lisbon and Porto metros, new bridge over the Douro. It also proposes to accelerate the electric mobility of cities, including providing public transport fleets with zero-emission vehicles, electric or hydrogen.</t>
  </si>
  <si>
    <t>PRT2</t>
  </si>
  <si>
    <t>High speed resumption and new airport. This connection "will enhance the affirmation of the two metropolitan areas of the country and their operation in a network", in addition to bringing "great environmental gains by dispensing with aerial connections". The environmental impacts of building a new airport are unclear - presumably could increase flight capacity.</t>
  </si>
  <si>
    <t>PRT3</t>
  </si>
  <si>
    <t>Compliance with the European Ecological Pact. The economic recovery for Portugal from 2020 to 2030 has to fulfil the objectives of the European Ecological Pact. The manager considers that "society recognises and demands a green recovery plan" and points out as objectives "more renewable energy, more gas and less coal, more electricity, more digital technologies". It reaffirms the commitment "of carbon neutrality and the path of reducing emissions", fulfilling the 2030 targets of the national plans for energy and circular economy, such as the use of 80 percent of renewable energies.</t>
  </si>
  <si>
    <t>120 M Euros</t>
  </si>
  <si>
    <t>250 M Euros</t>
  </si>
  <si>
    <t>PRT36</t>
  </si>
  <si>
    <t>87 M Euros</t>
  </si>
  <si>
    <t xml:space="preserve">TC-C10-i01 "Hub Azul, Rede de Infraestructuras para a Economia Azul": The Blue Economy Hub aims to integrate a set of investments in national national clusters of (new and existing) coastal infrastructures with access to water, laboratories and test zones, prototyping sites, pre and industrial scale-up and incubation and leveraging companies by creating a networked physical and virtual platform to boost the bioeconomy and other emerging areas of the decarbonising marine economy in Portugal and in Europe. The new Blue Hub will include not only the land and sea  
infrastructures mentioned above, but also a close connection to national universities, mainly to schools with higher education directed towards the sea, and to professional training centres of the Sea, in order to boost an innovative concept of Blue Hub School, where it is intended to 
encourage the interconnection between the training of highly qualified human resources for the activities of the sea with the market needs of the economy of the sea and the trends towards new economic models that are more digitalised and planet-friendly.
The Blue Hub will include onshore infrastructure in port areas or logistics and storage linked to the sea, infrastructure at sea with access to new equipment for monitoring equipment and its data, and will provide access to hours of oceanographic research vessels for bioprospecting 
oceanographic research vessels for bio-prospecting, mapping and scientific knowledge, as well as to leverage experimentation of innovative solutions in real context, at sea. There will be zones reserved for companies, their technological development and their specific intellectual 
specific intellectual property, but also zones for interaction between companies, between companies and centres of science and knowledge, between companies, universities and training centres, and also between these and the sea, to facilitate and encourage cross-fertilisation and the transfer knowledge, also enhancing open and joint innovation. There will also be areas of and shared work areas that will enable small start-ups and SMEs to scale up if they cannot alone cannot reach such investments, thus maximising the impact of public investment, allowing multiple uses of each infrastructure. These companies should develop their activity in various sectors, from biotechnology, the food industry renewable energies and robotic engineering, but also textiles or product design (including innovation for the arts), product design (including innovation for fishing gear), or even cosmetics. This hybrid format between SMEs and start-ups, large companies, interface centres and interface and universities will be a dynamo to attract new companies and foreign direct investment investment and will contribute to increase the international projection of the Portuguese sea economy. 
</t>
  </si>
  <si>
    <t>https://www.portugal.gov.pt/pt/gc22/comunicacao/documento?i=recuperar-portugal-construindo-o-futuro-plano-de-recuperacao-e-resiliencia</t>
  </si>
  <si>
    <t>PRT37</t>
  </si>
  <si>
    <t>21 M Euros</t>
  </si>
  <si>
    <t>TC-C10-i02 "Transição Verde e Digital e Segurança nas Pescas": The fisheries and aquaculture sector, including processing and marketing, is one of the priority intervention areas for the achievement of several objectives of the National Strategy for the the Sea 2021-2030. The minimisation of impacts on marine ecosystems, the creation of new products and products and processes and the development of business models based on a circular circular economy, energy efficiency and digital are some of its most pressing challenges. Only with significant changes in its structure is it possible to modernise the fishing fleet for improved living and working conditions on board, safety and energy efficiency. 
The aim is also to change behaviour in order to obtain results in a more efficient and environmentally sustainable way, contributing to ensure the reduction of greenhouse gas emissions by the activities of the economy of the sea by 2030 2030, aiming at the commitments made under the Paris Agreement and the Roadmap for Carbon Neutrality 2050. In this sense, projects will be supported for development of trawling, seine, polyvalent and aquaculture support vessels, demonstrating aquaculture, demonstrating better energy and environmental efficiency, as well as projects that aim at innovation, modernisation of processes, reduction of the carbon footprint, collection of marine waste and the circular economy of companies and organisations in the fisheries sector.</t>
  </si>
  <si>
    <t>PRT38</t>
  </si>
  <si>
    <t>112 M Euros</t>
  </si>
  <si>
    <t>TC-C10-i03 "Centro de Operações de Defesa do Atlântico e Plataforma Naval": Portugal proposes to contribute to these two agendas through the implementation of on the one hand, to protect the Ocean and, on the other hand, to support the growth of the Blue Economy in a sustainable of the Blue Economy in a sustainable manner. The Atlantic Defence Operations Centre and the Naval Platform will contribute to preservation of the value of ecosystem services and to the "Ocean Health", making the defence of the environment and the territory, maintaining the preservation of the value chains of the various ocean industries and reinforcing the country's operational and scientific capacity. It is also intended to strengthen intermediate and higher specialized qualifications in the naval sector through the Arsenal Academy, which will include a Centre for Innovation and Experimentation Centre.</t>
  </si>
  <si>
    <t>PRT39</t>
  </si>
  <si>
    <t>32 M Euros</t>
  </si>
  <si>
    <t>TC-C10-i04-RAA "Desenvolvimento do Cluster do Mar dos Açores”: The Autonomous Region of the Azores considered strategic at the level of Innovation, to strengthen the Cluster through investment in fixed and mobile physical infrastructures (MARTEC Technopole), within the scope of marine science research and its articulation with the economic sector.The fixed infrastructures available are mainly based on the island of Faial, in facilities inadequate, without adequate physical or technological capacity for research in emerging areas or areas or in certain domains of traditional areas, as well as for an adequate cooperation with the business sector. The following was identified as a key investment of an experimental research and development centre linked to the Sea, shareable with the institutions of the Scientific and Technological System of the Azores and businesses, inducing R&amp;D in traditional and emerging areas, such as fisheries and derivative products, aquaculture biotechnology, biomaterials and mineral resources, or marine technologies and marine technologies and engineering</t>
  </si>
  <si>
    <t>PRT40</t>
  </si>
  <si>
    <t>715 M Euros</t>
  </si>
  <si>
    <t xml:space="preserve">TC-C11-i01 "Descarbonização da Indústria": This investment, led by IAPMEI, IP, is intended to promote and financially support the initiative of national industry for a multidimensional performance at environmental level.
</t>
  </si>
  <si>
    <t>PRT41</t>
  </si>
  <si>
    <t>TC-r25 Sustainable Bioeconomy: This reform is implemented through the Plan for a Sustainable Bioeconomy, which will based on the preservation and efficient use of biological resources, in order to address current global and local challenges, including climate change, reduce dependence on fossil dependence on fossil resources and stimulate sustainable development. To respond to these challenges, the New General Waste Management Regime (RGGR) was published and The Action Plan for a Sustainable Bioeconomy is being developed. Submitted for public consultation, approved and published, and which will function as a strategic vector for sustainable national development, foreseeing the definition of macro action measures macro action measures divided into five axes of action.</t>
  </si>
  <si>
    <t>PRT42</t>
  </si>
  <si>
    <t>145 M Euros</t>
  </si>
  <si>
    <t>TC-C12-i01 Sustainable Bioeconomy: This investment, whose execution will be the responsibility of the Environmental Fund, will the incorporation of biobased materials (as an alternative to fossil-based based materials) in three sectors of national economic activity, ensuring greater competitiveness and competitiveness and, in this way, contribute to the transition to carbon neutrality in a fair and cohesive neutrality in a fair and cohesive manner, fundamental for the achievement of environmental and economic objectives are achieved in a sustainable manner. 
The intention is to develop around 17 lines of research, development and innovation, contribute to increasing the number of accessions per year of vigilant resin producers (55 accessions/year) and to grant financial support to improve 8,500 ha of Pinus pinaster stands pine stands with potential for resin tapping.</t>
  </si>
  <si>
    <t>PRT43</t>
  </si>
  <si>
    <t>300 M Euros</t>
  </si>
  <si>
    <t>TC-C13-i01 "Eficiência energética em edifícios residenciais": Under the responsibility of the Environmental Fund, the aim is to promote investments in a renovation of residential buildings, the promotion of energy and resource efficiency, the efficiency of energy and resources, strengthening the production of energy from renewable sources in self-consumption and the fight against energy poverty, which may materialise in individual or individual or cumulative actions.</t>
  </si>
  <si>
    <t>PRT44</t>
  </si>
  <si>
    <t>240 M Euros</t>
  </si>
  <si>
    <t>TC-C13-i02 "Eficiência energética em edifícios da administração pública central": Also promoted by the Environmental Fund, the aim is to promote investments in a significant wave of energy renovation of central public administration buildings and educational institutions (of all levels, including higher education), promote energy and resource efficiency and and resources and reinforce the production of energy from renewable sources in a self-consumption regime, through self-consumption, through actions of the same nature as described for the previous investment.</t>
  </si>
  <si>
    <t>PRT45</t>
  </si>
  <si>
    <t>70 M Euros</t>
  </si>
  <si>
    <t>TC-C13-i03 "Eficiência energética em edifícios de serviços": It aims to invest in a significant wave of energy renovation of buildings services buildings, the promotion of energy efficiency and the reinforcement of energy production from renewable sources in a self-consumption regime, under the responsibility of the Environmental Fund and through the actions already described for the previous investments.</t>
  </si>
  <si>
    <t>PRT46</t>
  </si>
  <si>
    <t>185 M Euros</t>
  </si>
  <si>
    <t>TC-C14-i01 Hidrogénio e gases renováveis</t>
  </si>
  <si>
    <t>PRT47</t>
  </si>
  <si>
    <t>69 M Euros</t>
  </si>
  <si>
    <t>TC-C14-i02-RAM  Potenciação da eletricidade renovável no Arquipélago da Madeira</t>
  </si>
  <si>
    <t>PRT48</t>
  </si>
  <si>
    <t>116 M Euros</t>
  </si>
  <si>
    <t>TC-C14-i03-RAA  Transição Energética nos Açores</t>
  </si>
  <si>
    <t>PRT49</t>
  </si>
  <si>
    <t>304 M Euros</t>
  </si>
  <si>
    <t>TC-C15-i01 Expansão da Rede de Metro de Lisboa - Linha Vermelha até Alcântara</t>
  </si>
  <si>
    <t>PRT50</t>
  </si>
  <si>
    <t>299 M Euros</t>
  </si>
  <si>
    <t>TC-C15-i02 Expansão da Rede de Metro do Porto - Casa da Música-Santo Ovídio</t>
  </si>
  <si>
    <t>PRT51</t>
  </si>
  <si>
    <t>TC-C15-i03  Metro Ligeiro de Superfície Odivelas-Loures</t>
  </si>
  <si>
    <t>PRT52</t>
  </si>
  <si>
    <t>66 M Euros</t>
  </si>
  <si>
    <t>TC-C15-i04 Linha BRT Boavista - Império</t>
  </si>
  <si>
    <t>PRT53</t>
  </si>
  <si>
    <t>48 M Euros</t>
  </si>
  <si>
    <t>TC-C15-i05 Descarbonização dos Transportes Públicos</t>
  </si>
  <si>
    <t>PRT54</t>
  </si>
  <si>
    <t xml:space="preserve">RE-r19 Transformação da Paisagem dos Territórios de Floresta Vulneráveis; regulatory framework as the basis for the investments of the lascape transformation programme </t>
  </si>
  <si>
    <t>PRT55</t>
  </si>
  <si>
    <t>RE-r21 Prevenção e Combate de Fogos Rurais, regulatory framework to re-organise the prevention and combat of increased forest fires in response to climate change</t>
  </si>
  <si>
    <t>PRT56</t>
  </si>
  <si>
    <t>270 M Euros</t>
  </si>
  <si>
    <t>RE-C08-i01  Transformação da Paisagem dos Territórios de Floresta Vulneráveis; investments in vulnerable landscapes to increase the ecological resilience of those territories</t>
  </si>
  <si>
    <t>PRT57</t>
  </si>
  <si>
    <t>86 M Euros</t>
  </si>
  <si>
    <t>RE-C08-i02 Cadastro da Propriedade Rústica e Sistema de Monitorização da Ocupação do Solo</t>
  </si>
  <si>
    <t>PRT58</t>
  </si>
  <si>
    <t>89 M Euros</t>
  </si>
  <si>
    <t>RE-C08-i04 Meios de prevenção e combate a incêndios rurais</t>
  </si>
  <si>
    <t>PRT59</t>
  </si>
  <si>
    <t>50 M Euros</t>
  </si>
  <si>
    <t>RE-C08-i05  Programa MAIS Floresta</t>
  </si>
  <si>
    <t>PRT60</t>
  </si>
  <si>
    <t>RE-r22 Gestão Integrada e Circular dos Recursos Hídricos em Situações de Escassez, Integrated and Circular Management of Water Resources in Situations of Scarcity</t>
  </si>
  <si>
    <t>PRT61</t>
  </si>
  <si>
    <t>200 M Euros</t>
  </si>
  <si>
    <t>RE-C09-i01 Plano Regional de Eficiência Hídrica do Algarve</t>
  </si>
  <si>
    <t>PRT62</t>
  </si>
  <si>
    <t>RE-C09-i02 Aproveitamento hidráulico de fins múltiplos do Crato</t>
  </si>
  <si>
    <t>PRT63</t>
  </si>
  <si>
    <t>RE-C09-i03-RAM Plano de eficiência e reforço hídrico dos sistemas de abastecimento e regadio da RAM; investments in water management as climate change adaption measure, to optimize the use of existing water resources and capture surplus water without any impact on ecosystems</t>
  </si>
  <si>
    <t>PRT64</t>
  </si>
  <si>
    <t>EUR 1211 Mio</t>
  </si>
  <si>
    <t>RE-C02-i01 Support programme for access to housing (the environmental aspect of this programme refers to energy efficient construction + renovation)</t>
  </si>
  <si>
    <t>National recovery and resilience plan - https://www.portugal.gov.pt/pt/gc22/comunicacao/documento?i=recuperar-portugal-construindo-o-futuro-plano-de-recuperacao-e-resiliencia</t>
  </si>
  <si>
    <t>PRT65</t>
  </si>
  <si>
    <t>EUR 176 Mio</t>
  </si>
  <si>
    <t>RE-C02-i02 National emergency and temporary housing grant (the environmental aspect of this programme refers to energy efficient construction + renovation)</t>
  </si>
  <si>
    <t>PRT66</t>
  </si>
  <si>
    <t>EUR 136 Mio</t>
  </si>
  <si>
    <t>RE-C02-i03-RAM Strengthening of the supply of social housing in the Autonomous Region of Madeira (the environmental aspect of this programme refers to energy efficient construction + renovation)</t>
  </si>
  <si>
    <t>PRT67</t>
  </si>
  <si>
    <t>RE-C02-i04-RAA Increasing housing conditions in the housing stock of the Autonomous Region of the Azores (the environmental aspect of this programme refers to energy efficient construction + renovation)</t>
  </si>
  <si>
    <t>PRT68</t>
  </si>
  <si>
    <t>EUR 775 Mio</t>
  </si>
  <si>
    <t>RE-C02-i05 Affordable Public housing stock (the environmental aspect of this programme refers to energy efficient construction + renovation)</t>
  </si>
  <si>
    <t>PRT69</t>
  </si>
  <si>
    <t>EUR 375 Mio</t>
  </si>
  <si>
    <t>RE-C02-i06 Student accommodation at affordable prices (loan) (the environmental aspect of this programme refers to energy efficient construction + renovation)</t>
  </si>
  <si>
    <t>PRT70</t>
  </si>
  <si>
    <t>EUR 83 Mio</t>
  </si>
  <si>
    <t>RE-C03-i03-RAM Strengthening social responses in the Autonomous Region of Madeira (ARM)  (the environmental aspect of this programme refers to energy efficient construction + renovation)</t>
  </si>
  <si>
    <t>PRT71</t>
  </si>
  <si>
    <t>RE-C03-i04-RAA Implementing the Regional Strategy for Combating Poverty and Social Exclusion: Social Support Networks (Electric cars as sustainable transport tools are introduced as well as social housing constructed in an energy efficient way)</t>
  </si>
  <si>
    <t>PRT72</t>
  </si>
  <si>
    <t>EUR 558 Mio</t>
  </si>
  <si>
    <t>RE-C05-i01.02 Green Agendas to promote sustainable business ideas / Alliances for business innovation</t>
  </si>
  <si>
    <t>PRT73</t>
  </si>
  <si>
    <t>EUR 93 Mio</t>
  </si>
  <si>
    <t xml:space="preserve">RE-C05-i03  Research and innovation agenda for sustainable agriculture, food and agro-industry (Innovation Agenda for Agriculture 20 30) </t>
  </si>
  <si>
    <t>PRT74</t>
  </si>
  <si>
    <t>EUR 710 Mio</t>
  </si>
  <si>
    <t>RE-C06-i01  Modernisation of vocational education and training institutions, to promote green skills</t>
  </si>
  <si>
    <t>PRT75</t>
  </si>
  <si>
    <t>EUR 29 Mio</t>
  </si>
  <si>
    <t>RE-C06-i05-RAA Adult qualification and lifelong learning (ARA), including the promotion of green skills</t>
  </si>
  <si>
    <t>PRT76</t>
  </si>
  <si>
    <t>RE-C07-i01 Business Reception Areas. The new Business reception areas must ensure renewable energy production and storage for self-consumption (solar), sustainable mobility (electric mobility/charging points) and pilot areas for hydrogen charging solutions)</t>
  </si>
  <si>
    <t>PRT77</t>
  </si>
  <si>
    <t>RE-C07-i00 Alargamento da Rede de Carregamento de Veículos Elétricos. This investment, not supported by PRR, aims at expanding the electric vehicle charging network</t>
  </si>
  <si>
    <t>PRT78</t>
  </si>
  <si>
    <t>TC-r24 Descarbonização da indústria: framework for future carbon neutral industry development</t>
  </si>
  <si>
    <t>PRT79</t>
  </si>
  <si>
    <t>TC-r27 Programa de Eficiência de Recursos na Administração Pública 2030 (ECO.AP 2030): aims to promote the decarbonization and energy transition of activities carried out by the state</t>
  </si>
  <si>
    <t>PRT80</t>
  </si>
  <si>
    <t>TC-r29 Estratégia Nacional para o Hidrogénio (EN-H2): the main objective is to introduce incentives and stability for the energy sector, promoting the gradual introduction of hydrogen as a sustainable integrated pillar in a broader strategy of transition to a decarbonized economy</t>
  </si>
  <si>
    <t>PRT81</t>
  </si>
  <si>
    <t xml:space="preserve">TC-r30 Reforma do Ecossistema dos Transportes: aims to promote sustainable mobility, in particular in public transort </t>
  </si>
  <si>
    <t>PRT82</t>
  </si>
  <si>
    <t>EUR 133 Mio</t>
  </si>
  <si>
    <t>Bailout of Azores Airlines SATA, liquidity support, August 2020</t>
  </si>
  <si>
    <t>https://www.portugalresident.com/sata-in-e133-million-restructuring-bailout/</t>
  </si>
  <si>
    <t>PRT83</t>
  </si>
  <si>
    <t xml:space="preserve">EUR 1200 Mio </t>
  </si>
  <si>
    <t>TAP Air Portugal received a rescue loan of EUR 1.2 bn through state aid (supported by the European Commission) in June 2020</t>
  </si>
  <si>
    <t>https://www.flightglobal.com/airlines/european-commission-approves-12-billion-bailout-for-tap/138771.article</t>
  </si>
  <si>
    <t>SVK1</t>
  </si>
  <si>
    <t>2.097 billion EUR</t>
  </si>
  <si>
    <t>Loan guarantees for financial institutions certified to provide loans in Slovakia. To help enterprises (both SMEs and large) to cope with limited access to capital, caused by events out of the enterprises’ control, and enable them to finance their operational costs and investments in order to maintain employment. Excluded are companies operating in following sectors: primary production of agricultural products, forestry, fishery and aquaculture. Not eligible for credit are: expenditure on the purchase of road haulage vehicles by an enterprise which operates in road haulage; decommissioning or construction of nuclear power plants; investments aimed at reducing greenhouse gas emissions from activities listed in Annex I to Directive 2003/87/EC; production, processing and marketing of tobacco and tobacco products; investments in airport infrastructure, unless they are related to environmental protection or are accompanied by investments necessary to mitigate or reduce the negative impact of that infrastructure on the environment.</t>
  </si>
  <si>
    <t>https://sario.sk/sites/default/files/files/new_loan_instrument_for_smes_by_sih-sih_anti-corona_guarantee_2.pdf</t>
  </si>
  <si>
    <t>SVK2</t>
  </si>
  <si>
    <t>-</t>
  </si>
  <si>
    <t>Due to COVID the adoption of deposit refund system for beverage packaging has been postoned by one year (to 2023). This was due to administrative constraints during the COVID pandemic (regarding the selection of the system administrator). It is now being discussed that this amendment of Act is to be repealed so as to still make the legislation effective by 2022 as planned.  The Amendment has now been repealed and the legislation will take effect as planned in January 2022.
In April 2020, amendments to 11 individual laws (e.g. water, geology, waste, air) were passed. The consequence was to temporarily halt/postpone deadlines for issuing decisions, deadlines for applications for financial compensation as well as applications for financial support from the Environmental Fund. Currently only the amendment of act suspending the EIA (environmental impact assessments) is still in place. This amendment is now also scheduled to be repealed.  Repealed.</t>
  </si>
  <si>
    <t>ORIGINAL ANNOUNCEMENTS:
https://www.odpady-portal.sk/Dokument/105249/zalohovanie-sa-posuva-o-rok-viacere-lehoty-dostali-odklad-nr-sr-prijala-dolezite-zmeny.aspx
https://www.odpady-portal.sk/Dokument/105313/covid-19-ovplyvnuje-legislativu-v-oblasti-zivotneho-prostredia.aspx
https://www.minzp.sk/spravy/100-dni-ministra-jana-budaja-restart-ministerstva-zivotneho-prostredia-sr.html
REPEALED:
https://www.minzp.sk/spravy/minister-jan-budaj-chce-dodrzat-termin-spustenia-zalohovania-pet-flias.html
https://www.enviroportal.sk/clanok/konania-v-oblasti-zivotneho-prostredia-sa-spriechodnia-odobrila-to-prezidentka</t>
  </si>
  <si>
    <t>SVK3</t>
  </si>
  <si>
    <t>Removing duplicate emissions reporting for resources included in the ETS.
Eliminating duplicate reporting of emissions data to the National Emission Information System and National Pollution Register.
Removing duplicate charging for listed resources within the ETS.</t>
  </si>
  <si>
    <t>https://www.mhsr.sk/uploads/files/O7zsfw1f.pdf</t>
  </si>
  <si>
    <t>SVK4</t>
  </si>
  <si>
    <t>Introducing a simplified energy audit for large businesses, which have achieved significant energy savings since the implementation of the last energy audit, as well as for companies with very low energy consumption.
Limiting the obligation of the authorised person during regular control of heating or air conditioning systems. The authorised person can agree on the procedures for preparing for regular inspection heating / air conditioning system operatively on the basis of local technical and personnel capacities.
Limiting the obligations for a large company after the execution of mandatory energy audits, so that it does not have to provide the monitoring system operator with an electronic data set and summary information sheet.
Reducing the minimum amount of the fine to EUR 500 if a large company does not perform the energy audit in due time (once every 4 years, unless the company does not have a system of certified energy or environmental management in place).
Eliminate the recurring information obligations for energy producers.</t>
  </si>
  <si>
    <t>SVK5</t>
  </si>
  <si>
    <t xml:space="preserve">Removing the obligation to donate food after the best before date.
Allowing sale of food stuffs after the best before date. 
Simplifying the application for a fish farming certificate.
Introducing a publicly available electronic register for applications for lease of agricultural land.
Enabling the purchasing of raw materials by businesses from small local farmers. </t>
  </si>
  <si>
    <t>SVK6</t>
  </si>
  <si>
    <t>Amendments in the legislation related to the extended producer responsibility, notably related to producers of packaging and producers of non-packaging products as well as producer responsibility organisations in order to ensure the stability of the system of separate collection in municipalities.</t>
  </si>
  <si>
    <t>https://www.odpady-portal.sk/Dokument/105543/vlada-schvalila-rozsiahle-zmeny-v-odpadovom-hospodarstve-platit-maju-uz-od-1-oktobra.aspx
https://www.odpady-portal.sk/Dokument/105626/exkluzivne-zmeny-v-zakone-c-792015-o-odpadoch-schvalene-24-septembra-2020.aspx</t>
  </si>
  <si>
    <t>SVK11</t>
  </si>
  <si>
    <t>1030 million EUR</t>
  </si>
  <si>
    <t>Construction, renovation and new equipment of hospitals and Construction and renovation of ambulance stations (NB. both measures are part of the RRP; note that part of this investment is intended for medical equipment; energy efficiency is one of the considerations for the construction and renovation, however it is not obvious to what extent recycled materials would be used, therefore I judge the impact mixed; these are to be implemented by 2025)</t>
  </si>
  <si>
    <t>https://www.planobnovy.sk/files/dokumenty/kompletny-plan_obnovy.pdf</t>
  </si>
  <si>
    <t>SVK12</t>
  </si>
  <si>
    <t>not specified</t>
  </si>
  <si>
    <t>Construction and renovation of other public buildings: courts and schools (note that these are bundled together with other (unrelated) investment projects without a detailed breakdown, hence the magnitude of investment cannot be determined; the modernisation of court buildings would include energy efficiency considerations, rainwater capture and green roofs, but there are no details provided for the construction of schools, also it is not obvious to what extent recycled materials would be used, therefore I judge the impact mixed)</t>
  </si>
  <si>
    <t>SVK13</t>
  </si>
  <si>
    <t>Modernization and building of professional capacities of the Police Force (note that these are bundled together with other (unrelated) investment projects without a detailed breakdown, hence the magnitude of investment cannot be determined; to make crime detection and investigation more effective, the equipment of police departments dealing with environmental crime, criminal analysis and forensic evidence will be upgraded)</t>
  </si>
  <si>
    <t>SVK14</t>
  </si>
  <si>
    <t>741.5 million EUR</t>
  </si>
  <si>
    <t>Renovation of buildings - Investments: 1) Improving the energy efficiency of family houses, 2) Restoration of public historic and listed buildings (NB. these are RRP measures; they will  impact buildings, energy, as well as construction and demolition waste management; these investment aids are to be spent between 2022-2026)</t>
  </si>
  <si>
    <t>SVK15</t>
  </si>
  <si>
    <t>159 million EUR</t>
  </si>
  <si>
    <t>Climate change adaptation - Investments: Adaptation of regions to climate change with emphasis on nature protection and biodiversity development (NB. this is an RRP measure; it is targeted at protection of ecosystems through establishment of non-intervention areas within national parks, prevention against floods and droughts, transformation of regions from resource-intensive to relying on "soft tourism", revitalisation of watercourses, promoting conservation of biodiversity and restoration of habitats, restoration of forests and afforestation)</t>
  </si>
  <si>
    <t>SVK16</t>
  </si>
  <si>
    <t>368 million EUR</t>
  </si>
  <si>
    <t>Decarbonisation of industry sectors - Investments: 1) Decarbonisation of the industry, 2) Ensuring the processes within the Slovak Environmental Inspectorate related to the decarbonisation (NB. these are RRP measures; they will be used to compensate for part of the investment costs needed to implement measures to reduce greenhouse gas emissions in sectors that contribute significantly to their production or have a high potential to reduce them through the introduction of cleaner production technologies; they will also be used for streamlining the implementation of operational activities - inspections, sampling, measurements - in the field; they are to be spent between 2022-2025)</t>
  </si>
  <si>
    <t>SVK17</t>
  </si>
  <si>
    <t>801 million EUR</t>
  </si>
  <si>
    <t>Sustainable transportation - Investments: 1) Development of low carbon transport infrastructure, 2) Promotion of green passenger transport, 3) Development of intermodal freight transport, 4) Support for building infrastructure for alternative drives (NB. these are RRP measures; they will impact decarbonisation of transport sector, modernisation and greening of railway transportation, modernisation of tram and trolleybus infrastructure and construction of bike lanes, launch of intermodal transportation, construction of charging points for electric vehicles; they will be disbursed in form of investment aid/state aid scheme and earmarked subsidies, and are to be spent between 2021-2026)</t>
  </si>
  <si>
    <t>SVK18</t>
  </si>
  <si>
    <t>232 million EUR</t>
  </si>
  <si>
    <t>Renewable energy sources and energy infrastructure - Investments: 1) Investments in the construction of new sources of electricity from RES, 2) Investments in the modernization of existing sources of electricity from RES ("repowering"), 3) Investments in increasing the flexibility of electricity systems for higher integration of RES (NB. these are RRP measures; they will impact energy - bio and water, as well as storage; they will be disbursed in form of investment aid, and are to be spent between 2021-2026)</t>
  </si>
  <si>
    <t>SVK19</t>
  </si>
  <si>
    <t>Renovation of buildings - Reforms: 1) Reform for harmonization of support mechanisms for the renovation of family houses provided by various ministries, 2) Reform for increasing transparency and streamlining the decisions of the Monuments Institute of the Slovak Republic, 3) Construction waste management reform (NB. these are RRP measures; they will impact buildings, energy efficiency, circular economy and construction waste management; they are to be implemented by the end of 2023)</t>
  </si>
  <si>
    <t>SVK20</t>
  </si>
  <si>
    <t>Renewable energy sources and energy infrastructure - Reforms: 1) Reform of the legal framework on energy efficiency, Reform of the legal framework on electricity, 3) Reform of the legal framework in RES support (NB. these are RRP measures; they will energy efficiency, electricity generation, and green energy in electricity generation, heating, and transportation; they are to be implemented by the end of 2022)</t>
  </si>
  <si>
    <t>SVK21</t>
  </si>
  <si>
    <t>Sustainable transportation - Reforms: 1) Reform of the preparation of investment projects in transport, 2) Public passenger transport reform, 3) Reform of intermodal freight transport, 4) Introduction of new policies for the long-term promotion of alternative propulsion in the transport sector (NB. these are RRP measures; they will  impact investments in the decarbonisation of transport sector, coordination of inter-regional (intermodal) passenger transportation, promotion of intermodal freight transportation, policies for accelerating the adoption of alternative drives and construction of charging infrastructure; to be implemented between 2021-2026)</t>
  </si>
  <si>
    <t>SVK22</t>
  </si>
  <si>
    <t>Decarbonisation of industry sectors - Reforms: 1) Termination of support for brown coal combustion at the Nováky power plant and transformation of the Horná Nitra region, 2) Cost-effective reduction of greenhouse gas emissions in industry, 3) Amendment to the Act on Integrated Pollution Prevention and Control (NB. these are RRP measures; they will impact decarbonisation of the industry through compensation of the phasing out of polluting industries, investment into modern technologies in industrial production and processes, and compliance control; to be implemented by 2025)</t>
  </si>
  <si>
    <t>SVK23</t>
  </si>
  <si>
    <t>Climate change adaptation - Reforms: 1) Landscape planning reform, 2) Reform of nature protection and water management (NB. these are RRP measures; they are targeting spatial planning and permitting for better maintenance of landscape structures, ecological stability, and protection of biodiversity, as well as protection of habitats from and resilience to climate change through institutional strengthening of nature protection, minimisation of conflicts of competence within protected areas, simplification of the protection system, integration of systems of protected areas, and creation of conditions for zoning national parks; to be implemented by 2026)</t>
  </si>
  <si>
    <t>SVK24</t>
  </si>
  <si>
    <t>78.7 million EUR</t>
  </si>
  <si>
    <t>Research and innovation for the decarbonisation of the economy (NB. this is an RRP investment measure, which aims to improve synergies between national and European R&amp;D themes, with support focusing on green decarbonisation issues such as carbon-free energy, electrification, hydrogen, battery technology and alternative fuels, low-emission industrial processes and materials, bio-economy, sustainable agriculture and forestry; to be implemented between 2022-2026)</t>
  </si>
  <si>
    <t>SVN2</t>
  </si>
  <si>
    <t>EUR 11 Mio</t>
  </si>
  <si>
    <t>1.1.1 Energy efficient restructuring of district systems with the use of renewable sources</t>
  </si>
  <si>
    <t>Slovenian Recovery and Resilience Plan - https://eur-lex.europa.eu/legal-content/EN/TXT/?uri=CELEX:52021SC0184</t>
  </si>
  <si>
    <t>SVN3</t>
  </si>
  <si>
    <t>1.1.2 Production of electricity from renewable energy sources</t>
  </si>
  <si>
    <t>Slovenian Recovery and Resilience Plan - https://eur-lex.europa.eu/legal-content/EN/TXT/?uri=CELEX:52021SC0185</t>
  </si>
  <si>
    <t>SVN4</t>
  </si>
  <si>
    <t>EUR 80 Mio</t>
  </si>
  <si>
    <t>1.1.3 Strengthening the electricity distribution network</t>
  </si>
  <si>
    <t>Slovenian Recovery and Resilience Plan - https://eur-lex.europa.eu/legal-content/EN/TXT/?uri=CELEX:52021SC0187</t>
  </si>
  <si>
    <t>SVN5</t>
  </si>
  <si>
    <t>1.1.4 Investing in increasing energy efficiency in the economy</t>
  </si>
  <si>
    <t>Slovenian Recovery and Resilience Plan - https://eur-lex.europa.eu/legal-content/EN/TXT/?uri=CELEX:52021SC0188</t>
  </si>
  <si>
    <t>SVN6</t>
  </si>
  <si>
    <t>EUR 86.05 Mio</t>
  </si>
  <si>
    <t xml:space="preserve">1.2. Sustainable renovation and management of buildings </t>
  </si>
  <si>
    <t>Slovenian Recovery and Resilience Plan - https://eur-lex.europa.eu/legal-content/EN/TXT/?uri=CELEX:52021SC0190</t>
  </si>
  <si>
    <t>SVN7</t>
  </si>
  <si>
    <t>EUR 25.00 Mio</t>
  </si>
  <si>
    <t>1.3.1 Social and economic resilience to climaterelated disasters in the Republic of Slovenia – establishment of national center for the operation and coordination of CEP forces + training</t>
  </si>
  <si>
    <t>Slovenian Recovery and Resilience Plan - https://eur-lex.europa.eu/legal-content/EN/TXT/?uri=CELEX:52021SC0194</t>
  </si>
  <si>
    <t>SVN8</t>
  </si>
  <si>
    <t>EUR 335 Mio</t>
  </si>
  <si>
    <t>1.3.2 Climate change adaptation - Reducing flood risks and the risk of otherclimate-related disasters</t>
  </si>
  <si>
    <t>Slovenian Recovery and Resilience Plan - https://eur-lex.europa.eu/legal-content/EN/TXT/?uri=CELEX:52021SC0195</t>
  </si>
  <si>
    <t>SVN9</t>
  </si>
  <si>
    <t>EUR 5.10 Mio</t>
  </si>
  <si>
    <t>1.3.3 Development of Centre for Seeds, nurseries and forest protection, to measure long-term resilience and adaption to climate change</t>
  </si>
  <si>
    <t>Slovenian Recovery and Resilience Plan - https://eur-lex.europa.eu/legal-content/EN/TXT/?uri=CELEX:52021SC0196</t>
  </si>
  <si>
    <t>SVN10</t>
  </si>
  <si>
    <t>EUR 107.70 Mio</t>
  </si>
  <si>
    <t>1.3.4 Investments in water supply and sewerage</t>
  </si>
  <si>
    <t>Slovenian Recovery and Resilience Plan - https://eur-lex.europa.eu/legal-content/EN/TXT/?uri=CELEX:52021SC0197</t>
  </si>
  <si>
    <t>SVN11</t>
  </si>
  <si>
    <t>EUR 5.75 Mio</t>
  </si>
  <si>
    <t>1.4.1 Fostering the deployment of alternative fuels infrastructure in transport (alternative fuels refers to more sustainable alternatives, specifically mentioning electric charging</t>
  </si>
  <si>
    <t>Slovenian Recovery and Resilience Plan - https://eur-lex.europa.eu/legal-content/EN/TXT/?uri=CELEX:52021SC0208</t>
  </si>
  <si>
    <t>SVN12</t>
  </si>
  <si>
    <t>EUR 280 Mio</t>
  </si>
  <si>
    <t>1.4.2 Increasing railway infrastructure capacity</t>
  </si>
  <si>
    <t>Slovenian Recovery and Resilience Plan - https://eur-lex.europa.eu/legal-content/EN/TXT/?uri=CELEX:52021SC0205</t>
  </si>
  <si>
    <t>SVN13</t>
  </si>
  <si>
    <t>EUR 22.05 Mio</t>
  </si>
  <si>
    <t>1.4.3 Digitalisation of rail and road infrastructure_road dedicated in part to GHG emissions reduction</t>
  </si>
  <si>
    <t>Slovenian Recovery and Resilience Plan - https://eur-lex.europa.eu/legal-content/EN/TXT/?uri=CELEX:52021SC0207</t>
  </si>
  <si>
    <t>SVN14</t>
  </si>
  <si>
    <t>1.5.1 Integrated strategic project for the decarbonisation of Slovenia through the transition to a circular economy</t>
  </si>
  <si>
    <t>Slovenian Recovery and Resilience Plan - https://eur-lex.europa.eu/legal-content/EN/TXT/?uri=CELEX:52021SC0210</t>
  </si>
  <si>
    <t>SVN15</t>
  </si>
  <si>
    <t>EUR 28 Mio</t>
  </si>
  <si>
    <t>1.5.2 Increasing environmentally-friendly wood processing to accelerate the transition to a climate-neutral society</t>
  </si>
  <si>
    <t>Slovenian Recovery and Resilience Plan - https://eur-lex.europa.eu/legal-content/EN/TXT/?uri=CELEX:52021SC0211</t>
  </si>
  <si>
    <t>SVN16</t>
  </si>
  <si>
    <t>EUR 65 Mio</t>
  </si>
  <si>
    <t>3.1.2 Co-financing of research innovation projects in support of green transition and digitalisation, focusing among others on circular economy</t>
  </si>
  <si>
    <t>Slovenian Recovery and Resilience Plan - https://eur-lex.europa.eu/legal-content/EN/TXT/?uri=CELEX:52021SC0213</t>
  </si>
  <si>
    <t>SVN17</t>
  </si>
  <si>
    <t>3.1.3 Co-financing of investments in RDI demonstration and pilot projects</t>
  </si>
  <si>
    <t>Slovenian Recovery and Resilience Plan - https://eur-lex.europa.eu/legal-content/EN/TXT/?uri=CELEX:52021SC0214</t>
  </si>
  <si>
    <t>SVN18</t>
  </si>
  <si>
    <t>EUR 138.5 Mio</t>
  </si>
  <si>
    <t>3.2.1 Investment in enterprises, including deprived areas</t>
  </si>
  <si>
    <t>Slovenian Recovery and Resilience Plan - https://eur-lex.europa.eu/legal-content/EN/TXT/?uri=CELEX:52021SC0215</t>
  </si>
  <si>
    <t>SVN19</t>
  </si>
  <si>
    <t>EUR 70 Mio</t>
  </si>
  <si>
    <t>3.4.1 Transformation and sustainable increase of competitiveness of the Slovenian accomodation tourist offer in order to achieve development breakthrough</t>
  </si>
  <si>
    <t>Slovenian Recovery and Resilience Plan - https://eur-lex.europa.eu/legal-content/EN/TXT/?uri=CELEX:52021SC0216</t>
  </si>
  <si>
    <t>SVN20</t>
  </si>
  <si>
    <t>3.4.2 Sustainable development of public and common tourist infrastructure and natural attractions in tourist destinations</t>
  </si>
  <si>
    <t>Slovenian Recovery and Resilience Plan - https://eur-lex.europa.eu/legal-content/EN/TXT/?uri=CELEX:52021SC0217</t>
  </si>
  <si>
    <t>SVN21</t>
  </si>
  <si>
    <t>3.5.1 Renovating the education system for the green and digital transitions - green skills</t>
  </si>
  <si>
    <t>Slovenian Recovery and Resilience Plan - https://eur-lex.europa.eu/legal-content/EN/TXT/?uri=CELEX:52021SC0218</t>
  </si>
  <si>
    <t>SVN22</t>
  </si>
  <si>
    <t>EUR 59 Mio</t>
  </si>
  <si>
    <t>3.5.2 Reform of higher education for a green and resilient transition - green skills</t>
  </si>
  <si>
    <t>Slovenian Recovery and Resilience Plan - https://eur-lex.europa.eu/legal-content/EN/TXT/?uri=CELEX:52021SC0219</t>
  </si>
  <si>
    <t>SVN23</t>
  </si>
  <si>
    <t>EUR 106.20 Mio</t>
  </si>
  <si>
    <t>3.5.4 Investment in educational infrastructure</t>
  </si>
  <si>
    <t>Slovenian Recovery and Resilience Plan - https://eur-lex.europa.eu/legal-content/EN/TXT/?uri=CELEX:52021SC0221</t>
  </si>
  <si>
    <t>SVN24</t>
  </si>
  <si>
    <t>Adaption of the Act on the Promotion of Energy from Renewable Energy Sources</t>
  </si>
  <si>
    <t>Slovenian Recovery and Resilience Plan - https://eur-lex.europa.eu/legal-content/EN/TXT/?uri=CELEX:52021SC0225</t>
  </si>
  <si>
    <t>SVN25</t>
  </si>
  <si>
    <t>Adaption of the Electricity supply act rules in 2022</t>
  </si>
  <si>
    <t>Slovenian Recovery and Resilience Plan - https://eur-lex.europa.eu/legal-content/EN/TXT/?uri=CELEX:52021SC0226</t>
  </si>
  <si>
    <t>SVN26</t>
  </si>
  <si>
    <t>establishment of a system to promote energy management in companies</t>
  </si>
  <si>
    <t>Slovenian Recovery and Resilience Plan - https://eur-lex.europa.eu/legal-content/EN/TXT/?uri=CELEX:52021SC0227</t>
  </si>
  <si>
    <t>SVN27</t>
  </si>
  <si>
    <t>adoption of long-term building energy renovation strategy</t>
  </si>
  <si>
    <t>Slovenian Recovery and Resilience Plan - https://eur-lex.europa.eu/legal-content/EN/TXT/?uri=CELEX:52021SC0228</t>
  </si>
  <si>
    <t>SVN28</t>
  </si>
  <si>
    <t>adoption of legal basis for the establishment of a systemic financial source for the energy renovations of buildings</t>
  </si>
  <si>
    <t>Slovenian Recovery and Resilience Plan - https://eur-lex.europa.eu/legal-content/EN/TXT/?uri=CELEX:52021SC0229</t>
  </si>
  <si>
    <t>SVN29</t>
  </si>
  <si>
    <t xml:space="preserve">revision and enforcement of environmental protection act </t>
  </si>
  <si>
    <t>Slovenian Recovery and Resilience Plan - https://eur-lex.europa.eu/legal-content/EN/TXT/?uri=CELEX:52021SC0230</t>
  </si>
  <si>
    <t>SVN30</t>
  </si>
  <si>
    <t>adoption of rules for certificates for forest reproductive material</t>
  </si>
  <si>
    <t>Slovenian Recovery and Resilience Plan - https://eur-lex.europa.eu/legal-content/EN/TXT/?uri=CELEX:52021SC0231</t>
  </si>
  <si>
    <t>SVN31</t>
  </si>
  <si>
    <t>adoption of the alternative fuels in transport act in 2022</t>
  </si>
  <si>
    <t>Slovenian Recovery and Resilience Plan - https://eur-lex.europa.eu/legal-content/EN/TXT/?uri=CELEX:52021SC0232</t>
  </si>
  <si>
    <t>SVN32</t>
  </si>
  <si>
    <t xml:space="preserve">establishment of a legal framework for waste prevention and effective waste management </t>
  </si>
  <si>
    <t>Slovenian Recovery and Resilience Plan - https://eur-lex.europa.eu/legal-content/EN/TXT/?uri=CELEX:52021SC0233</t>
  </si>
  <si>
    <t>SVN33</t>
  </si>
  <si>
    <t>Reform of the education system to promote the development of green skills</t>
  </si>
  <si>
    <t>Slovenian Recovery and Resilience Plan - https://eur-lex.europa.eu/legal-content/EN/TXT/?uri=CELEX:52021SC0234</t>
  </si>
  <si>
    <t>SWE1</t>
  </si>
  <si>
    <t>SEK 5 bn</t>
  </si>
  <si>
    <t>17/03 - Proposed credit guarantees for airlines of max SEK 5 billlion (of which 1.5 bn for SAS)</t>
  </si>
  <si>
    <t>https://www.government.se/press-releases/2020/03/state-credit-guarantees-to-airlines-and-expanded-credit-guarantee-framework-for-the-swedish-export-credit-agency-to-mitigate-the-effects-of-sars-cov-2/</t>
  </si>
  <si>
    <t>SEK</t>
  </si>
  <si>
    <t>SWE2</t>
  </si>
  <si>
    <t>SEK 150 million</t>
  </si>
  <si>
    <t>Relaunching an initiative for green jobs for people who are far from the labour market (part of the Government’s proposed Spring Amending Budget for 2020)</t>
  </si>
  <si>
    <t>https://www.government.se/articles/2020/04/green-jobs-important-measure-to-tackle-unemployment-during-covid-19-crisis/</t>
  </si>
  <si>
    <t>SWE3</t>
  </si>
  <si>
    <t>Give exploration companies an additional year to carry out their work (does not cover exploration permits for coal, oil or gaseous hydrocarbons)</t>
  </si>
  <si>
    <t>https://www.government.se/press-releases/2020/06/one-year-extension-of-exploration-permits-due-to-covid-19-presented-to-riksdag/</t>
  </si>
  <si>
    <t>SWE4</t>
  </si>
  <si>
    <t>The Government proposes an expansion of support for the installation of solar cells to enable more people to be granted support.</t>
  </si>
  <si>
    <t>https://www.government.se/press-releases/2020/04/the-government-presents-the-2020-spring-fiscal-policy-bill/</t>
  </si>
  <si>
    <t>SWE5</t>
  </si>
  <si>
    <t>SEK 120 million</t>
  </si>
  <si>
    <t>The Government proposes a reinforcement of support for the production of biogas.</t>
  </si>
  <si>
    <t>https://www.government.se/4a6f35/globalassets/government/dokument/finansdepartementet/excel/bp-2021/table-1.1-reform-table.pdf</t>
  </si>
  <si>
    <t>SWE8</t>
  </si>
  <si>
    <t>SEK 1.22 billion (2021)</t>
  </si>
  <si>
    <t xml:space="preserve">Transition of the transport sector 1.22 1.22 0.89 </t>
  </si>
  <si>
    <t>SWE9</t>
  </si>
  <si>
    <t>SEK -0.15 billion (2021)</t>
  </si>
  <si>
    <t xml:space="preserve">Adjusted taxable benefit rates for passenger cars -0.15 -0.73 -1.31 </t>
  </si>
  <si>
    <t>SWE10</t>
  </si>
  <si>
    <t>SEK -0.33 billion (2021)</t>
  </si>
  <si>
    <t xml:space="preserve">Enhanced and simplified environmental governance in the bonus-malus system -0.33 -0.85 -1.38 </t>
  </si>
  <si>
    <t>SWE11</t>
  </si>
  <si>
    <t xml:space="preserve">Abolished reduction of energy tax on fuel in certain sectors -0.15 -0.60 -0.60 </t>
  </si>
  <si>
    <t>SWE12</t>
  </si>
  <si>
    <t>SEK 0.50 billion (2021)</t>
  </si>
  <si>
    <t xml:space="preserve">Charging infrastructure for heavy vehicles 0.50 0.55 </t>
  </si>
  <si>
    <t>SWE13</t>
  </si>
  <si>
    <t>SEK 2 billion (2021)</t>
  </si>
  <si>
    <t xml:space="preserve">Support to public transport 2.00 </t>
  </si>
  <si>
    <t>SWE15</t>
  </si>
  <si>
    <t>SEK 1.59 billion (2021)</t>
  </si>
  <si>
    <t xml:space="preserve">Investments to protect natural areas 1.59 1.67 0.61 </t>
  </si>
  <si>
    <t>SWE18</t>
  </si>
  <si>
    <t>SEK 0.20 billion (2021)</t>
  </si>
  <si>
    <t xml:space="preserve">Tax reduction for installation of green technology 0.20 0.20 0.20 </t>
  </si>
  <si>
    <t>SWE19</t>
  </si>
  <si>
    <t>SEK 0.15 billion (2021)</t>
  </si>
  <si>
    <t>Circular economy 0.15 0.14 0.01</t>
  </si>
  <si>
    <t>SWE20</t>
  </si>
  <si>
    <t>SEK 2.90 billion</t>
  </si>
  <si>
    <t>EU RRP (proposed): Industrial life</t>
  </si>
  <si>
    <t>https://www.regeringen.se/49bfc1/contentassets/dad10f1743b64c78a1c5b2d71f81a6eb/sveriges-aterhamtningsplan.pdf</t>
  </si>
  <si>
    <t>SWE21</t>
  </si>
  <si>
    <t>SEK 5.35 billion</t>
  </si>
  <si>
    <t>EU RRP (proposed): Climate change</t>
  </si>
  <si>
    <t>SWE22</t>
  </si>
  <si>
    <t>SEK 4.05 billion</t>
  </si>
  <si>
    <t>EU RRP (proposed): Support for energy efficiency of apartment buildings</t>
  </si>
  <si>
    <t>SWE23</t>
  </si>
  <si>
    <t>SEK 1.50 billion</t>
  </si>
  <si>
    <t>EU RRP (proposed): Railway investment</t>
  </si>
  <si>
    <t>SWE24</t>
  </si>
  <si>
    <t>SEK 2.5 billion</t>
  </si>
  <si>
    <t xml:space="preserve">EU RRP (proposed): Biodiversity protection </t>
  </si>
  <si>
    <t>SWE25</t>
  </si>
  <si>
    <t>SEK 3 billion</t>
  </si>
  <si>
    <t>EU RRP (proposed): Investment support for rental housing and housing for student</t>
  </si>
  <si>
    <t>SWE26</t>
  </si>
  <si>
    <t>SEK 1 billion (2021)</t>
  </si>
  <si>
    <t xml:space="preserve">Extension support to public transport 1.00 </t>
  </si>
  <si>
    <t>https://www.government.se/497278/globalassets/government/dokument/finansdepartementet/pdf/varbudget-2021/proposals-spring-amending-budget-for-2021-and-extra-amending-budget-for-2021.pdf</t>
  </si>
  <si>
    <t>SWE27</t>
  </si>
  <si>
    <t>SEK 0.2 billion (2021)</t>
  </si>
  <si>
    <t>Reinforcement of environmental compensation for goods transport by rail</t>
  </si>
  <si>
    <t>SWE28</t>
  </si>
  <si>
    <t>SEK 0.4 billion (2021)</t>
  </si>
  <si>
    <t>Compensation to forest owners with subalpine forests</t>
  </si>
  <si>
    <t>TUR1</t>
  </si>
  <si>
    <t>In April: Reduction of VAT on domestic air travel from 18% to 1% for three months; Update in September: "Payments in April, May and June related to withholding tax returns, VAT returns and Social Security Premiums and service documents will be postponed for six months for companies operating in certain industries (e.g. retail, iron steel, automotive, logistics and transportation, cinema and theatre, accommodation, food and beverages, textile and garment and event organization)."</t>
  </si>
  <si>
    <t>https://www.invest.gov.tr/tr/news/newsletters/lists/investnewsletter/yat%C4%B1r%C4%B1m-ofisi-nis-2020-b%C3%BClten.pdf; https://home.kpmg/xx/en/home/insights/2020/04/turkey-tax-developments-in-response-to-covid-19.html</t>
  </si>
  <si>
    <t>https://www.medefinternational.fr/wp-content/uploads/2020/03/C19_Economic-Stability-Shield-Program.pdf</t>
  </si>
  <si>
    <t>TUR2</t>
  </si>
  <si>
    <t>The New Economic Program 2021-2023 released on 30 September includes this somewhat vague statement: "Z ero waste practices will continue to be expanded with the
perspective of green economy and sustainable environment." Goal assigned to the Ministry of Environment and Urbanisation to be achieved by 2023, but no quantitative target or associated budget.</t>
  </si>
  <si>
    <t>https://ms.hmb.gov.tr/uploads/2020/10/New-Economy-Program-2021-2023.pdf</t>
  </si>
  <si>
    <t>TUR3</t>
  </si>
  <si>
    <t>The New Economic Program 2021-2023 aims to boost domestic food production in an effort to ensure food (and water) security. It explicitly frames this as a climate change risk-related decision "In view of the climate change and other risks, to meet the required and strategic farm products with supply deficit primarily by our resources and to meet the future generations’ food supply safety; planned production studies will be completed and plans will be updated every year to ensure food and water safety in the long term by setting agricultural and forestry policies based on strategic production and sustainability principles and enforcing them in a holistic and integrated way. "; also assigned to the Ministry of Environment and Urbanisation without an assigned budget or quantitative target.</t>
  </si>
  <si>
    <t>TUR4</t>
  </si>
  <si>
    <t>The New Eeconomic Program 2021-2023: Turkey aims to prepare its export sector for the European Green Deal "Within the scope of the Turkey-EU Customs Union, necessary work and preparation will be made in dialogue with the EU by coordinating the public sector, the private sector, NGOs and universities to ensure adaptation to the European Green Deal regarding Turkish exports to the EU."</t>
  </si>
  <si>
    <t>TUR5</t>
  </si>
  <si>
    <t>The Renewable Energy Support Scheme (YEKDEM) was first introduced into the system in 2013 and it outlines feed-in-tariffs of $0.133 for solar and biomass, $0.105 for geothermal, $0.073 for wind and hydro plants and it is valid for 10 years. Although this scheme was previously set to be repealed by the end of 2020 (November, 2nd being the last date of applications) now the Ministry of Energy and Natural Resources proposes to extend the application date for another 6 months, to benefit the renewable energy investors who were struggling with their imports and finances.</t>
  </si>
  <si>
    <t>https://www.resmigazete.gov.tr/eskiler/2020/09/20200918-8.pdf Accessed 21 September 2020.</t>
  </si>
  <si>
    <t>TUR6</t>
  </si>
  <si>
    <t>Turkey is introducing a 'green tariff' to encourage the use of domestic renewable energy and to direct citizens with high environmental awareness to renewable energy consumption. As of August, the special tariff will be available to consumers who want to use electricity produced solely from renewable energy sources. The prices will vary between 79.25 and 91.46 cents TRY per kilowatt-hour, depending on the consumer group.</t>
  </si>
  <si>
    <t>https://www.resmigazete.gov.tr/eskiler/2020/07/20200724-24.pdf _x000D_
Accessed 27 July 2020</t>
  </si>
  <si>
    <t>TUR8</t>
  </si>
  <si>
    <t>Turkey's Energy Ministry launched 74 solar energy mini tenders in January 2021 in its "Renewable Energy Resource Zones" (YEKA). This is the third round of such tenders, the second of which was in May 2020 and the first of which was in 2017. Unclear if the acceleration in their use is linked to COVID recovery</t>
  </si>
  <si>
    <t>https://www.dailysabah.com/business/energy/turkey-to-launch-mini-solar-tenders-in-2-months-energy-minister-says</t>
  </si>
  <si>
    <t>TUR9</t>
  </si>
  <si>
    <t>Turkey's new Economic Reform Package (ERP) reforms the issuance of green bonds, encouraging investment in RE, WSS and EV/hybrid cars</t>
  </si>
  <si>
    <t>https://www.aa.com.tr/en/economy/turkey-announces-landmark-new-economic-reform-package/2173910</t>
  </si>
  <si>
    <t>https://www.worldbank.org/en/country/turkey/publication/economic-monitor</t>
  </si>
  <si>
    <t>TUR10</t>
  </si>
  <si>
    <t>USD 7.13 Mio</t>
  </si>
  <si>
    <t>Incentives for production of EVs components, targets the establishment of a new EVs and battery production facility. Through this investment, a yearly production of 200,000 DC-DC converters, 200,000 charging units, 800,000 energy management units and 75,000 HV starters will be achieved</t>
  </si>
  <si>
    <t>Energy Policy Tracker - https://www.energypolicytracker.org/search-results/?_sfm_country=77</t>
  </si>
  <si>
    <t>https://www.resmigazete.gov.tr/eskiler/2021/03/20210320-32.pdf</t>
  </si>
  <si>
    <t>TUR11</t>
  </si>
  <si>
    <t>Increased special consumption tax for electric vehicles; Under this legislation the already existing special consumption tax rates has been considerably increased up to 4-fold depending on the engine power. (For engine power of up to 85 kW from 3% to 10%, for engine power between 85-120 kW from 7% to 25% from 7% and for power over 120 kW from 15% to 60%.</t>
  </si>
  <si>
    <t>Energy Policy Tracker - https://www.energypolicytracker.org/search-results/?_sfm_country=79</t>
  </si>
  <si>
    <t>https://www.resmigazete.gov.tr/eskiler/2021/02/20210202-8.pdf</t>
  </si>
  <si>
    <t>TUR12</t>
  </si>
  <si>
    <t>Due to the critical role that national oil and natural gas production plays for Turkey's energy independence and employment creation, the share payments to State and filing deadlines were extended. License liabilities (drilling, etc.) were also postponed for 6 months.</t>
  </si>
  <si>
    <t>https://www.enerjigunlugu.net/madencilikte-destek-odemeleri-basladi-37672h.htm</t>
  </si>
  <si>
    <t>TUR13</t>
  </si>
  <si>
    <t>Turkey provides incentives to encourage coal mining and the use of domestic coal in power generation. State-owned coal producers set low domestic sales prices for hard coal and lignite. The non-producing areas of these producers were divided and re-licensed, on the condition that a thermal power plant be built near the mine site, for which the government provides a purchasing guarantee (through state-owned electricity company EÜAŞ) for 15 years of electricity at a fixed price. The government offers production subsidies for private underground mining (though not for exploration), based on labour and production methods. The hard coal mining sector receives financial support from the government to pay for miners’ wages. Coal and gas power plant operators can also receive capacity payments to prevent plant closures. Coal plants can also enter into fixed-price power purchase agreements with EÜAŞ until the end of 2024. Turkey's upstream oil and gas sector benefits from certain tax exemptions, which were increased amid the COVID-19 crisis.</t>
  </si>
  <si>
    <t>USA1</t>
  </si>
  <si>
    <t>Temporary Suspension of EPA Enforcement (ended on August 31st)
On March 26 2020, the Environmental Protection Agency enforcement discretion policy temporarily relaxed the agency’s enforcement of environmental regulations on companies that are unable to comply, owing to the COVID-19 pandemic. (See above). However, on June 29, 2020, the EPA announced that this policy will be terminated on August 31, 2020.
The current enforcement discretion requires facilities to keep records of their non-compliance, including its pandemic-related causes, but EPA does not require any public disclosures or reporting to EPA. The Natural Resources Defense Council and other organizations have petitioned the EPA to require regulated facilities to monitor and report violations to EPA and state and local authorities. Brookings scholar Adele Morris encourages transparency and warns against potential worsening of the health crisis.</t>
  </si>
  <si>
    <t>https://www.epa.gov/sites/production/files/2020-06/documents/covid19addendumontermination.pdf</t>
  </si>
  <si>
    <t>USA2</t>
  </si>
  <si>
    <t xml:space="preserve">
Rollback of Review Process for new mines, highways, pipelines and other projects due to the current economic emergency.
President Trump signed Executive Order 13927 on June 4, 2020 to expedite infrastructure investments for facilitating the post-COVID-19 economic recovery. The Executive Order (EO) directs federal agencies, including the Departments of Interior, Army, Transportation, Defense, and Agriculture to speed investments in infrastructure and expedite work on existing projects.
It permits the agencies to implement emergency provisions that scale back environmental reviews under the National Environmental Policy Act (NEPA), Clean Water Act, and Endangered Species Act.</t>
  </si>
  <si>
    <t>https://www.federalregister.gov/documents/2020/06/09/2020-12584/accelerating-the-nations-economic-recovery-from-the-covid-19-emergency-by-expediting-infrastructure</t>
  </si>
  <si>
    <t>USA3</t>
  </si>
  <si>
    <t xml:space="preserve">Environmental Protection Agency (EPA) limits states’ ability to block the construction of new energy infrastructure projects
The rule curtails sections of the U.S. Clean Water Act that New York has used to block an interstate gas pipeline, and Washington employed to oppose a coal export terminal. 
It limits to one year the amount of time states and tribes can take to review a project, and restricts states to taking water quality only into consideration when judging permits (climate change is no longer a valid consideration). 
The government argued that the change will help promote gas pipelines, coal terminals and other fossil fuel development that would help the nation recover from the economic crisis. 
</t>
  </si>
  <si>
    <t>https://www.nytimes.com/2020/06/01/climate/trump-clean-water-pipelines.html?smid=tw-share</t>
  </si>
  <si>
    <t>https://www.onegreenplanet.org/environment/21-states-sue-trump-administration-for-rollback-of-nepa/</t>
  </si>
  <si>
    <t>USA4</t>
  </si>
  <si>
    <t xml:space="preserve">Executive order further loosening regulatory standards in response to the economic impacts of COVID-19.
On May 19, 2020 President Trump issued an Executive Order encouraging federal agencies to continue deregulatory measures that foster the post-pandemic economic recovery. 
The EO asks agencies to “identify regulatory standards that may inhibit economic recovery.” The EO calls upon agencies to give businesses, especially small businesses, the confidence they need to re-open by providing guidance on what the law requires; by recognizing the efforts of businesses to comply with often-complex regulations in complicated and swiftly changing circumstances. 
</t>
  </si>
  <si>
    <t>https://www.whitehouse.gov/presidential-actions/executive-order-regulatory-relief-support-economic-recovery/</t>
  </si>
  <si>
    <t>USA5</t>
  </si>
  <si>
    <t xml:space="preserve">Treasury, IRS provide safe harbor for taxpayers that develop renewable energy projects (Expanded for another year)
Treasury Department and the Internal Revenue Service has provided tax relief for taxpayers that develop renewable energy projects that produce electricity from sources such as wind, biomass, geothermal, landfill gas, trash, and hydropower, and use technologies such as solar panels, fuel cells, micro-turbines, and combined heat and power systems.
It specifically seeks to extend wind/PV tax incentives because of issues in RE supply chains and development during COVID-19 shutdown. The safe harbor seeks to raise flexibility around, extending, beginning of construction and placed in service deadlines for tax credits that financially underpin the industry, by providing a 3½ Month safe harbor. 
Ensure that the deadlines for wind/PV incentives are extended because of issues in RE supply chains and development during COVID-19 shutdown.
</t>
  </si>
  <si>
    <t>https://www.irs.gov/newsroom/treasury-irs-provide-safe-harbor-for-taxpayers-that-develop-renewable-energy-projects</t>
  </si>
  <si>
    <t>https://www.renewableenergymagazine.com/wind/new-american-wind-power-total-capacity-over-20200817</t>
  </si>
  <si>
    <t>USA6</t>
  </si>
  <si>
    <t>122$ Million</t>
  </si>
  <si>
    <t xml:space="preserve">DOE Announces Intent to Provide $122M to Establish Coal Products Innovation Centers
Department of Energy (DOE) intends to make approximately $122 million available, through a competitive process, to establish coal products innovation centers. 
The innovation centers will focus on manufacturing value-added, carbon-based products from coal, as well developing new methods to extract and process rare earth elements and critical minerals from coal. 
DOE anticipates funding innovation centers in a multiple of U.S. coal producing basins. New and existing coalitions of private industry, academia, national laboratories, and state and local governments are encouraged to compete to establish the centers. 
Once established - the public-private innovation centers will research and incubate innovative mining, beneficiation, processing, and purification technologies that are environmentally sustainable. 
</t>
  </si>
  <si>
    <t>https://www.energy.gov/articles/doe-announces-intent-provide-122m-establish-coal-products-innovation-centers</t>
  </si>
  <si>
    <t>USA7</t>
  </si>
  <si>
    <t>100$ Million</t>
  </si>
  <si>
    <t xml:space="preserve">USDA competitive grants for activities designed to expand the availability and sale of renewable fuels.
U.S. Department of Agriculture intends to make available up to $100 million in competitive grants for activities designed to expand the availability and sale of renewable fuels.
The program has committed to $100 million in funding for competitive grants or sales incentives to eligible entities for activities designed to expand the sale and use of ethanol and biodiesel fuels. 
Funds will be made directly available to assist transportation fueling and biodiesel distribution facilities with converting to higher ethanol and biodiesel blends by sharing the costs related to and/or offering sales incentives for the installation of fuel pumps, related equipment and infrastructure.
</t>
  </si>
  <si>
    <t>https://www.usda.gov/media/press-releases/2020/05/04/usda-announces-100-million-american-biofuels-infrastructure</t>
  </si>
  <si>
    <t>USA8</t>
  </si>
  <si>
    <t>500$ Million</t>
  </si>
  <si>
    <t xml:space="preserve">Federal tax credit for investment in carbon capture and sequestration projectS (expanded mid-august)
Treasury Department has released new rules guiding how companies use a federal tax credit designed to spur investment in carbon capture and sequestration projects.
Credits are $50 per metric ton of CO2 for projects that sequester carbon and $35 per ton for projects where carbon is captured and then used for recovering oil underground.
The new rules aim to give investors and developers clearer guidelines for 45Q tax credit program and ensure that projects are capturing and burying the amount of carbon they are supposed to before they embark on the costly projects.
Among the new measures are monitoring requirements for projects to demonstrate durable geologic storage of CO2 injected underground, standards for measuring utilization of carbon and rules for credit recapture.
</t>
  </si>
  <si>
    <t>https://www.reuters.com/article/us-usa-energy-carboncapture/u-s-treasury-unveils-rules-for-carbon-capture-tax-credits-idUSKBN2352S6</t>
  </si>
  <si>
    <t>https://www.cpapracticeadvisor.com/tax-compliance/news/21151392/what-does-irs-treasury-carbon-capture-tax-credit-guidance-mean-for-future-energy-production</t>
  </si>
  <si>
    <t>USA9</t>
  </si>
  <si>
    <t>- 1.95$ Billion (47$ Million revenue gain from terminating the holiday period, 2$ Billion revenue loss from reducing royalty payments)</t>
  </si>
  <si>
    <t xml:space="preserve">Termination of a two-year rent holiday for solar and wind projects operating on federal lands.
The Bureau of Land Management has terminated a two-year rent holiday for wind and solar companies using federal land. It’s FY21 budget forecasts collecting $50 million from wind and solar projects in 2020, an increase from roughly $1.1 million in 2019 and $21.6 million in 2018.
In the same statement it also reduced royalty payments for oil companies use of onshore wells on federal land. Oil and gas producers typically pay the federal government 12.5 percent of the revenues from onshore wells on federal land, but the Interior Department’s Bureau of Land Management has approved cuts for between 2.5 and 5 percent, and said it would consider reducing the royalty rate to as low as 0.5 percent.
</t>
  </si>
  <si>
    <t>https://www.reuters.com/article/us-usa-interior-renewables/trump-admin-slaps-solar-wind-operators-with-retroactive-rent-bills-idUSKBN22U0FW</t>
  </si>
  <si>
    <t>Bureau of Land Managemen's decision to raise rents for renewables and reduce them for Oil and Gas producers is an apt illustration of the recoveries direction.</t>
  </si>
  <si>
    <t>USA10</t>
  </si>
  <si>
    <t xml:space="preserve">Alteration of the Industry-Recognized Apprenticeship Programs (IRAPs).
Starting May 11th, the US Department of Labour has introduced the IRAP, which seeks to increase the number of American apprentices from 500,000 to 5 million by decentralizing apprenticeship authority from the DOL to hundreds of third party IRAP authorizers.
Under the new IRAP rules, industry associations, unions, non-profit organizations, and higher education institutions that meet DOL standards can qualify for Stadards Recognition Entity (SRE), which in turn endows them with the authority to bless and oversee IRAPs. 
However, crucially, third-parties are expected to pay for everything
</t>
  </si>
  <si>
    <t>https://www.dol.gov/newsroom/releases/eta/eta20200310</t>
  </si>
  <si>
    <t>USA11</t>
  </si>
  <si>
    <t xml:space="preserve">Expanding the deadline of the NY-Sun Solar Affordability Program (New York)
Whilst New York has paused all non-essential clean energy work under the state’s COVID-19 shutdown, it has extended the completion deadline for projects under its NY-Sun solar affordability program.
Projects awarded funding were provided an extension without penalty or default
</t>
  </si>
  <si>
    <t>https://www.congress.gov/bill/116th-congress/senate-bill/3779</t>
  </si>
  <si>
    <t>USA12</t>
  </si>
  <si>
    <t>741$ Million</t>
  </si>
  <si>
    <t>EV Make-Ready Program: 751$ Million Commitment to improve Electrical Car usage and infrastructure (New York)
 The project seeks to improve electric vehicle (EV) charging station economics by covering up to 90% of the costs to “make-ready” a site for EV charging; these costs currently present an economic barrier to EV charging station developers.
In addition, the program will provide 20,000 rebates  for New Yorkers to purchase electric cars under the Drive Clean Rebate initiative, which provides residents with a rebate of up to $2,000 for the purchase or lease of a new electric car from participating dealers.</t>
  </si>
  <si>
    <t>https://www.governor.ny.gov/news/governor-cuomo-announces-nation-leading-initiatives-expand-electric-vehicle-use-combat-climate</t>
  </si>
  <si>
    <t>USA13</t>
  </si>
  <si>
    <t>10$ Million</t>
  </si>
  <si>
    <t xml:space="preserve">10 million in grants for geothermal-related projects (California) 
California Energy Commission (CEC) awarded nearly $10 million in grants today for three geothermal-related projects that will help California meet its 100 percent clean electricity goal and expand the state’s emerging lithium recovery industry.
The grants were funded through the CEC’s Electric Program Investment Charge (EPIC) program, the state's public interest research initiative.
</t>
  </si>
  <si>
    <t>https://www.energy.ca.gov/news/2020-05/geothermal-lithium-recovery-projects-get-boost-california-energy-commission</t>
  </si>
  <si>
    <t>USA14</t>
  </si>
  <si>
    <t>Treasury Dept and Internal Revenue Service extend the deadlines for renewable energy projects eligible for tax credits as a result of delays due to the coronavirus pandemic. 
(a) “The IRS recognizes that COVID-19 has caused industry-wide delays in the supply chain for components needed to complete renewable energy projects otherwise eligible for important tax credits,” agency says in statement; 
(b) New guidance gives projects required to be completed in four years an additional year; and 
(c) IRS also gives projects more time to meet a safe harbor requirement for starting construction</t>
  </si>
  <si>
    <t>https://news.bloombergtax.com/daily-tax-report/u-s-treasury-extends-deadlines-for-renewable-energy-projects</t>
  </si>
  <si>
    <t>USA15</t>
  </si>
  <si>
    <t xml:space="preserve">Skills Renewal Act (Still in congress, but expected to pass)
This bill allows eligible individuals a refundable tax credit, up to $4,000 in a taxable year, for expenses paid for qualified training services. The bill defines
•	qualified training service as a course or program of study that is listed in provisions of the Workforce Innovation and Opportunity Act or that relates to computer science, technology, or another high-need area, such as a coding boot camp, that have been precertified by the Department of Labor; and
•	eligible individual as an individual who became unemployed or furloughed in 2020 but was otherwise able to work and was available for work and has applied for or is receiving pandemic emergency unemployment compensation related to COVID-19 (i.e., coronavirus disease 2019).
</t>
  </si>
  <si>
    <t>USA16</t>
  </si>
  <si>
    <t>50$ Billion (Proposal)</t>
  </si>
  <si>
    <t xml:space="preserve">Biden Re-training Proposal (campaign proposal)
Joe Biden has proposed a $50 billion investment in workforce training, including community-college business partnerships and apprenticeships.
These funds would exponentially increase the number of apprenticeships by strengthening the Registered Apprenticeship Program. A large section of these apprecentiships are planned to occur within clean tech. 
</t>
  </si>
  <si>
    <t>https://joebiden.com/BeyondHS/</t>
  </si>
  <si>
    <t>USA18</t>
  </si>
  <si>
    <t xml:space="preserve">In response to record low oil prices recorded during the covid-19 pandemic, the US Administration issued a new guidance where all companies would be eligible for near-zero royalties whenever the price of oil goes below a certain point. The US Federal Government has lowered royalty charges including those for oil and gas extraction, from 12.5% of gross sales to 0.5%. 
In April 2020, the Bureau of Land Management (BLM) approved all 76 reduction requests it received and notified oil and gas companies the reduction of royalty rates from 12.5% to as low as 0.5%.
</t>
  </si>
  <si>
    <t>https://www.ft.com/content/4d3d88c8-7eb6-4d06-bec0-c0ca8d91a045</t>
  </si>
  <si>
    <t>USA19</t>
  </si>
  <si>
    <t xml:space="preserve">CARES - Changes to tax restrictions and rebates loosened rules on accounting for business losses, allowing businesses to carry back losses from 2018-2020 (both before and as a result of COVID-19) and decrease taxable profits for years prior to 2018. 
At least 37 oil companies claimed more than USD 1.9 billion in CARES act tax benefits. National Oilwell Varco expects to file a tax refund claim for $123 million by carrying back its 2019 net operating losses.  Diamond Offshore Drilling recognized a tax benefit of $9.7 million as a result of the CARES Act carry back, despite facing bankruptcy.  Occidental Petroleum Corporation anticipates a cash refund of approximately $195 million.
</t>
  </si>
  <si>
    <t xml:space="preserve">https://www.wri.org/blog/2020/06/coronavirus-stimulus-packages-clean-energy
https://www.bloomberg.com/news/articles/2020-05-15/-stealth-bailout-shovels-millions-of-dollars-to-oil-companies?sref=vdNmoUVL
</t>
  </si>
  <si>
    <t>USA20</t>
  </si>
  <si>
    <t xml:space="preserve">US Administration plans to pay drillers to leave oil in ground amid covid-induced record low prices (21 Apr)
Under the plan the US Energy Department would pay producers not to produce and make the untapped crude part of the US government’s emergency stockpile. The agency would contract with companies to buy proven oil reserves but delay production for several years, if not indefinitely. 
</t>
  </si>
  <si>
    <t>https://www.bloomberg.com/news/articles/2020-04-15/u-s-weighs-paying-drillers-to-leave-oil-in-the-ground-amid-glut?sref=HeRxKWIM</t>
  </si>
  <si>
    <t>USA21</t>
  </si>
  <si>
    <t xml:space="preserve">Wyoming regulators look to stimulate oil production in the state with a new tax relief proposal that calls for a tax exemption until the price of WTI reaches $45 per barrel
While the tax exemption will only be temporary, to be in effect no longer than 12 months after the benchmark price of oil reaches the necessary threshold, its sponsors believe it could have a positive effect on the oil and gas industry in Wyoming.
</t>
  </si>
  <si>
    <t>https://oilprice.com/Energy/Crude-Oil/The-Cowboy-State-Looks-To-Stimulate-Oil-Drilling-With-Tax-Cuts.html</t>
  </si>
  <si>
    <t>USA22</t>
  </si>
  <si>
    <t xml:space="preserve">Oil drilling in the Arctic National Wildlife Refuge
The Arctic National Wildlife Refuge (ANWR) is home to approximately 19.64 million acres of land and water in Alaska. In September 2019, The Bureau of Land Management (BLM) completed an environmental impact statement (EIS) to analyze potential impacts of the programand proposed to lease the entire 1.57 acres of coastal plain for oil and gas leasing. Subsequently, on August 17, 2020, David Bernhardt, the Secretary of Interior, signed a record decision adopting the EIS recommendation and authorizing the program pursuant to TCJA. This action made the entire program area available for oil and gas leasing, leaving the Refuge vulnerable to future exploration, development, and transportation. On August 24, 2020, environmental and indigenous groups filed lawsuits claiming the federal government did not adequately comply with environmental laws requiring thorough impact assessments.
</t>
  </si>
  <si>
    <t>https://eplanning.blm.gov/public_projects/102555/200241580/20024135/250030339/Coastal%20Plain%20Record%20of%20Decision.pdf</t>
  </si>
  <si>
    <t>USA23</t>
  </si>
  <si>
    <t>667 Million USD</t>
  </si>
  <si>
    <t xml:space="preserve">Tax credit for natural gas manufacturing (petrochemical) facilities – Pennsylvania. 
The Pennsylvanian state government has provided royalty or govt. fee break (GRF) for the Exploration or production or processing or storage or transportation of natural gas manufacturing, entering into force by the 23/07/2020 for the General Assembly of Pennsylvania.
</t>
  </si>
  <si>
    <t>https://www.legis.state.pa.us/cfdocs/billInfo/billInfo.cfm?sYear=2019&amp;sInd=0&amp;body=H&amp;type=B&amp;bn=732</t>
  </si>
  <si>
    <t>USA24</t>
  </si>
  <si>
    <t>200 Million USD</t>
  </si>
  <si>
    <t xml:space="preserve">New York has authorized 200 Million USD investments to support offshore wind development
Governor Cuomo Announces Largest Combined Solicitations for Renewable Energy Ever Issued in the U.S. to Combat Climate Change. In seeking at least 1,000 megawatts of offshore wind, coordinated with a $200 million opportunity to support local and private investment in port infrastructure, NYSERDA will accept offshore wind bids between 400 megawatts and up to 2,500 megawatts. In addition to delivering a significant amount of clean, renewable energy to New Yorkers, this combined solicitation requests proposals for investment in port infrastructure, aimed to further incentivize private investment, and maximize economic benefits and job creation for New Yorkers while driving future cost reductions for this technology and establishing New York as the hub of the offshore wind supply chain. Notable provisions in this comprehensive solicitation include:
</t>
  </si>
  <si>
    <t>https://www.governor.ny.gov/news/governor-cuomo-announces-largest-combined-solicitations-renewable-energy-ever-issued-us-combat</t>
  </si>
  <si>
    <t>USA25</t>
  </si>
  <si>
    <t xml:space="preserve">Environmental Protection Agency (EPA) ris amending the emissions reporting regulations applicable to sources that monitor and report emissions under the Acid Rain Program, the Cross-State Air Pollution Rule (CSAPR), and/or the NOX SIP Call. The amendments provide that if an affected unit fails to complete a required quality-assurance, certification or recertification, fuel analysis, or emission rate test by the applicable deadline under the regulations because of travel, plant access, or other safety restrictions implemented to address the current COVID-19 national emergency and if the unit's actual monitored data would be considered valid if not for the delayed test, the unit may temporarily continue to report actual monitored data instead of substitute data.
</t>
  </si>
  <si>
    <t>https://www.federalregister.gov/documents/2020/04/22/2020-08581/continuous-emission-monitoring-quality-assurance-requirements-during-the-covid-19-national-emergency</t>
  </si>
  <si>
    <t>USA26</t>
  </si>
  <si>
    <t>120 Million USD</t>
  </si>
  <si>
    <t xml:space="preserve">Environmental Protection Agency (EPA) rolls back a rule regulating the amount of toxic pollutants discharged by steam electric power plants.
Among all industries regulated under the Clean Water Act, steam electric power plants contribute the greatest amount of toxic pollutants discharged to surface waters. The power plant water pollution rule establishes limits on the amount of toxic metals and other harmful pollutants that steam electric power plants are allowed to discharge into surface water. The rule was finalized on November 3, 2015, but recently rolled back by EPA Administrator Scott Pruitt. The elimination of the rule is expected to save $140 million annually in reduced compliance costs. 
</t>
  </si>
  <si>
    <t>https://www.federalregister.gov/documents/2017/09/18/2017-19821/postponement-of-certain-compliance-dates-for-the-effluent-limitations-guidelines-and-standards-for</t>
  </si>
  <si>
    <t>USA27</t>
  </si>
  <si>
    <t>48.8 Million USD</t>
  </si>
  <si>
    <t>Department of Environmental Conservation funding for public transit and EV infrastructure</t>
  </si>
  <si>
    <t>https://www.governor.ny.gov/news/governor-cuomo-announces-nation-leading-initiatives-expand-electric-vehicle-use-combat-climate </t>
  </si>
  <si>
    <t>USA 28</t>
  </si>
  <si>
    <t>June 9 2021, EPA and Department of the Army announced their intent to initiate a new rulemaking process that restors the protections in place prior to the 2015 WOTUS implementation and develops a new rule to establish a durable definition of 'waters of the US'. 
This rule was first postponed in April but the final rule regulated four categories of waters: territorial seas and traditional waters, perennial and intermittent tributaries to those waters, certain lakes / ponds and impooundments, and wetlands adjacent to jurisdictional waters</t>
  </si>
  <si>
    <t>https://www.epa.gov/wotus/current-implementation-waters-united-states</t>
  </si>
  <si>
    <t>USA29</t>
  </si>
  <si>
    <t>249.5 Million USD</t>
  </si>
  <si>
    <t>CARES - Through the CARES Act Paycheck Protection Program support to renewable energy &amp; clean industry.
This figures includes clean energy industries benefitting from the Paycheck Protection Program, using the lowest end of the range of payments disclosed to produce a conservative estimates</t>
  </si>
  <si>
    <t>https://home.treasury.gov/policy-issues/cares-act/assistance-for-small-businesses/sba-paycheck-protection-program-loan-level-data</t>
  </si>
  <si>
    <t>USA31</t>
  </si>
  <si>
    <t>1.67 Billion USD</t>
  </si>
  <si>
    <t>CARES - Support in the CARES for the National Railroad Passenger Corporation (Amtrak) to restore rail services on its long distance routes and recall furloughed employeed.</t>
  </si>
  <si>
    <t>https://www.congress.gov/bill/116th-congress/house-bill/748/text</t>
  </si>
  <si>
    <t>USA32</t>
  </si>
  <si>
    <t>10 Billion USD</t>
  </si>
  <si>
    <t>CARES - Through the CARES Act Paycheck Protection Program support for airports (seperate from support for airlines)</t>
  </si>
  <si>
    <t>https://web.archive.org/web/20200717011036/</t>
  </si>
  <si>
    <t>USA33</t>
  </si>
  <si>
    <t>To "mitigate the financial impact of the coronavirus pandemic", on April 14 2020, the EPA has suspended the collection of penalties payments until June 1 2020</t>
  </si>
  <si>
    <t>https://www.epa.gov/sites/production/files/2020-03/documents/oecamemooncovid19implications.pdf</t>
  </si>
  <si>
    <t>USA34</t>
  </si>
  <si>
    <t>33 Million USD</t>
  </si>
  <si>
    <t>$33 million in funding for 10 projects as part of the Advanced Research Projects Agency-Energy's Rapid Encapsulation of Pipelines Avoiding Internsive Replacement (REPAIR) program. REPAIR teams will develop natural gas transmissions pipeline retrofitting technology to rehabilitate existing cast iron and bare steel pipes by creating new, robust pipes inside of old ones.</t>
  </si>
  <si>
    <t>https://www.energy.gov/articles/department-energy-announces-33-million-natural-gas-pipeline-retrofitting-projects</t>
  </si>
  <si>
    <t>USA35</t>
  </si>
  <si>
    <t>Extension of LNG export term to 50 years</t>
  </si>
  <si>
    <t>https://www.energy.gov/articles/trump-administration-releases-policy-extending-lng-export-term-2050</t>
  </si>
  <si>
    <t>USA36</t>
  </si>
  <si>
    <t>25 Billion USD</t>
  </si>
  <si>
    <t>CARES - Money in CARES for public transport agencies to keep them operating during the pandemic, including reimbursement for payroll and operating costs to help maintain services.</t>
  </si>
  <si>
    <t>https://www.transit.dot.gov/cares-act</t>
  </si>
  <si>
    <t>USA37</t>
  </si>
  <si>
    <t>Waiver of federal environmental impact assessments for infrastructure projects, including but not limited to major roads and highways, oil and gas pipelines, etc.</t>
  </si>
  <si>
    <t>https://www.whitehouse.gov/presidential-actions/eo-accelerating-nations-economic-recovery-covid-19-emergency-expediting-infrastructure-investments-activities/</t>
  </si>
  <si>
    <t>USA39</t>
  </si>
  <si>
    <t>$8 billion</t>
  </si>
  <si>
    <t>American Rescue Plan (or ARP) - $8 billion for U.S. airports.</t>
  </si>
  <si>
    <t>https://www.wsj.com/articles/u-s-airports-to-receive-8-billion-to-help-pay-bills-as-travel-recovers-11624373180</t>
  </si>
  <si>
    <t>https://www.congress.gov/bill/117th-congress/house-bill/1319/text</t>
  </si>
  <si>
    <t>USA40</t>
  </si>
  <si>
    <t>15 Billion USD</t>
  </si>
  <si>
    <t xml:space="preserve">American Rescue Plan (or ARP) - The American Rescue Plan was enacted on March 11, 2021, authorizing Treasury to provide additional assistance to passenger air carriers and contractors that received financial assistance under PSP2 (PSP3).
The following amounts were allocated for payment:
Passenger air carriers: $14 billion
Eligible contractors: $1 billion
</t>
  </si>
  <si>
    <t>https://home.treasury.gov/policy-issues/coronavirus/assistance-for-american-industry/airline-and-national-security-relief-programs</t>
  </si>
  <si>
    <t>USA41</t>
  </si>
  <si>
    <t>32 Billion USD</t>
  </si>
  <si>
    <t xml:space="preserve">CARES - The CARES Act included provisions for Treasury to provide payments to passenger air carriers, cargo air carriers, and certain contractors that must be exclusively used for the continuation of payment of employee wages, salaries, and benefits (PSP1). The Act authorized the Treasury Department to provide such payroll support in such form, and on such terms and conditions, as determined appropriate.
The following amounts were allocated for payment:
Passenger air carriers: $25 billion.
Cargo air carriers: $4 billion.
Contractors: $3 billion.
</t>
  </si>
  <si>
    <t>https://www.congress.gov/116/bills/hr748/BILLS-116hr748enr.pdf</t>
  </si>
  <si>
    <t>USA42</t>
  </si>
  <si>
    <t>16 Billion USD</t>
  </si>
  <si>
    <t xml:space="preserve">The Consolidated Appropriations Act, 2021, enacted on December 27, 2020, created the Payroll Support Program Extension (PSP2) for passenger air carriers and certain contractors.
The following amounts were allocated for payment:
Passenger air carriers: $15 billion
Contractors: $1 billions
</t>
  </si>
  <si>
    <t>https://www.congress.gov/bill/116th-congress/house-bill/133/text</t>
  </si>
  <si>
    <t>USA44</t>
  </si>
  <si>
    <t>$2 billion</t>
  </si>
  <si>
    <t xml:space="preserve">Coronavirus Economic Relief for Transportation Services (CERTS) Program was established by the Consolidated Appropriations Act, 2021, to support transportation service providers affected by the COVID-19 pandemic, including motorcoach, school bus, passenger vessel, and pilot vessel companies. Under the program, Treasury will provide up to $2 billion in grants to eligible companies that certify they have experienced an annual revenue loss of 25 percent or more as a direct or indirect result of COVID-19. </t>
  </si>
  <si>
    <t>https://home.treasury.gov/policy-issues/coronavirus/assistance-for-american-industry/coronavirus-economic-relief-for-transportation-services</t>
  </si>
  <si>
    <t>USA45</t>
  </si>
  <si>
    <t>Great American Outdoors Act has two major components: it will fully and permanently funding the Land and Water Conservation Fund (LWCF) at $900 million per year, and providing $9.5 billion over five years ($1.9 billion annually) to address a maintenance backlog at American national parks.</t>
  </si>
  <si>
    <t>https://www.congress.gov/bill/116th-congress/senate-bill/3422</t>
  </si>
  <si>
    <t>USA46</t>
  </si>
  <si>
    <t>1.2 trillion USD</t>
  </si>
  <si>
    <t>Bipartisan Infrastructure Framework (proposed). The plan is currently under discussion, thus not included in the database.</t>
  </si>
  <si>
    <t>https://www.whitehouse.gov/briefing-room/statements-releases/2021/06/24/fact-sheet-president-biden-announces-support-for-the-bipartisan-infrastructure-framework/</t>
  </si>
  <si>
    <t>USA Proposed - Indeterminate</t>
  </si>
  <si>
    <t>USA47</t>
  </si>
  <si>
    <t>3.5 trillion USD</t>
  </si>
  <si>
    <t>Proposed budget reconciliation bill</t>
  </si>
  <si>
    <t>USA48</t>
  </si>
  <si>
    <t>213 Billion USD</t>
  </si>
  <si>
    <t xml:space="preserve">American Jobs Act (proposed) - The administration has proposed a fund to produce, preserve and retrofit more than two million affordable and sustainable places to live. This includes 'energy efficient and electrified housing units'. </t>
  </si>
  <si>
    <t>https://www.whitehouse.gov/briefing-room/statements-releases/2021/03/31/fact-sheet-the-american-jobs-plan/</t>
  </si>
  <si>
    <t>USA Proposed - Positive</t>
  </si>
  <si>
    <t>USA49</t>
  </si>
  <si>
    <t>100 Billion USD</t>
  </si>
  <si>
    <t>American Jobs Act (proposed) - Investment to upgrade and buildl new public schools. Some of this money, which is split half-and-half between direct grants and money leveraged through bonds, whill go towards energy-efficient and electrified school buildings</t>
  </si>
  <si>
    <t>USA50</t>
  </si>
  <si>
    <t>American Jobs Act (proposed) - Grant/Loan to upgrade and construct new childcare facilities, including founding to improve the energy efficiency of buildings</t>
  </si>
  <si>
    <t>USA51</t>
  </si>
  <si>
    <t>American Jobs Act (proposed) - Support for the modernisation, sustainability and resilience of federal buildings. The plan also notes that the administration will use the 'vast tools of federal procurements to purchase low carbon materials for constructions and clean power for newly constructed veterans hospitals and federal buildings. 
The federal government operates office buildings, courthouses and other facilities where million of workers serve the public from outdates, inefficient and unsafe working conditions. The Veterans Affairs' hospital portfolio has a median age of 58 years (vs 11 in the private). Biden's plan invests 10 billion in the modernization, sustainability and resilience of federal buildings through a bipartisan Federal Capital Revolving Fund.</t>
  </si>
  <si>
    <t>USA52</t>
  </si>
  <si>
    <t>50 Billion USD</t>
  </si>
  <si>
    <t xml:space="preserve">American Jobs Act (proposed) - Investments to improve infrastructure resilience to extreme weather events linked to climate change, such as hurricanes. This includes adaptation funding for essential services such as the electric grid, food systems, urban infrastructure, hospitals and transport links. It also covers protection for nature based infrastructure such as forests. 
In 2020, the United States endured 22 separate billion-dollar weather and climate disasters, costing $95 billion in damages to homes, businesses, and public infrastructure. In Louisiana, Hurricane Laura caused $19 billion of damage, resulting in broken water systems and a severely damaged electrical grid that impeded a quick recovery. Building back better requires that the investments in this historic plan make our infrastructure more resilient in the face of increasingly severe floods, wildfires, hurricanes, and other risks. Every dollar spent on rebuilding our infrastructure during the Biden administration will be used to prevent, reduce, and withstand the impacts of the climate crisis. </t>
  </si>
  <si>
    <t>USA53</t>
  </si>
  <si>
    <t>American Jobs Act (proposed) - Funding to build a more resilient electric grid and support clean power infrastructure. This includes a 'ten-year extension and phase down of an expanded direct-pay investment tax credit and production tax credit for clean energy generation and storage. This will come alongside an energy efficiency and clean energy standards (EECES) aimed at cutting electricity prices but also air pollution. Within this package there is also a plan of $16bn to help fossil fuels workers in taking job pluggin orphan oil and gas wells and cleaning up abandonned mines.</t>
  </si>
  <si>
    <t>USA54</t>
  </si>
  <si>
    <t>400 Billion USD</t>
  </si>
  <si>
    <t>According to the Washington Post, the Biden administration is also planning $400bn in clean-energy tax credits over the next, this money is not included in the infrastructure's bill cost</t>
  </si>
  <si>
    <t>https://www.washingtonpost.com/us-policy/2021/03/30/biden-infrastructure-plan-jobs/</t>
  </si>
  <si>
    <t>USA55</t>
  </si>
  <si>
    <t>46 Billion USD</t>
  </si>
  <si>
    <t>American Jobs Act (proposed) - Investment in federal buying power to support US innovation and clean energy production, including money to spend on electric vehicles, charging ports and electric heat pumps.</t>
  </si>
  <si>
    <t>USA56</t>
  </si>
  <si>
    <t>35 Billion USD</t>
  </si>
  <si>
    <t>American Jobs Act (proposed) - Money to help achieve technology breakthroughs that address the climate crisis and position America as the global leader in clean energy technology and clean energy jobs. This includes the creation of the ARPAC C group (part of the Advanced Research Projects Agency) and climate research more generally. The plan mentions $15bn for demonstration projects for 'priority' areas including utility-scale energy storage, CCS, hydrogen and advanced nuclear + $5bn for 'other climate-focused research'</t>
  </si>
  <si>
    <t>USA57</t>
  </si>
  <si>
    <t>85 Billion USD</t>
  </si>
  <si>
    <t>American Jobs Act (proposed) - Funding to help modernise and expand public transport services, which the Biden administration says will go some way to addressing the repair backlog (estimated to be over $105bn by the Department of Transportation), as well as bringing bus and rail services to communities accross the country and reducing traffic congestion</t>
  </si>
  <si>
    <t>USA58</t>
  </si>
  <si>
    <t>80 Billion USD</t>
  </si>
  <si>
    <t>American Jobs Act (proposed) - Seperate funding specifically for passenger and frieght rail services, including money to address the repair backlog for the Amtrak, modernise the high-traffic Northeast corridor, improve existing corridor and develop new connection. This will also enhance grant and loan programmes for rail safety , efficiency and electrification</t>
  </si>
  <si>
    <t>USA59</t>
  </si>
  <si>
    <t>174 Billion USD</t>
  </si>
  <si>
    <t>American Jobs Act (proposed) - Investment to win the EV market, including incentives for consumers to buy American-made Evs, grants and incentives for state and local government and the private sector to build 500k chargers across the US by 2030, the replacement of 50k Diesel transit vehicles and the electrification of at least 20% of school buses. There is also a plan to use the 'vast tools of federal procurement to electrify the fleet, includind the Postal Service.</t>
  </si>
  <si>
    <t>USA60</t>
  </si>
  <si>
    <t>115 Billion USD</t>
  </si>
  <si>
    <t>adaptation</t>
  </si>
  <si>
    <t>American Jobs Act (proposed) - Money to modernise bridges, highways, roads and main streets which includes funding to improve air quality, limit GHG emissions and reduce congestion. Despite the mention of limiting emissions,this appears to be primarly money to repair and construc roads. Within the fund, there is also $20bn to improve road safety for all users (cyclist and pedestrians)</t>
  </si>
  <si>
    <t>USA61</t>
  </si>
  <si>
    <t>32.95 MILION usd</t>
  </si>
  <si>
    <t>American Rescue Plan (o ARP) - RAILROAD RETIREMENT BOARD AND OFFICE OF THE INSPECTOR GENERAL FUNDING</t>
  </si>
  <si>
    <t>https://www.congress.gov/bill/117th-congress/house-bill/1319/text#toc-H305DCD4D089741DDB4B7C0A0C738FF62</t>
  </si>
  <si>
    <t>USA62</t>
  </si>
  <si>
    <t>1.7 Billion USD</t>
  </si>
  <si>
    <t>American Rescue Plan (or APR) - GRANTS TO THE NATIONAL RAILROAD PASSENGER CORPORATIO</t>
  </si>
  <si>
    <t>ZAF1</t>
  </si>
  <si>
    <t xml:space="preserve">23 June 2020.
The government announces a massive infrastructure investment plan conceptualised as part of the country’s strategy to revitalize the economy and reduce rampant unemployment. The COVID-19 pandemic and the downgrading of the economy already before the pandemic increased the urgent need for infrastructure investment. 
The "greenness" of the measure has not been explicitly defined. Among the sectors of intervention - energy, water and sanitation, transport, digital infrastructure, human settlements, and agriculture and agroprocessing, energy is the one that most explicitly refers to sustainable resources with the continuation of the Integrated Resource Plan (project started in 2019). </t>
  </si>
  <si>
    <t>https://pmg.org.za/committee-meeting/30523/</t>
  </si>
  <si>
    <t>https://www.tralac.org/documents/news/3777-sustainable-infrastructure-development-symposium-south-africa-sidssa-23-june-2020/file.html</t>
  </si>
  <si>
    <t>ZAR</t>
  </si>
  <si>
    <t>ZAF2</t>
  </si>
  <si>
    <t>23 June 2020.
In the infrastructure investment plan, the Integrated Resource Plan (project started in 2019) is explicitly considered to be continued, with a total of 25 projects approved. When the IRP is implemented in full, coal-fired generationwill fall from 70% of the current installed capacity to 43% by 2030 with renewables (excluding hydro) increasing from 7% to 34% over the same period. </t>
  </si>
  <si>
    <t>https://www.tralac.org/documents/news/3777-sustainable-infrastructure-development-symposium-south-africa-sidssa-23-june-2020/file.html 
(page 20)</t>
  </si>
  <si>
    <t>ZAF3</t>
  </si>
  <si>
    <t>3.5 million</t>
  </si>
  <si>
    <t xml:space="preserve">13 September 2020
Cabinet approved key actions that will contribute to the environment:
1. Establishment of the Presidential Climate Change Coordinating Commission (PCCCC) to coordinate the Just Transition. One of its first tasks will be to focus on understanding the impact of climate change on jobs, both positive and negative, and climate change responses by sector and location. This will require the urgent finalisation of the National Employment Vulnerability Assessment (NEVA) and thereafter, Sector Job Resilient Plans (SJRPs). The Commission will also explore opportunities for new upstream and downstream green jobs and green industries that should be exploited, and climate resilience interventions that need to be expanded.
2. South Africa’s Low Emissions Development Strategy (LEDS), also approved by Cabinet, will be deposited with the United Nations Framework Convention on Climate Change (UNFCCC) Secretariat.  This is further to the country’s NDC deposited with the UNFCCC ahead of the signing of the Paris Agreement on Climate Change in which countries committed to limited the increase in global average temperatures to below 1.5°C above pre-industrial levels.
</t>
  </si>
  <si>
    <t>https://www.sanews.gov.za/south-africa/cabinet-approves-climate-change-plans</t>
  </si>
  <si>
    <t>https://www.environment.gov.za/mediarelease/climatechange_emissionsreduction_wastemanagementplans</t>
  </si>
  <si>
    <t>ZAF4</t>
  </si>
  <si>
    <t>13 September 2020
Cabinet has approved another key action, the National Waste Management Strategy 2020, developed in terms of the National Environmental Management: Waste Act. This strategy is a revision and update of the 2011 strategy and builds on the successes and lessons from the implementation of that strategy. The NWMS 2020 is focused on preventing waste and diverting waste from landfill by leveraging the concept of the Circular Economy to drive sustainable, inclusive economic growth and development in the waste sector, while reducing the social and environmental impacts of waste. Its implementation plan will create jobs in the waste sector and increase awareness and compliance around waste.</t>
  </si>
  <si>
    <t>https://www.eapasa.org/images/documents/Costing_Framework_for_the_National_Waste_Management_Strategy_2020._18_June_2020.pdf</t>
  </si>
  <si>
    <t>ZAF5</t>
  </si>
  <si>
    <t>1 October 2020
After a deferral in March due to the already demaged eeconomic downturn of the industrial sector, the government  has re-opened the period of submission of the carbon tax from 1 to 31 October for the period 2019</t>
  </si>
  <si>
    <t>https://www.sars.gov.za/ClientSegments/Customs-Excise/Excise/Environmental-Levy-Products/Pages/Carbon-Tax.aspx</t>
  </si>
  <si>
    <t>ZAF6</t>
  </si>
  <si>
    <t>56 million</t>
  </si>
  <si>
    <t>16 October 2020
Intervention by the Department of Water and Sanitation (DWS) in the Vaal River pollution. To solve the sewer challenge, the Department committed this fund for work that includes the building of additional wastewater treatment capacity and associated pump stations. In addition, 26 work packages will be advertised in the coming weeks for competent contractors to be part of solving the protracted sewer challenge. In this regard, departmental checks and balances had to be followed to ensure compliance with procurement processes. This thoroughness on the part of the department caused delays but was necessary to ensure processes were done in a completely honest and straightforward manner.</t>
  </si>
  <si>
    <t>https://www.sanews.gov.za/south-africa/funds-allocated-solve-vaal-river-pollution</t>
  </si>
  <si>
    <t>ZAF7</t>
  </si>
  <si>
    <t>The Minister of the Environment, Forestry and Fisheries, Barbara Creecy, published SO2 air pollution standards twice as low as previous standards at the start of the Covid-19 emergency lockdown.</t>
  </si>
  <si>
    <t>https://www.iol.co.za/saturday-star/news/government-locks-sa-into-deadly-air-pollution-amid-covid-19-pandemic-45895850 Accessed 18 May 2020_x000D_
, https://www.iol.co.za/saturday-star/news/government-locks-sa-into-deadly-air-pollution-amid-covid-19-pandemic-45895850 Accessed 18 May 2020</t>
  </si>
  <si>
    <t>negative</t>
  </si>
  <si>
    <t>ZAF8</t>
  </si>
  <si>
    <t>R6.75 billion</t>
  </si>
  <si>
    <t>Improved public transport network infrastructure and services that function optimally and are accessible, safe, convenient, affordable,well managed and maintained</t>
  </si>
  <si>
    <t>IMPLEMENTATION PLAN FOR THE SOUTH AFRICAN ECONOMIC RECONSTRUCTION AND RECOVERY PLAN (ERRP)</t>
  </si>
  <si>
    <t>ZAF9</t>
  </si>
  <si>
    <t>R1.983 billion</t>
  </si>
  <si>
    <t>Create 50,311 new opportunities in environmental programmes and 14,000 new opportunities in community forestry</t>
  </si>
  <si>
    <t xml:space="preserve">Employment Stimulus programme (quoted in Cambridge Econometric, Modelling an inclusive Green Econoomy COVID19 Recovery Programme for SA </t>
  </si>
  <si>
    <t>ZAF10</t>
  </si>
  <si>
    <t>R 2 billion</t>
  </si>
  <si>
    <t>Deferral of carbon tax payments (3-month) for filing and first payment of carbon tax liabilities. The filing and payment date will be delayed to 31 October 2020, providing cash flow relief of close to ZAR2 billion.</t>
  </si>
  <si>
    <t>Global Recovery Observatory</t>
  </si>
  <si>
    <t xml:space="preserve">http://www.treasury.gov.za/comm_media/press/2020/20200423%20Media%20statement%20-%20Further%20tax%20measures%20to%20combat%20COVID-19.pdf ; </t>
  </si>
  <si>
    <t>ZAF11</t>
  </si>
  <si>
    <t>R26 bln</t>
  </si>
  <si>
    <t>Bailout of coal-fired power utility (Eskom) which generates almost all electricity in ZAF (On the top of annual R 23 bln for the next 3 years that had been committed before the pandemic)</t>
  </si>
  <si>
    <t>http://www.treasury.gov.za/documents/National%20Budget/2020/review/FullBR.pdf</t>
  </si>
  <si>
    <t>ZAF12</t>
  </si>
  <si>
    <t>R10 m</t>
  </si>
  <si>
    <t>Delivery of water tanks to areas in the Eastern Cape affected by drought. Additional funds to be committed later.</t>
  </si>
  <si>
    <t>https://www.gov.za/speeches/update-drought-interventions-eastern-cape-28-sep-2020-0000</t>
  </si>
  <si>
    <t>ZAF13</t>
  </si>
  <si>
    <t>R 600 m</t>
  </si>
  <si>
    <t xml:space="preserve">Social housing spending to provide affordable rental housing financed through Social Housing Re gulation Authority </t>
  </si>
  <si>
    <t>http://www.treasury.gov.za/documents/national%20budget/2020S/review/FullSBR.pdf</t>
  </si>
  <si>
    <t>ZAF14</t>
  </si>
  <si>
    <t>R 135 m</t>
  </si>
  <si>
    <t>Installation of a bespoke solar carport by Ford SA at its assembly plant in Silverton, Tshwane.This 13,5 MW, 31 000 PV panel, solution will be one of the largest solar carports in the world and will create over 5000 new jobs</t>
  </si>
  <si>
    <t>https://www.environment.gov.za/speech/sotyu_onlinesustainabilitysummit2020</t>
  </si>
  <si>
    <t>ZAF15</t>
  </si>
  <si>
    <t>Construction of Kangnas Wind Farm (Springbok -Northern Cape) as part of government’s Renewable Energy Independent Power Producer Procurement Programme (REI4P). The project will generate enough clean energy to satisfy the needs of 154 625 average South African households,513 GWh of renewable energy each year, during its 20-year operations period.Kangnas Wind Farm, most recently, provided support to the local healthcare centre in Springbok through the provision of Oxygen machines and other equipment to assist with COVID-19 relief</t>
  </si>
  <si>
    <t>ZAF16</t>
  </si>
  <si>
    <t>Reduce current timeframes for mining, prospecting, water and environmental licenses by 50%</t>
  </si>
  <si>
    <t>Government of SA, Highlights of the RRP</t>
  </si>
  <si>
    <t>ZAF17</t>
  </si>
  <si>
    <t xml:space="preserve">Fuel levies will be increased by 27 cents per litre, including 15 cents per litre for general fuel levy. </t>
  </si>
  <si>
    <t>Budget 2021</t>
  </si>
  <si>
    <t>ZAF18</t>
  </si>
  <si>
    <t>0.22 billion</t>
  </si>
  <si>
    <t>Land Bank equity investment bailout (accounts for 29% of South Africa's agricultural debt)</t>
  </si>
  <si>
    <t>ZAF19</t>
  </si>
  <si>
    <t>0.01 billion</t>
  </si>
  <si>
    <t xml:space="preserve">Agricultural Support Fund to support distressed farmers through the land bank. </t>
  </si>
  <si>
    <t>ZAF20</t>
  </si>
  <si>
    <t>0.09 billion</t>
  </si>
  <si>
    <t>Immediate support to small-holder farmers currently affected by COVID-19</t>
  </si>
  <si>
    <t>ZAF21</t>
  </si>
  <si>
    <t>Provides funding to ensure sustainable food production during the COVID-19 pandemic and mitigate the impacts of the pandemic</t>
  </si>
  <si>
    <t>ZAF22</t>
  </si>
  <si>
    <t>0.49 billion</t>
  </si>
  <si>
    <t>Provides funding to municipalities to support emergency water supply.</t>
  </si>
  <si>
    <t>ZAF23</t>
  </si>
  <si>
    <t>Provides funding to municipalities to support the continued functioning of public transport</t>
  </si>
  <si>
    <t>ZAF24</t>
  </si>
  <si>
    <t>Increase in the limit for self-production of electricity without requiring a license to 100 MW</t>
  </si>
  <si>
    <t>https://www.bloomberg.com/news/articles/2021-06-10/south-africa-allows-more-private-power-generation-to-ease-crisis</t>
  </si>
  <si>
    <t>CHN1</t>
  </si>
  <si>
    <t xml:space="preserve">On 26 January 2020 three government agencies issued “Notification regarding prohibition of trade in wildlife”. Temporarily required captive wildlife facilities to quarantine, and stated “all business operations…shall strictly prohibit trade of wildlife in any form”. The notice was issued “in order to strictly guard against the epidemic in the new-type coronavirus and obstruct possible sources and routes of transmission”. </t>
  </si>
  <si>
    <t>CHN2</t>
  </si>
  <si>
    <t xml:space="preserve">On 24 February 2020 Decisions adopted by the Standing Committee of the National People’s Congress prohibited commercial breeding and trade in most terrestrial wild animal species for the purposes of consumption as food. There are still critical loopholes in China’s legislation though e.g. trade in threatened species is still allowed for traditional medicine and decorative purposes just not consumption. </t>
  </si>
  <si>
    <t xml:space="preserve">Decisions adopted by the Standing Committee of the National People’s Congress </t>
  </si>
  <si>
    <t>CHN3</t>
  </si>
  <si>
    <t xml:space="preserve">One of China’s most significant legislation for biodiversity – the Wildlife protection law / wild animal law (N.B. does not cover flora) – is due to be revised this year. This is an opportunity to amend provisions that currently legitimise commercial trade in and the use of threatened species. China needs a newly precautionary approach to wildlife trade and consumption, and to ensure a coherent approach to risk mitigation for human health. </t>
  </si>
  <si>
    <t>CHN4</t>
  </si>
  <si>
    <t xml:space="preserve">As part of a wider ÂCNY 4.35 trillion package, China will begin the renovation of 39,000 old urban residential communities and support the upgrading of plumbing and wiring and the installation of elevators in old residential buildings; it will also encourage the development of community services such as elderly home care, the provision of meals, and cleaning services. According to the recent document, the government provided 53.4 billion CNY to local governments for encouraging their fiscal spending on the renovation of old urban residential communities. This spending encourages some green investments, such as the Energy-saving improvement on old buildings and the installation of charging stations . </t>
  </si>
  <si>
    <t>http://www.gov.cn/xinwen/2020-07/21/content_5528678.htm</t>
  </si>
  <si>
    <t>CHN5</t>
  </si>
  <si>
    <t>The investment of the fund focuses on environmental protection and pollution control, ecological restoration and land and space greening, energy conservation and utilization, green transportation, clean energy and other fields. The final size of the fund was 88.5 billion CNY, of which the central government contributed 10 billion CNY. Other contributors include provincial  and municipal governments along the Yangtze River Economic Belt, some financial institutions and enterprises.</t>
  </si>
  <si>
    <t>https://web.archive.org/web/20200721140317/, https://finance.sina.com.cn/money/bank/bank_hydt/2020-07-15/doc-iivhvpwx5599537.shtml</t>
  </si>
  <si>
    <t>CHN6</t>
  </si>
  <si>
    <t>China's new round of UHV projects will include 12 lines, involving a total investment of over 150 billion CNY. Among them, three lines planned to start construction in 2020 will involve an investment of about 60 billion CNY._x000D_
_x000D_
Whether it is for 5G, big data centers, industrial Internet or new energy vehicle charging , the construction and operation of these technologies are inseparable from the power network. _x000D_
_x000D_
The ultra-high-voltage project could also improve the power transmission efficiency and increase the transmission from inland areas with massive renewable energy production to coastal regions.</t>
  </si>
  <si>
    <t>https://web.archive.org/web/20200721105821/, https://finance.sina.com.cn/chanjing/cyxw/2020-03-19/doc-iimxyqwa1774230.shtml</t>
  </si>
  <si>
    <t>CHN7</t>
  </si>
  <si>
    <t xml:space="preserve">China is approving plans for new coal power plant capacity at the fastest rate since 2015. Survey data from the Global Energy Monitor and the Centre for Research on Energy and Clean Air  shows that China approved the construction of more coal power plants in the period to mid-June than in all of 2018 and 2019 combined. Many of the plants are built by regional authorities in efforts to stimulate their economies. Projects proposed this year, if approved, would add more than 40 GW of capacity. </t>
  </si>
  <si>
    <t>CHN8</t>
  </si>
  <si>
    <t xml:space="preserve"> While China has increased subsidies to electric vehicles at the provincial level subsidies to conventional cars have also been rolled out. in Shangai for example, as part of its subsidy program for auto-replacement 40,000 cars will be supported and a subsidy of 4000 CNY will be provided to consumers who purchase a gasoline vehicle that meets the VI vehicle emission standards. Similar cash for clunker schemes are in place in Zhejiang, Shanghai, Nanjing, Changchun, Guangzhou and Foshan to name only a few._x000D_
_x000D_
Similarly, local governments in China are loosening restrictions on new vehicle license plate allocations to spur an increase in vehicle sales.</t>
  </si>
  <si>
    <t>CHN9</t>
  </si>
  <si>
    <t xml:space="preserve">The Government increased the wind and solar energy targets for 2020 compared to what was set in its 13th five year plan. The latter was initially set at 210 GW and the later at 110GW and both have been increased to 240GW which means China will expand its solar and wind capacity by 66GW this year given its installed capacity at the end of 2019. </t>
  </si>
  <si>
    <t>https://web.archive.org/web/20200708095915/, https://www.ndrc.gov.cn/xxgk/zcfb/tz/202006/t20200618_1231501.html</t>
  </si>
  <si>
    <t>CHN10</t>
  </si>
  <si>
    <t>From May 1 2020 to the end of 2023, VAT levied on second-hand car dealers selling old cars will be reduced to 0.5% from an original 3% rate.</t>
  </si>
  <si>
    <t>https://web.archive.org/save/, http://www.chinatax.gov.cn/chinatax/n810341/n810755/c5148182/content.html</t>
  </si>
  <si>
    <t>CHN11</t>
  </si>
  <si>
    <t>Approval of a coal mine and coal preparation plant in Pingliang Municilality, Gansu province by the national energy agency. The proposed investment is of 3.267 billion CNY with an output of 2.4 million tons per year.</t>
  </si>
  <si>
    <t>CHN13</t>
  </si>
  <si>
    <t xml:space="preserve">With the economic impacts of C-19 China is not setting an energy efficiency (energy consumption per unit of GDP) target for this year, in contrast to what it has done since 2014. </t>
  </si>
  <si>
    <t>https://www.jwnenergy.com/article/2020/5/china-drops-key-environmental-target-coronavirus-hits-growth/</t>
  </si>
  <si>
    <t>CHN14</t>
  </si>
  <si>
    <t xml:space="preserve">The measure involves relaxing some environmental requirements and extending compliance deadlines for firms in order to increase production after the pandemic. Some firms that have low emissions levels for example will be exempt from on site environmental checks. It is expected that 300,000 firms and 55,000 projects will benefit form this policy. </t>
  </si>
  <si>
    <t>https://www.reuters.com/article/us-health-coronavirus-china-environment/china-to-modify-environmental-supervision-of-firms-to-boost-post-coronavirus-recovery-idUSKBN20X0AG</t>
  </si>
  <si>
    <t>CHN15</t>
  </si>
  <si>
    <t xml:space="preserve">As part of a wider Â¥ 4.35 trillion package China will redouble efforts to develop major transportation and water conservancy projects, and increase national railway development capital by 100 billion CNY. </t>
  </si>
  <si>
    <t>http://english.www.gov.cn/premier/news/202005/30/content_WS5ed197f3c6d0b3f0e94990da.html</t>
  </si>
  <si>
    <t>CHN16</t>
  </si>
  <si>
    <t>The government extended  the automobile tax exemption program for new electric vehicles for two years in order to increase the sales of electric vehicles. Vehicles exempted include pure electric vehicles, plug in hybrids and fuel cell vehicles.</t>
  </si>
  <si>
    <t>http://www.gov.cn/zhengce/zhengceku/2020-04/22/content_5505188.htm_x000D_
, http://www.miit.gov.cn/n1146295/n1652858/n1652930/n4509607/c7885632/content.html</t>
  </si>
  <si>
    <t>CHN17</t>
  </si>
  <si>
    <t>China extended the electric vehicle subsidy policy, which was due to end in 2020, for two years in order to increase the sales of electric vehicles. EVs with a selling price of 300,000  or less will be supported and support will be provided to 2 million vehicles per year for a total of 6 million vehicles. Under the new plan, China is extending subsidies for another two years, cutting them by 10 percent, 20 percent and 30 percent year-on-year until their expiry in 2023.</t>
  </si>
  <si>
    <t xml:space="preserve">http://www.gov.cn/zhengce/zhengceku/2020-04/23/content_5505502.htm_x000D_
, http://www.gov.cn/zhengce/2020-04/23/content_5505506.htm_x000D_
, http://jjs.mof.gov.cn/zxzyzf/jnjpbzzj/202006/t20200622_3536951.htm </t>
  </si>
  <si>
    <t>CHN18</t>
  </si>
  <si>
    <t>This is a key stimulus measure to increase by 50 precent the electric vehicle charging network in China from its current level. This should enable 600,000 new charging points to be built in 2020. China is behind its original target of reaching 4.8 million charging points to accommodate 5 million EVs on the roads by 2020. Germany is also currently providing more subsidies to EVs than China in a bid to outrun it in the EV race.</t>
  </si>
  <si>
    <t>https://technode.com/2020/04/10/china-is-investing-rmb-10-billion-in-ev-charging-infrastructure/</t>
  </si>
  <si>
    <t>CHN19</t>
  </si>
  <si>
    <t>The CPC Central Committee's proposals for formulating the 14th Five-Year Plan (2021-2025) for National Economic and Social Development and the Long-Range Objectives Through the Year 2035 were adopted at the fifth plenary session of the 19th CPC Central Committee which closed on Oct 29. The Plan's  objectives include:   Eco-friendly ways of work and life will be advanced to cover all areas of society. Carbon emission will steadily decline after reaching a peak, and there will be a fundamental improvement in the environment with the goal of building a Beautiful China basically reached;</t>
  </si>
  <si>
    <t>http://english.www.gov.cn/policies/latestreleases/202011/03/content_WS5fa159efc6d0f7257693edc1.html</t>
  </si>
  <si>
    <t>CHN20</t>
  </si>
  <si>
    <t>The State Council on Nov 22020  issued a circular aimed at boosting the high-quality development of new energy vehicles (NEV) from 2021 to 2035:According to the circular, the NEV industry should make groundbreaking achievements in batteries, driving motors, vehicle operating systems, and alike by 2025, with new car sales reaching 20 percent of total sales.
The core technology of the Chinese NEV industry should leapfrog to the international advanced level in the next 15 years with energy consumption per 100 kilometers dropping to 12 Kwh, it stated.
In addition, the development and commercial use of the solid power battery will also be accelerated.
Additionally, the NEV industry should actively take part in formulation of international rules and standards to facilitate the formation of an open, transparent, and inclusive international NEV market environment.</t>
  </si>
  <si>
    <t>CHN22</t>
  </si>
  <si>
    <t>The General Office of the CPC Central Committee and the General Office of the State Council made the statement in Guidelines on Adjusting the Distribution of Land Transfer Revenues to Support Rural Rejuvenation on Sept 23, 2020.China will increase the share of revenue from land transfers diverted to agriculture and rural areas, in an effort to help finance rural rejuvenation.The guideline said that a national goal should be set based on overall consideration of fiscal capabilities, land transfer revenues and development demands in agriculture and rural areas across regions. And, local authorities should decide their own yearly goals and implementation steps, and carry out the reform at a proper pace.According to the guideline, the revenues will be mainly used to build high-quality farmlands, farming and water resource facilities; improve the living environment, and protect farmlands.</t>
  </si>
  <si>
    <t>http://english.www.gov.cn/policies/latestreleases/202009/23/content_WS5f7c3098c6d0f7257693d201.html</t>
  </si>
  <si>
    <t>CHN23</t>
  </si>
  <si>
    <t>The General Office of the State Council issued a circular on Sept 21 2020, approving the tourism development plan for Taihang Mountain (2020-2035).
Adhering to new development concepts and high-quality development, the plan complies with major national strategies, and gives full play to the role of tourism in poverty alleviation and rural revitalization in the Taihang Mountain area, as well as transformation and development of the resource-based areas, the circular said.
The circular also stresses prioritizing ecological development and urges adherence to environmental protection in Taihang Mountain.</t>
  </si>
  <si>
    <t>http://english.www.gov.cn/policies/latestreleases/202009/21/content_WS5f689095c6d0f7257693c5e1.html</t>
  </si>
  <si>
    <t>CHN24</t>
  </si>
  <si>
    <t>The General Office of the State Council issued a circular on Sept 15 2020 requiring efforts to implement the strictest farmland protection to prevent non-agricultural activities on farmlands and resolutely defend the red line.
According to the circular, the following acts are strictly prohibited on farmlands, especially on permanent, basic farmlands: illegal afforestation, building green channels beyond standards, digging lakes or building scenic spots, expanding nature reserve areas, as well as non-agricultural construction.
Land approval and usage against laws and regulations are also strictly banned, according to the document.
Related departments across regions are required to assume responsibilities for protecting farmlands, and conduct overall inspections on farmland protection.
The Ministry of Natural Resources, the Ministry of Agriculture and Rural Affairs and other departments should supervise and inspect the implementation of the circular.</t>
  </si>
  <si>
    <t>http://english.www.gov.cn/policies/latestreleases/202009/15/content_WS5f60c43cc6d0f7257693c077.html</t>
  </si>
  <si>
    <t>CHN25</t>
  </si>
  <si>
    <t>The State Council on July 20 2020 issued a guideline, aimed at pushing forward work in renovating old urban residential areas. According to the guideline, 39,000 old urban housing estates should be renovated in 2020, involving nearly 7 million households. A basic renovation system frame, policy system, and work mechanism for obsolete urban housing estates should take shape by 2022. The renovation will focus on old residential areas built before the end of 2000, and most of the work will be completed by the end of the 14th Five-Year Plan.</t>
  </si>
  <si>
    <t>http://english.www.gov.cn/policies/latestreleases/202007/20/content_WS5f156515c6d00bd0989c642d.html</t>
  </si>
  <si>
    <t>CHN26</t>
  </si>
  <si>
    <t>The General Office of the State Council issued a reform guideline on July 10 2020, clarifying fiscal powers and expenditure responsibilities between the central government and local governments in the field of natural resources.The assignment covers surveying and monitoring, property rights management, and security of natural resources, national territorial spatial planning and control over utilization of national land, ecological protection and restoration, disaster prevention and mitigation in the natural resource field, among other aspects.</t>
  </si>
  <si>
    <t>http://english.www.gov.cn/policies/latestreleases/202007/10/content_WS5f09812ec6d06c4091250c2e.html</t>
  </si>
  <si>
    <t>CHN27</t>
  </si>
  <si>
    <t>The State Council released a reform guideline on the allocation of duties of central and local finance in ecological environment.
According to the guideline, national and cross-regional ecological environment planning, and that of key drainage basins, sea areas, and key areas with huge influence, as well as the national plan formulation to tackle climate change, are the responsibility of central finance, which should undertake expenditures in these areas.
Local finance should assume responsibilities in ecological environment monitoring, law enforcement, inspection, and supervision at the local level, covering expenditures in these areas.
Dealing with cross-border water contamination will rest on the fiscal authority of the central government.
Prevention and control of radioactive pollution, air pollution in influential regions and water pollution in major regions including the drainage areas of the Yangtze and Yellow Rivers is the shared responsibility of central and regional finance.
Prevention and control of soil contamination, agricultural and rural pollution, solid waste pollution, chemical pollution, groundwater pollution and regional air and water pollution are defined as the responsibility of regional finance.</t>
  </si>
  <si>
    <t>http://english.www.gov.cn/policies/latestreleases/202006/12/content_WS5ee3890fc6d0a6946639bf84.html</t>
  </si>
  <si>
    <t>CHN28</t>
  </si>
  <si>
    <t>The State Council released a circular on June 8 2020 on the decision to conduct the first general survey project on composite natural disaster risks, which cover 2020 to 2022, in an effort to beef up national comprehensive capabilities to prevent natural disasters.
According to the circular, 2020 marks the preliminary preparation and pilot phase of the natural disaster general survey, which calls for the establishment of a general survey work mechanism at all levels, organization of an exclusive team, related training, development of a special online-platform, and implementation of pilot work.
2021 and 2022 will see a composite general survey falling into place, with corresponding assessment and division work completed. And the general survey on national disaster risks and related assessment will come into fruition, with a detailed zoning map and results gathered, the circular said.</t>
  </si>
  <si>
    <t>http://english.www.gov.cn/policies/latestreleases/202006/08/content_WS5f17e41fc6d029c1c26367a0.html</t>
  </si>
  <si>
    <t>CHN29</t>
  </si>
  <si>
    <t xml:space="preserve">The State Council has decided to adjust the staffing of the National Committee for Disaster Reduction in light of institutional setup, personnel turnover and work requirements, said a circular released by the General Office of the State Council on May 13 2020. China's Ministry of Finance and Ministry of Emergency Management (MEM) have allocated emergency funding of 130 million CNY (about $18.38 million) for flood control and drought relief in two provincial-level regions.
Of the total, 100 million CNY will be used in Yunnan province for drought relief due to serious water shortage in some areas of the province, the MEM said.
In addition, 30 million CNY of the funds will be channeled to the Inner Mongolia autonomous region for flood control, according to the MEM. </t>
  </si>
  <si>
    <t>http://english.www.gov.cn/statecouncil/ministries/202004/17/content_WS5e999f6dc6d0b3f0e9495bec.html</t>
  </si>
  <si>
    <t>CHN30</t>
  </si>
  <si>
    <t>New coal mine, the Kekegay Coal Mine Project within the northern area of ​​Shaanxi Yuheng mining area approved by NDRC</t>
  </si>
  <si>
    <t>https://www.ndrc.gov.cn/xxgk/zcfb/tz/202103/t20210304_1268929.html</t>
  </si>
  <si>
    <t>CNY</t>
  </si>
  <si>
    <t>CHN31</t>
  </si>
  <si>
    <t>960.23 million CNY</t>
  </si>
  <si>
    <t>A new  pipeline to meet the expected growth needs of the Changsha Huanghua International Airport.</t>
  </si>
  <si>
    <t>energy policy tracker</t>
  </si>
  <si>
    <t>http://www.ggzy.gov.cn/information/html/b/670000/0101/202101/08/00672c7e86dda5934546a0b886ab98a52dbb.shtml</t>
  </si>
  <si>
    <t>CHN32</t>
  </si>
  <si>
    <t>CNY2.8 trillion will be allocated to a number of measures as outlined in the 2021 Government Work Report, including the development of car parks and electric vehicle battery charging / swapping facilities,  system for recycling power batteries, evelop alternative sources of energy, including nuclear energy, and others</t>
  </si>
  <si>
    <t>Oxford global recovery observatory</t>
  </si>
  <si>
    <t>http://english.www.gov.cn/news/videos/202103/06/content_WS60439b2bc6d0719374afa476.html ; http://english.www.gov.cn/news/videos/202103/24/content_WS605a8de5c6d0719374afb493.html</t>
  </si>
  <si>
    <t>CHN33</t>
  </si>
  <si>
    <t>CNY 4.13 billion</t>
  </si>
  <si>
    <t>Four new coal mine projects in Xinjiang</t>
  </si>
  <si>
    <t>http://www.sxcoal.com/news/4615831/info/en</t>
  </si>
  <si>
    <t>CHN34</t>
  </si>
  <si>
    <t>China’s national ETS started operating in 2021</t>
  </si>
  <si>
    <t>https://icapcarbonaction.com/en/?option=com_etsmap&amp;task=export&amp;format=pdf&amp;layout=list&amp;systems%5B%5D=55</t>
  </si>
  <si>
    <t xml:space="preserve">Carbon Brief has analysed the the list of “key projects” that is prepared very year by each Chinese provincial government. The early assessment finds that 2.1 trillion CNY going to rail and 2.1 Trillion CNY going to fossil fuels subsidies. RE production projects amount to 333 CNY Billion. Inclusion on the list opens the doors for developers to obtain permits and project financing, by conveying a government-supported status. </t>
  </si>
  <si>
    <t>https://www.carbonbrief.org/analysis-chinas-covid-stimulus-plans-for-fossil-fuels-three-times-larger-than-low-carbon</t>
  </si>
  <si>
    <t>CHN35</t>
  </si>
  <si>
    <t>the  Government Work Report lists a number of objectives that may have a positive impact on the environment, including carbon peak by 2030 and carbon neutrality by 2060”, promotiong of the clean and efficient use of coal, the development of Trenewable energy, and the development of nuclear power while ensuring safety, stronger attention to Water and waste treatment, forbidding wild animal poaching and trade. Measures with a possible negative impact are also included.  The fiscal stimulus package is estimated to amount to 3.5% of GDP</t>
  </si>
  <si>
    <t>http://www.gov.cn/zhuanti/2021qglh/index.htm</t>
  </si>
  <si>
    <t>CHN36</t>
  </si>
  <si>
    <r>
      <t>draft 14</t>
    </r>
    <r>
      <rPr>
        <vertAlign val="superscript"/>
        <sz val="11"/>
        <color theme="1"/>
        <rFont val="Calibri"/>
        <family val="2"/>
      </rPr>
      <t>th</t>
    </r>
    <r>
      <rPr>
        <sz val="11"/>
        <color theme="1"/>
        <rFont val="Calibri"/>
        <family val="2"/>
      </rPr>
      <t xml:space="preserve"> Five Year Plan (2021-2015) includes target with both a positive and negative impact on the environment, including the objective to reduce energy intensity of output by 13.5% and CO2 emissions by 18%</t>
    </r>
  </si>
  <si>
    <t>CHN37</t>
  </si>
  <si>
    <t xml:space="preserve"> China’s National Forestry and Grassland Administration and the Ministry of Agriculture and Rural Affairs (MOARA) updated the national List of Wild Animals Under State Priority Conservation bringing the total protected species to 980.</t>
  </si>
  <si>
    <t>RUS1</t>
  </si>
  <si>
    <t>Decree of the President of the Russian Federation “On reducing greenhouse gas emissions”</t>
  </si>
  <si>
    <t>https://www.energypolicytracker.org/country/russia</t>
  </si>
  <si>
    <t>RUS2</t>
  </si>
  <si>
    <t>203.54 million US</t>
  </si>
  <si>
    <t>Introduction of the “reverse excise tax” (tax deduction) on ethane and Liquefied Petrolum Gas depending on the volumen of investment in new and modernize petrochimical facilities</t>
  </si>
  <si>
    <t>RUS3</t>
  </si>
  <si>
    <t>1.83 billion USD</t>
  </si>
  <si>
    <t>Changes in certain relief measures on the Mineral Extraction Tax and export tax, especially for mature fields</t>
  </si>
  <si>
    <t>RUS4</t>
  </si>
  <si>
    <t>1.32 billion USD</t>
  </si>
  <si>
    <t>Tax Code amendments raising the Additional Income Tax on oil and gas production</t>
  </si>
  <si>
    <t>RUS5</t>
  </si>
  <si>
    <t>Russian government plan road map for the development of hydrogen energy in the Russian Federation until 2024</t>
  </si>
  <si>
    <t>RUS7</t>
  </si>
  <si>
    <t>Increase in the volume of mandatory fuel sales by oil companies at SPIMEX</t>
  </si>
  <si>
    <t>RUS8</t>
  </si>
  <si>
    <t>Oil and gas support measures within the federal law “On state support of entrepreneurial activity in the Artic Zone of the Russian Federation"</t>
  </si>
  <si>
    <t>RUS10</t>
  </si>
  <si>
    <t>Energy Strategy of the Russian Federation to 2035</t>
  </si>
  <si>
    <t>RUS11</t>
  </si>
  <si>
    <t>151.17 million US</t>
  </si>
  <si>
    <t>Partial compensation of operation costs by airports</t>
  </si>
  <si>
    <t>RUS12</t>
  </si>
  <si>
    <t>Temporary prohibition on import of certain fuels</t>
  </si>
  <si>
    <t>RUS13</t>
  </si>
  <si>
    <t>346.72 million US</t>
  </si>
  <si>
    <t>Automotive industry coronavirus support package</t>
  </si>
  <si>
    <t>RUS14</t>
  </si>
  <si>
    <t>324.53 million US</t>
  </si>
  <si>
    <t>Airline subsidies due to coronavirus traffic decreases</t>
  </si>
  <si>
    <t>RUS15</t>
  </si>
  <si>
    <t>Tax Code amendments introducing more tax incentives for natural gas development in the Arctic</t>
  </si>
  <si>
    <t>RUS16</t>
  </si>
  <si>
    <t>National Adaptation Plan</t>
  </si>
  <si>
    <t>Russia's Green Recovery from COVID-19 | Platform for REDESIGN 2020 (platform2020redesign.org)</t>
  </si>
  <si>
    <t>Climate mitigation</t>
  </si>
  <si>
    <t>Sub-type of measure</t>
  </si>
  <si>
    <t>Yes/No</t>
  </si>
  <si>
    <t>Environmental focus 1</t>
  </si>
  <si>
    <t>Positive/Negative/Indeterminate</t>
  </si>
  <si>
    <t>Policy</t>
  </si>
  <si>
    <t>Sector-specific</t>
  </si>
  <si>
    <t>AUD 10.3m</t>
  </si>
  <si>
    <t>AUD 40m</t>
  </si>
  <si>
    <t>AUD 7.8m</t>
  </si>
  <si>
    <t>Regional Recovery Partnerships - to support existing regional development plans in 10 regions</t>
  </si>
  <si>
    <t>AUD 680m</t>
  </si>
  <si>
    <t>COVID-19 Response Package — Relief and Recovery Fund — additional projects: Sustaining tourism at Australia's iconic World and National Heritage sites. Including improvements to visitor facilities and accomodation.</t>
  </si>
  <si>
    <t>AUD 1.9 billion</t>
  </si>
  <si>
    <t>The Government will provide $1.9 billion over twelve years from 2020-21 (including $628.5 million over four years to 2023-24) to continue funding the Australian Renewable Energy Agency (ARENA), expand the investment mandate of the Clean Energy Finance Corporation (CEFC), and invest in low emissions technologies, network infrastructure, dispatchable generation and reliable supplies in the National Electricity Market (NEM)</t>
  </si>
  <si>
    <t>AUS58</t>
  </si>
  <si>
    <t>AUS59</t>
  </si>
  <si>
    <t>AUS60</t>
  </si>
  <si>
    <t>AUS61</t>
  </si>
  <si>
    <t>AUS62</t>
  </si>
  <si>
    <t>AUS63</t>
  </si>
  <si>
    <t>AUS64</t>
  </si>
  <si>
    <t>AUS65</t>
  </si>
  <si>
    <t>AUD 490m</t>
  </si>
  <si>
    <t>COVID-19 Response Package — Relief and Recovery Fund — additional projects: to support coastal ecosystems by rebuilding shellfish reefs at
shovel-ready sites around Australia to support local businesses and coastal communities affected by the summer bushfires and COVID-19 pandemic</t>
  </si>
  <si>
    <t>AUD 1.8 billion</t>
  </si>
  <si>
    <t>The Government will provide $1.8 billion over four years from 2020-21 to continue to support the aviation and tourism sectors as part of the Government's response to the COVID-19 pandemic, support transition to recovery, and stimulate tourism</t>
  </si>
  <si>
    <t>AUD 58.6m</t>
  </si>
  <si>
    <t>Gas Led Recovery - the Government will provide $58.6 million over four years from 2021-22 to support key gas infrastructure projects, unlock new gas supply and empower gas customers.</t>
  </si>
  <si>
    <t>AUD 9m</t>
  </si>
  <si>
    <t>$9 million to extend the Improved Access to Agricultural and Veterinary Chemicals program to help farmers to gain improved access to safe and effective agricultural and veterinary chemicals</t>
  </si>
  <si>
    <t>The Government will provide $50.0 million over ten years from 2021-22 to establish an early stage seed capital financing function within the Australian Renewable Energy Agency (ARENA) - separate but related funding to program below.</t>
  </si>
  <si>
    <t>AUD 1.6b</t>
  </si>
  <si>
    <t>Technology Investment Roadmap and Low Emissions Technology- the Government will provide $1.6 billion over ten years from 2021-22 (including $761.9 million over four years from 2021-22) to incentivise private investment in technologies identified in the Government's Technology Investment Roadmap and Low Emissions Technology Statements, grow new export industries, create jobs and reduce emissions)</t>
  </si>
  <si>
    <t>AUD 100.1m</t>
  </si>
  <si>
    <t>Oceans Leadership Package - the Government will provide $100.1 million over five years from 2021-22 to stimulate economic growth and jobs in the emerging blue economy while improving the environmental outcomes for key species and sites in Australia’s oceans.</t>
  </si>
  <si>
    <t>Australia announces $100 million initiative to protect our oceans | Prime Minister of Australia (pm.gov.au)</t>
  </si>
  <si>
    <t>AUD 11.6m</t>
  </si>
  <si>
    <t>Expanding Indigenous Protected Areas to include Sea Country</t>
  </si>
  <si>
    <t>https://www.niaa.gov.au/indigenous-affairs/environment/indigenous-protected-areas-ipas</t>
  </si>
  <si>
    <t>AUD 850m</t>
  </si>
  <si>
    <t>Agriculture 2030 program - backing the backing the Australian agriculture industry to reach its goal of $100 billion in value by 2030 through various ag and environment-related projects.</t>
  </si>
  <si>
    <t>https://www.awe.gov.au/sites/default/files/2021-05/budget-ag2030-factsheet.pdf</t>
  </si>
  <si>
    <t>Incentivising Recycling Behaviours – Supporting small business to adopt the Australasian recycling label</t>
  </si>
  <si>
    <t>https://www.environment.gov.au/protection/waste/consumers/australasian-recycling-label</t>
  </si>
  <si>
    <t>AUD 29.3m</t>
  </si>
  <si>
    <t xml:space="preserve">Independent Review of the Environment Protection and Biodiversity Conservation Act 1999 — initial response </t>
  </si>
  <si>
    <t>https://budget.gov.au/2021-22/content/bp2/download/bp2_2021-22.pdf</t>
  </si>
  <si>
    <t>AUD 1.2b</t>
  </si>
  <si>
    <t>National Recovery and Resilience Agency (NRRA) establishment and related programs to improve Australia's capability to better prepare for, respond to, and recover from natural disasters - includes $280m for bushfire recovery</t>
  </si>
  <si>
    <t>AUS66</t>
  </si>
  <si>
    <t>AUS67</t>
  </si>
  <si>
    <t>AUS68</t>
  </si>
  <si>
    <t>AUS69</t>
  </si>
  <si>
    <t>AUS70</t>
  </si>
  <si>
    <t>0p5</t>
  </si>
  <si>
    <t>0we5</t>
  </si>
  <si>
    <t>0,EU</t>
  </si>
  <si>
    <t>N/</t>
  </si>
  <si>
    <t>n,1</t>
  </si>
  <si>
    <t xml:space="preserve">n, </t>
  </si>
  <si>
    <t>AUD $212.2m</t>
  </si>
  <si>
    <t>Drought Response, Resilience and Preparedness Plan - the Government will provide $212.2 million over four years from 2020-21 for a package of measures to continue support for farmers and communities to manage drought</t>
  </si>
  <si>
    <t>AUD 5.9m</t>
  </si>
  <si>
    <t>National Product Stewardship Investment Fund to further stimulate and incentivise recycling behaviours among Australian businesses and communities</t>
  </si>
  <si>
    <t>AUD $1.5b</t>
  </si>
  <si>
    <t xml:space="preserve">Murray-Darling Basin - the Government will provide $1.5 billion over four years from 2020-21 for a package of measures to continue efforts to achieve a sustainable and certain future for the Murray-Darling Basin (Basin), its people, industries and the environment. </t>
  </si>
  <si>
    <t>AUD $20.1m</t>
  </si>
  <si>
    <t xml:space="preserve">The Government will provide $20.1 million over two years from 2021-22 to deliver a comprehensive Global Resources Strategy (Strategy) that supports the diversification of export markets for Australia’s resources commodities. </t>
  </si>
  <si>
    <t>AUD $59.8m</t>
  </si>
  <si>
    <t>To support the Australian Nuclear Science and Technology Organisation’s  waste storage capacity</t>
  </si>
  <si>
    <t>AUD $2.4m</t>
  </si>
  <si>
    <t>Site selection process for the National Radioactive Waste Management Facility continues</t>
  </si>
  <si>
    <t>AUD $50.7m</t>
  </si>
  <si>
    <t>Biodiersity</t>
  </si>
  <si>
    <t>Oil Stocks and Refining Capacity in Australia - $50.7 million over six years from 2021-22 for the implementation and administration
of the minimum stockholding obligation and the broader fuel security framework</t>
  </si>
  <si>
    <t>AUD 15.7 m</t>
  </si>
  <si>
    <t xml:space="preserve">Strategic Basin Plans inc Gas Exploration in Northern Australia to support gas industry field appraisal trials </t>
  </si>
  <si>
    <t>AUD 55.5m</t>
  </si>
  <si>
    <t>Community Development Grants Programme — new projects — mostly infrastructure</t>
  </si>
  <si>
    <t>Infrastructre</t>
  </si>
  <si>
    <t>AUD 167.3m</t>
  </si>
  <si>
    <t>Infrastructure Investment in the Australian Capital Territory - general</t>
  </si>
  <si>
    <t>AUD $3.3b</t>
  </si>
  <si>
    <t>Infrastructure Investment in New South Wales - general</t>
  </si>
  <si>
    <t>AUD $323.9m</t>
  </si>
  <si>
    <t>Infrastructure Investment in the Northern Territory - general</t>
  </si>
  <si>
    <t>AUD $1.6b</t>
  </si>
  <si>
    <t>Infrastructure Investment in Queensland - general</t>
  </si>
  <si>
    <t>AUD $3.2b</t>
  </si>
  <si>
    <t>Infrastructure Investment in South Australia - general</t>
  </si>
  <si>
    <t>AUD 322.6m</t>
  </si>
  <si>
    <t>Infrastructure Investment in Tasmania - general</t>
  </si>
  <si>
    <t>AUD $3b</t>
  </si>
  <si>
    <t>Infrastructure Investment in Victoria - general</t>
  </si>
  <si>
    <t>AUD $1.3b</t>
  </si>
  <si>
    <t>Infrastructure Investment in Western Australia - general</t>
  </si>
  <si>
    <t>AUD $1b</t>
  </si>
  <si>
    <t>Local Roads and Community Infrastructure Program - general</t>
  </si>
  <si>
    <t>AUD $348m</t>
  </si>
  <si>
    <t>Supporting Regional Australia - primarily an infrastructure grants program</t>
  </si>
  <si>
    <t>Subsidy</t>
  </si>
  <si>
    <t>AUD 782.1m</t>
  </si>
  <si>
    <t>Housing packacge</t>
  </si>
  <si>
    <t>AUD 774.8m</t>
  </si>
  <si>
    <t>Extention of 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</si>
  <si>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$59.8 million over four years from 2021-22 to deliver grants in partnership with states and territories through a Food Waste for Healthy Soils Fund to enhance existing organic waste and processing infrastructure and make better use of this resource</t>
  </si>
  <si>
    <t>AUD $160m</t>
  </si>
  <si>
    <t xml:space="preserve">National Water Grid — new projects - 2 to establish the National Water Grid Connections funding pathway to deliver small scale water infrastructure projects and provide short-term economic stimulus. </t>
  </si>
  <si>
    <t>Road Safety Program — extension, includes: Small-scale road safety projects such as road widening, audio tactile line
marking and barriers will be identified and delivered by jurisdictions in six month tranches to improve safety on Australian roads while stimulating local economies.</t>
  </si>
  <si>
    <t>AUD $141.6m</t>
  </si>
  <si>
    <t>Supporting Infrastructure Investment to undertake new activities which support the future of the aviation industry and
improve the Commonwealth's capability to deliver infrastructure investment - including management plans for PFAS at airports</t>
  </si>
  <si>
    <t>AUD $89.3m</t>
  </si>
  <si>
    <t>Tasmanian Freight Equalisation Scheme — imports assistance ongoing to extend the eligibility of the Tasmanian Freight Equalisation Scheme assistance to eligible imported goods with no direct Australian-made equivalent at a rate of $700 per twenty-foot equivalent unit from 1 July 2021. This will provide greater assistance to Tasmanian agriculture, forestry and fisheries, manufacturing and mining industries.</t>
  </si>
  <si>
    <t>COVID-19 Response Package — supporting the Great Barrier Reef tourism industry: The Government will provide $11.6 million over three years from 2020-21 to the Great Barrier Reef Marine Park Authority to continue its world class management of the Great Barrier Reef (the Reef) whilst supporting local businesses in a region significantly impacted by the COVID-19 pandemic</t>
  </si>
  <si>
    <t>https://archive.budget.gov.au/2020-21/bp2/download/bp2_complete.pdf</t>
  </si>
  <si>
    <t>AUD $184.7m</t>
  </si>
  <si>
    <t>Supporting Infrastructure Investment: the Government will provide $184.7 million over 10 years from 2020-21 to support the delivery of infrastructure investments including infrastructure stimulus as part of the Government’s economic response to COVID-19, priority infrastructure projects and city and regional deals.</t>
  </si>
  <si>
    <t>AUD $2.0b</t>
  </si>
  <si>
    <t>JobMaker Plan — National Water Grid — investing in a long-term approach to water infrastructure: The Government will provide $2.0 billion over ten years from 2020-21 for the development and delivery of a 10-year rolling program of priority water infrastructure investments that support agricultural output, increase water security and build resilience</t>
  </si>
  <si>
    <t>AUD $1.0b</t>
  </si>
  <si>
    <t>JobMaker Plan — Local Roads and Community Infrastructure Program — extension: The Government will provide $1.0 billion over two years from 2020-21 to extend the
Local Roads and Community Infrastructure Program to support local councils to maintain and deliver social infrastructure, improve road safety and bolster the resilience of our local road network</t>
  </si>
  <si>
    <t>AUD $1.1b</t>
  </si>
  <si>
    <t>JobMaker Plan — Infrastructure Investment — Western Australia: for priority road and rail projects in Western Australia to support economic recovery and jobs, increasing the Government’s total commitment to transport infrastructure in Western Australia to over $15.4 billion</t>
  </si>
  <si>
    <t>JobMaker Plan — Infrastructure Investment — Victoria: for priority road and rail projects in Victoria to support economic recovery and jobs, increasing the Government’s total commitment to transport infrastructure in Victoria to over $31.5 billion.</t>
  </si>
  <si>
    <t>AUD $359.6m</t>
  </si>
  <si>
    <t xml:space="preserve">JobMaker Plan — Infrastructure Investment — Tasmania: for priority road projects in Tasmania to support economic recovery and jobs, increasing the Government’s total
commitment to transport infrastructure in Tasmania to over $3.2 billion. </t>
  </si>
  <si>
    <t>AUD $155.3m</t>
  </si>
  <si>
    <t>JobMaker Plan — Infrastructure Investment — South Australia:  for priority road and rail projects in South Australia to support economic recovery and jobs, increasing the
Government’s total commitment to transport infrastructure in South Australia to over $9.8 billion</t>
  </si>
  <si>
    <t>AUD $2b</t>
  </si>
  <si>
    <t xml:space="preserve">JobMaker Plan — Infrastructure Investment — road safety and upgrades: road safety projects such as road widening, centre lines and barriers will be identified and delivered by jurisdictions in three six-month tranches to improve safety on Australian roads while stimulating local economies. </t>
  </si>
  <si>
    <t>JobMaker Plan — Infrastructure Investment — Queensland: for priority road and rail projects in Queensland to support economic recovery and jobs, increasing the Government’s total commitment to transport infrastructure in Queensland to over $28.5 billion.</t>
  </si>
  <si>
    <t>AUD $189.5m</t>
  </si>
  <si>
    <t>JobMaker Plan — Infrastructure Investment — Northern Terriroty: for priority road projects in the Northern Territory to support economic recovery and jobs, increasing the
Government’s total commitment to transport infrastructure in the Northern Territory to over $2.7 billion.</t>
  </si>
  <si>
    <t>AUS71</t>
  </si>
  <si>
    <t>AUS72</t>
  </si>
  <si>
    <t>AUS73</t>
  </si>
  <si>
    <t>AUS74</t>
  </si>
  <si>
    <t>AUS75</t>
  </si>
  <si>
    <t>AUS76</t>
  </si>
  <si>
    <t>AUS77</t>
  </si>
  <si>
    <t>AUS78</t>
  </si>
  <si>
    <t>AUS79</t>
  </si>
  <si>
    <t>AUS80</t>
  </si>
  <si>
    <t>AUS81</t>
  </si>
  <si>
    <t>AUS82</t>
  </si>
  <si>
    <t>AUS83</t>
  </si>
  <si>
    <t>AUS84</t>
  </si>
  <si>
    <t>AUS85</t>
  </si>
  <si>
    <t>AUS86</t>
  </si>
  <si>
    <t>AUS87</t>
  </si>
  <si>
    <t>AUS88</t>
  </si>
  <si>
    <t>AUS89</t>
  </si>
  <si>
    <t>AUS90</t>
  </si>
  <si>
    <t>AUS91</t>
  </si>
  <si>
    <t>AUS92</t>
  </si>
  <si>
    <t>AUS93</t>
  </si>
  <si>
    <t>AUS94</t>
  </si>
  <si>
    <t>AUS95</t>
  </si>
  <si>
    <t>AUS96</t>
  </si>
  <si>
    <t>AUS97</t>
  </si>
  <si>
    <t>AUS98</t>
  </si>
  <si>
    <t>AUS99</t>
  </si>
  <si>
    <t>AUS100</t>
  </si>
  <si>
    <t>AUS101</t>
  </si>
  <si>
    <t>AUS102</t>
  </si>
  <si>
    <t>AUS103</t>
  </si>
  <si>
    <t>AUS104</t>
  </si>
  <si>
    <t>AUS105</t>
  </si>
  <si>
    <t>AUS106</t>
  </si>
  <si>
    <t>AUS107</t>
  </si>
  <si>
    <t>AUS108</t>
  </si>
  <si>
    <t>AUD $2.7b</t>
  </si>
  <si>
    <t>JobMaker Plan — Infrastructure Investment — New South Wales: for priority road and rail projects in New South Wales to support economic recovery and jobs, increasing the Government’s total commitment to transport infrastructure in New South Wales to over $39.0 billion.</t>
  </si>
  <si>
    <t>JobMaker Plan — Infrastructure Investment — Australian Capital Territory: for priority road projects in the Australian Capital Territory to support economic recovery and jobs, increasing the Government’s total commitment to transport infrastructure in the Australian Capital Territory to over $975.0 million.</t>
  </si>
  <si>
    <t>AUD $355.9m</t>
  </si>
  <si>
    <t xml:space="preserve">COVID-19 Response Package — additional aviation support: The Government will provide additional funding of $355.9 million to support the aviation sector as part of the Government’s response to the COVID-19 pandemic. </t>
  </si>
  <si>
    <t>AUD $250.7m</t>
  </si>
  <si>
    <t>JobMaker Plan — securing Australia’s liquid fuel stocks: The Government will provide $250.7 million over 10 years from 2020-21 to hold a sovereign refining capability and increase our domestic storage capabilities to secure Australia’s liquid fuel security</t>
  </si>
  <si>
    <t>AUD $1.9b</t>
  </si>
  <si>
    <t>JobMaker Plan — investment in new energy technologies: to continue funding the Australian Renewable Energy Agency (ARENA), expand the investment mandate of the Clean Energy Finance Corporation (CEFC), and invest in low emissions technologies, network infrastructure, dispatchable generation and reliable supplies in the National Electricity Market (NEM)</t>
  </si>
  <si>
    <t>AUD $134.7m</t>
  </si>
  <si>
    <t>JobMaker Plan — improving energy affordability and reliability: The Government will provide up to $134.7 million over four years from 2020-21 to support investment in dispatchable generation and reliable energy supplies in the National Electricity Market (NEM) and the Wholesale Energy Market in Western Australia.</t>
  </si>
  <si>
    <t>AUD $52.9m</t>
  </si>
  <si>
    <t>JobMaker Plan — gas-fired recovery: The Government will provide $52.9 million over four years from 2020-21 to support a gas-fired recovery and strengthen the economy by taking steps to unlock gas supply, deliver an efficient pipeline and transportation market, and empower gas customers.</t>
  </si>
  <si>
    <t>AUD $103.6m</t>
  </si>
  <si>
    <t>National Radioactive Waste Management Facility program — continuation: The Government will provide $103.6 million over four years from 2020-21 to continue
the National Radioactive Waste Management Facility (NRWMF) program.</t>
  </si>
  <si>
    <t>AUD $10m</t>
  </si>
  <si>
    <t>Growing Australia’s Waste and Recycling Capability Through Cooperative Research Centres Projects</t>
  </si>
  <si>
    <t>AUD $5.4m</t>
  </si>
  <si>
    <t xml:space="preserve">Engagement with State and Territory Governments on Energy Reforms to enable the delivery of the 2025 market design process that will deliver the future of the National Electricity Market. </t>
  </si>
  <si>
    <t>AUD $47.4m</t>
  </si>
  <si>
    <t>Supporting Healthy Oceans - The Government will provide $47.4 million over four years from 2020-21 (and $7.8 million per year ongoing) to support the health and management of Australia’s oceans.</t>
  </si>
  <si>
    <t>AID 269.6m</t>
  </si>
  <si>
    <t xml:space="preserve">Murray-Darling Communities Investment Package - The Government will provide $269.6 million over four years from 2020-21 (and $9.8 million per year ongoing) for a package of measures to achieve a sustainable and certain future for the Murray-Darling Basin, its people, industries and environment, and in response to findings of the Independent Assessment of the Social and Economic conditions in the Murray-Darling Basin and the First Review of the Water for the Environment Special Account. </t>
  </si>
  <si>
    <t>AUD $36.6m</t>
  </si>
  <si>
    <t>Maintaining the Timeliness of the Environmental Assessment Process - the Government will provide $36.6 million over two years from 2020-21 to maintain the timeliness of environmental assessments and undertake further reforms under the Environment Protection and Biodiversity Conservation Act 1999 (EPBC Act).</t>
  </si>
  <si>
    <t>AUD $328.4m</t>
  </si>
  <si>
    <t>JobMaker Plan — busting congestion for agricultural exporters — improving the ease of doing business: The Government will provide $328.4 million over four years from 2020-21 for a package of measures to improve the ease of doing business for agricultural exporters</t>
  </si>
  <si>
    <t>AUD 155.6m</t>
  </si>
  <si>
    <t xml:space="preserve">Drought Response, Resilience and Preparedness Plan — extended support - The Government will provide $155.6 million over four years for a package of measures to support farmers and communities in drought </t>
  </si>
  <si>
    <t>AUS109</t>
  </si>
  <si>
    <t>AUS110</t>
  </si>
  <si>
    <t>AUS111</t>
  </si>
  <si>
    <t>AUS112</t>
  </si>
  <si>
    <t>AUS113</t>
  </si>
  <si>
    <t>AUS114</t>
  </si>
  <si>
    <t>AUS115</t>
  </si>
  <si>
    <t>AUS116</t>
  </si>
  <si>
    <t>AUS117</t>
  </si>
  <si>
    <t>AUS118</t>
  </si>
  <si>
    <t>AUS119</t>
  </si>
  <si>
    <t>AUS120</t>
  </si>
  <si>
    <t>AUS121</t>
  </si>
  <si>
    <t>AUS122</t>
  </si>
  <si>
    <t>AUS123</t>
  </si>
  <si>
    <t>Please note that the measures included in the database for South Africa have been independently compiled by the OECD Secretariat and have not been endorsed by the Government of South Africa.</t>
  </si>
  <si>
    <t>Gender relevant?</t>
  </si>
  <si>
    <t>Gender sensitive?</t>
  </si>
  <si>
    <t>no</t>
  </si>
  <si>
    <t>None</t>
  </si>
  <si>
    <t xml:space="preserve">Support women’s economic security </t>
  </si>
  <si>
    <t>none</t>
  </si>
  <si>
    <t>yes</t>
  </si>
  <si>
    <t>Address violence against women</t>
  </si>
  <si>
    <t>N/a</t>
  </si>
  <si>
    <t xml:space="preserve">Support unpaid care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</si>
</sst>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quot;£&quot;#,##0;[Red]\-&quot;£&quot;#,##0"/>
    <numFmt numFmtId="165" formatCode="_-* #,##0_-;\-* #,##0_-;_-* &quot;-&quot;_-;_-@_-"/>
    <numFmt numFmtId="166" formatCode="_-* #,##0.00_-;\-* #,##0.00_-;_-* &quot;-&quot;??_-;_-@_-"/>
    <numFmt numFmtId="167" formatCode="_(* #,##0_);_(* \(#,##0\);_(* &quot;-&quot;??_);_(@_)"/>
    <numFmt numFmtId="168" formatCode="#,##0.0"/>
    <numFmt numFmtId="169" formatCode="#,##0.000"/>
    <numFmt numFmtId="170" formatCode="_ * #,##0.00_ ;_ * \-#,##0.00_ ;_ * &quot;-&quot;??_ ;_ @_ "/>
    <numFmt numFmtId="171" formatCode="&quot;$&quot;#,##0.00_);[Red]\(&quot;$&quot;#,##0.00\)"/>
  </numFmts>
  <fonts count="47" x14ac:knownFonts="1">
    <font>
      <sz val="10"/>
      <color theme="1"/>
      <name val="Arial"/>
      <family val="2"/>
    </font>
    <font>
      <sz val="10"/>
      <color theme="1"/>
      <name val="Arial"/>
      <family val="2"/>
    </font>
    <font>
      <b/>
      <sz val="10"/>
      <color theme="1"/>
      <name val="Arial"/>
      <family val="2"/>
    </font>
    <font>
      <u/>
      <sz val="10"/>
      <color theme="10"/>
      <name val="Arial"/>
      <family val="2"/>
    </font>
    <font>
      <sz val="8"/>
      <color theme="1"/>
      <name val="Arial"/>
      <family val="2"/>
    </font>
    <font>
      <sz val="10"/>
      <color rgb="FFFF0000"/>
      <name val="Arial"/>
      <family val="2"/>
    </font>
    <font>
      <sz val="9"/>
      <color theme="1"/>
      <name val="Arial"/>
      <family val="2"/>
    </font>
    <font>
      <sz val="9"/>
      <name val="Arial"/>
      <family val="2"/>
    </font>
    <font>
      <sz val="9"/>
      <color rgb="FFFF0000"/>
      <name val="Arial"/>
      <family val="2"/>
    </font>
    <font>
      <u/>
      <sz val="9"/>
      <color theme="10"/>
      <name val="Arial"/>
      <family val="2"/>
    </font>
    <font>
      <u/>
      <sz val="10"/>
      <name val="Arial"/>
      <family val="2"/>
    </font>
    <font>
      <u/>
      <sz val="9"/>
      <name val="Arial"/>
      <family val="2"/>
    </font>
    <font>
      <sz val="10"/>
      <color theme="10"/>
      <name val="Arial"/>
      <family val="2"/>
    </font>
    <font>
      <sz val="11"/>
      <color theme="1"/>
      <name val="Calibri"/>
      <family val="2"/>
      <charset val="186"/>
      <scheme val="minor"/>
    </font>
    <font>
      <u/>
      <sz val="11"/>
      <color theme="10"/>
      <name val="Calibri"/>
      <family val="2"/>
      <charset val="186"/>
      <scheme val="minor"/>
    </font>
    <font>
      <u/>
      <sz val="9"/>
      <color theme="10"/>
      <name val="Calibri"/>
      <family val="2"/>
      <charset val="186"/>
      <scheme val="minor"/>
    </font>
    <font>
      <sz val="10"/>
      <color indexed="8"/>
      <name val="Arial"/>
      <family val="2"/>
    </font>
    <font>
      <u/>
      <sz val="10"/>
      <color indexed="30"/>
      <name val="Arial"/>
      <family val="2"/>
    </font>
    <font>
      <u/>
      <sz val="8"/>
      <name val="Arial"/>
      <family val="2"/>
    </font>
    <font>
      <sz val="8"/>
      <name val="Arial"/>
      <family val="2"/>
    </font>
    <font>
      <sz val="9"/>
      <color rgb="FF000000"/>
      <name val="Arial"/>
      <family val="2"/>
    </font>
    <font>
      <sz val="10"/>
      <name val="Arial"/>
      <family val="2"/>
    </font>
    <font>
      <b/>
      <sz val="11"/>
      <color theme="1"/>
      <name val="Arial"/>
      <family val="2"/>
    </font>
    <font>
      <vertAlign val="superscript"/>
      <sz val="9"/>
      <name val="Arial"/>
      <family val="2"/>
    </font>
    <font>
      <sz val="8"/>
      <color rgb="FF000000"/>
      <name val="Arial"/>
      <family val="2"/>
    </font>
    <font>
      <sz val="9"/>
      <color rgb="FF082753"/>
      <name val="Arial"/>
      <family val="2"/>
    </font>
    <font>
      <sz val="11"/>
      <color theme="1"/>
      <name val="Calibri"/>
      <family val="2"/>
    </font>
    <font>
      <sz val="10"/>
      <color rgb="FF000000"/>
      <name val="Arial"/>
      <family val="2"/>
    </font>
    <font>
      <sz val="9"/>
      <name val="Arial"/>
      <family val="2"/>
      <charset val="1"/>
    </font>
    <font>
      <sz val="9"/>
      <color theme="10"/>
      <name val="Arial"/>
      <family val="2"/>
    </font>
    <font>
      <sz val="11"/>
      <color theme="1"/>
      <name val="Arial"/>
      <family val="2"/>
    </font>
    <font>
      <sz val="10"/>
      <color rgb="FF082753"/>
      <name val="Arial"/>
      <family val="2"/>
    </font>
    <font>
      <i/>
      <sz val="10"/>
      <color rgb="FF082753"/>
      <name val="Arial"/>
      <family val="2"/>
    </font>
    <font>
      <b/>
      <i/>
      <sz val="10"/>
      <color rgb="FF082753"/>
      <name val="Arial"/>
      <family val="2"/>
    </font>
    <font>
      <u/>
      <sz val="10"/>
      <color theme="1"/>
      <name val="Arial"/>
      <family val="2"/>
    </font>
    <font>
      <u/>
      <sz val="10"/>
      <color rgb="FF0070C0"/>
      <name val="Arial"/>
      <family val="2"/>
    </font>
    <font>
      <vertAlign val="superscript"/>
      <sz val="11"/>
      <color theme="1"/>
      <name val="Calibri"/>
      <family val="2"/>
    </font>
    <font>
      <sz val="11"/>
      <color theme="1"/>
      <name val="Calibri"/>
      <family val="2"/>
      <scheme val="minor"/>
    </font>
    <font>
      <u/>
      <sz val="11"/>
      <color theme="10"/>
      <name val="Calibri"/>
      <family val="2"/>
      <scheme val="minor"/>
    </font>
    <font>
      <sz val="11"/>
      <name val="Calibri"/>
      <family val="2"/>
    </font>
    <font>
      <sz val="11"/>
      <color theme="1"/>
      <name val="Arial Narrow"/>
      <family val="2"/>
    </font>
    <font>
      <b/>
      <sz val="9"/>
      <color rgb="FF000000"/>
      <name val="Arial"/>
      <family val="2"/>
      <charset val="238"/>
    </font>
    <font>
      <sz val="9"/>
      <color rgb="FF000000"/>
      <name val="Arial"/>
      <family val="2"/>
      <charset val="238"/>
    </font>
    <font>
      <sz val="10"/>
      <color rgb="FF000000"/>
      <name val="Arial"/>
      <family val="2"/>
      <charset val="238"/>
    </font>
    <font>
      <u/>
      <sz val="10"/>
      <color rgb="FF000000"/>
      <name val="Arial"/>
      <family val="2"/>
    </font>
    <font>
      <u/>
      <sz val="9"/>
      <color rgb="FF000000"/>
      <name val="Arial"/>
      <family val="2"/>
    </font>
    <font>
      <sz val="11"/>
      <name val="Arial"/>
      <family val="2"/>
    </font>
  </fonts>
  <fills count="4">
    <fill>
      <patternFill patternType="none"/>
    </fill>
    <fill>
      <patternFill patternType="gray125"/>
    </fill>
    <fill>
      <patternFill patternType="solid">
        <fgColor rgb="FFFFFFCC"/>
      </patternFill>
    </fill>
    <fill>
      <patternFill patternType="solid">
        <fgColor rgb="FFF3F3F3"/>
        <bgColor rgb="FFF3F3F3"/>
      </patternFill>
    </fill>
  </fills>
  <borders count="7">
    <border>
      <left/>
      <right/>
      <top/>
      <bottom/>
      <diagonal/>
    </border>
    <border>
      <left/>
      <right/>
      <top style="thin">
        <color indexed="64"/>
      </top>
      <bottom style="medium">
        <color indexed="64"/>
      </bottom>
      <diagonal/>
    </border>
    <border>
      <left/>
      <right/>
      <top/>
      <bottom style="thin">
        <color indexed="64"/>
      </bottom>
      <diagonal/>
    </border>
    <border>
      <left style="thin">
        <color auto="1"/>
      </left>
      <right style="dotted">
        <color auto="1"/>
      </right>
      <top/>
      <bottom/>
      <diagonal/>
    </border>
    <border>
      <left/>
      <right/>
      <top/>
      <bottom style="medium">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s>
  <cellStyleXfs count="26">
    <xf numFmtId="0" fontId="0" fillId="0" borderId="0"/>
    <xf numFmtId="0" fontId="3" fillId="0" borderId="0" applyNumberFormat="0" applyFill="0" applyBorder="0" applyAlignment="0" applyProtection="0"/>
    <xf numFmtId="0" fontId="1" fillId="2" borderId="6" applyNumberFormat="0" applyFont="0" applyAlignment="0" applyProtection="0"/>
    <xf numFmtId="0" fontId="13" fillId="0" borderId="0"/>
    <xf numFmtId="0" fontId="14" fillId="0" borderId="0" applyNumberFormat="0" applyFill="0" applyBorder="0" applyAlignment="0" applyProtection="0"/>
    <xf numFmtId="166" fontId="1" fillId="0" borderId="0" applyFont="0" applyFill="0" applyBorder="0" applyAlignment="0" applyProtection="0"/>
    <xf numFmtId="0" fontId="16" fillId="0" borderId="0"/>
    <xf numFmtId="0" fontId="17" fillId="0" borderId="0" applyNumberFormat="0" applyFill="0" applyBorder="0" applyAlignment="0" applyProtection="0"/>
    <xf numFmtId="166" fontId="16" fillId="0" borderId="0" applyFont="0" applyFill="0" applyBorder="0" applyAlignment="0" applyProtection="0"/>
    <xf numFmtId="0" fontId="1" fillId="0" borderId="0"/>
    <xf numFmtId="166"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0" fontId="1" fillId="2" borderId="6" applyNumberFormat="0" applyFont="0" applyAlignment="0" applyProtection="0"/>
    <xf numFmtId="165" fontId="1" fillId="0" borderId="0" applyFont="0" applyFill="0" applyBorder="0" applyAlignment="0" applyProtection="0"/>
    <xf numFmtId="166" fontId="16" fillId="0" borderId="0" applyFont="0" applyFill="0" applyBorder="0" applyAlignment="0" applyProtection="0"/>
    <xf numFmtId="166" fontId="16" fillId="0" borderId="0" applyFont="0" applyFill="0" applyBorder="0" applyAlignment="0" applyProtection="0"/>
    <xf numFmtId="0" fontId="37" fillId="0" borderId="0"/>
    <xf numFmtId="0" fontId="38" fillId="0" borderId="0" applyNumberFormat="0" applyFill="0" applyBorder="0" applyAlignment="0" applyProtection="0"/>
    <xf numFmtId="0" fontId="39" fillId="0" borderId="0"/>
    <xf numFmtId="44" fontId="37" fillId="0" borderId="0" applyFont="0" applyFill="0" applyBorder="0" applyAlignment="0" applyProtection="0"/>
    <xf numFmtId="9" fontId="37" fillId="0" borderId="0" applyFont="0" applyFill="0" applyBorder="0" applyAlignment="0" applyProtection="0"/>
    <xf numFmtId="43" fontId="37" fillId="0" borderId="0" applyFont="0" applyFill="0" applyBorder="0" applyAlignment="0" applyProtection="0"/>
    <xf numFmtId="0" fontId="1" fillId="0" borderId="0"/>
    <xf numFmtId="0" fontId="1" fillId="2" borderId="6" applyNumberFormat="0" applyFont="0" applyAlignment="0" applyProtection="0"/>
    <xf numFmtId="170" fontId="1" fillId="0" borderId="0" applyFont="0" applyFill="0" applyBorder="0" applyAlignment="0" applyProtection="0"/>
  </cellStyleXfs>
  <cellXfs count="208">
    <xf numFmtId="0" fontId="0" fillId="0" borderId="0" xfId="0"/>
    <xf numFmtId="0" fontId="0" fillId="0" borderId="0" xfId="0" applyAlignment="1">
      <alignment horizontal="left" vertical="center"/>
    </xf>
    <xf numFmtId="0" fontId="0" fillId="0" borderId="0" xfId="0" applyAlignment="1">
      <alignment wrapText="1"/>
    </xf>
    <xf numFmtId="0" fontId="0" fillId="0" borderId="0" xfId="0" applyAlignment="1">
      <alignment horizontal="left" vertical="top"/>
    </xf>
    <xf numFmtId="0" fontId="2" fillId="0" borderId="0" xfId="0" applyFont="1" applyAlignment="1">
      <alignment wrapText="1"/>
    </xf>
    <xf numFmtId="0" fontId="0" fillId="0" borderId="1" xfId="0" applyBorder="1" applyAlignment="1">
      <alignment horizontal="left"/>
    </xf>
    <xf numFmtId="0" fontId="0" fillId="0" borderId="1" xfId="0" applyBorder="1"/>
    <xf numFmtId="0" fontId="0" fillId="0" borderId="0" xfId="0" applyAlignment="1">
      <alignment horizontal="left"/>
    </xf>
    <xf numFmtId="0" fontId="4" fillId="0" borderId="0" xfId="0" applyFont="1" applyAlignment="1">
      <alignment horizontal="left" vertical="center"/>
    </xf>
    <xf numFmtId="0" fontId="7" fillId="0" borderId="0" xfId="0" applyFont="1" applyAlignment="1">
      <alignment horizontal="left"/>
    </xf>
    <xf numFmtId="0" fontId="7" fillId="0" borderId="0" xfId="0" applyFont="1"/>
    <xf numFmtId="3" fontId="7" fillId="0" borderId="0" xfId="0" applyNumberFormat="1" applyFont="1"/>
    <xf numFmtId="0" fontId="7" fillId="0" borderId="2" xfId="0" applyFont="1" applyBorder="1"/>
    <xf numFmtId="0" fontId="7" fillId="0" borderId="5" xfId="0" applyFont="1" applyBorder="1"/>
    <xf numFmtId="3" fontId="7" fillId="0" borderId="5" xfId="0" applyNumberFormat="1" applyFont="1" applyBorder="1"/>
    <xf numFmtId="3" fontId="7" fillId="0" borderId="2" xfId="0" applyNumberFormat="1" applyFont="1" applyBorder="1"/>
    <xf numFmtId="0" fontId="3" fillId="0" borderId="0" xfId="1"/>
    <xf numFmtId="0" fontId="7" fillId="0" borderId="0" xfId="0" applyFont="1" applyAlignment="1">
      <alignment wrapText="1"/>
    </xf>
    <xf numFmtId="0" fontId="0" fillId="0" borderId="0" xfId="0" applyAlignment="1">
      <alignment horizontal="center"/>
    </xf>
    <xf numFmtId="0" fontId="3" fillId="0" borderId="2" xfId="1" applyBorder="1"/>
    <xf numFmtId="0" fontId="7" fillId="0" borderId="0" xfId="0" applyFont="1" applyAlignment="1">
      <alignment horizontal="left" vertical="center" wrapText="1"/>
    </xf>
    <xf numFmtId="0" fontId="2" fillId="0" borderId="0" xfId="0" applyFont="1" applyAlignment="1">
      <alignment horizontal="center"/>
    </xf>
    <xf numFmtId="0" fontId="2" fillId="0" borderId="0" xfId="0" applyFont="1" applyAlignment="1">
      <alignment horizontal="left"/>
    </xf>
    <xf numFmtId="0" fontId="7" fillId="0" borderId="0" xfId="0" applyFont="1" applyAlignment="1">
      <alignment horizontal="left" wrapText="1"/>
    </xf>
    <xf numFmtId="14" fontId="7" fillId="0" borderId="0" xfId="0" applyNumberFormat="1" applyFont="1" applyAlignment="1">
      <alignment horizontal="left" wrapText="1"/>
    </xf>
    <xf numFmtId="3" fontId="7" fillId="0" borderId="0" xfId="0" applyNumberFormat="1" applyFont="1" applyAlignment="1">
      <alignment horizontal="left" wrapText="1"/>
    </xf>
    <xf numFmtId="4" fontId="7" fillId="0" borderId="0" xfId="0" applyNumberFormat="1" applyFont="1" applyAlignment="1">
      <alignment horizontal="left" wrapText="1"/>
    </xf>
    <xf numFmtId="0" fontId="7" fillId="0" borderId="0" xfId="0" applyFont="1" applyAlignment="1">
      <alignment vertical="top" wrapText="1"/>
    </xf>
    <xf numFmtId="0" fontId="3" fillId="0" borderId="0" xfId="1" applyAlignment="1">
      <alignment wrapText="1"/>
    </xf>
    <xf numFmtId="0" fontId="3" fillId="0" borderId="0" xfId="1" applyAlignment="1">
      <alignment horizontal="justify" vertical="center"/>
    </xf>
    <xf numFmtId="0" fontId="7" fillId="0" borderId="2" xfId="0" applyFont="1" applyBorder="1" applyAlignment="1">
      <alignment horizontal="left"/>
    </xf>
    <xf numFmtId="0" fontId="3" fillId="3" borderId="2" xfId="1" applyFill="1" applyBorder="1"/>
    <xf numFmtId="0" fontId="6" fillId="0" borderId="0" xfId="0" applyFont="1" applyAlignment="1">
      <alignment horizontal="left" vertical="top"/>
    </xf>
    <xf numFmtId="0" fontId="9" fillId="0" borderId="0" xfId="1" applyFont="1" applyAlignment="1">
      <alignment horizontal="left" vertical="top"/>
    </xf>
    <xf numFmtId="0" fontId="20" fillId="0" borderId="0" xfId="1" applyFont="1" applyAlignment="1">
      <alignment horizontal="left" vertical="top"/>
    </xf>
    <xf numFmtId="0" fontId="6" fillId="0" borderId="2" xfId="0" applyFont="1" applyBorder="1" applyAlignment="1">
      <alignment horizontal="left" vertical="top"/>
    </xf>
    <xf numFmtId="0" fontId="20" fillId="0" borderId="2" xfId="0" applyFont="1" applyBorder="1" applyAlignment="1">
      <alignment horizontal="left" vertical="top"/>
    </xf>
    <xf numFmtId="0" fontId="22" fillId="0" borderId="0" xfId="0" applyFont="1"/>
    <xf numFmtId="2" fontId="7" fillId="0" borderId="0" xfId="0" applyNumberFormat="1" applyFont="1"/>
    <xf numFmtId="0" fontId="7" fillId="0" borderId="0" xfId="0" applyFont="1" applyFill="1"/>
    <xf numFmtId="3" fontId="7" fillId="0" borderId="0" xfId="0" applyNumberFormat="1" applyFont="1" applyFill="1"/>
    <xf numFmtId="3" fontId="20" fillId="0" borderId="2" xfId="0" applyNumberFormat="1" applyFont="1" applyFill="1" applyBorder="1"/>
    <xf numFmtId="0" fontId="20" fillId="0" borderId="0" xfId="0" applyFont="1" applyFill="1"/>
    <xf numFmtId="0" fontId="27" fillId="0" borderId="0" xfId="0" applyFont="1" applyFill="1"/>
    <xf numFmtId="0" fontId="43" fillId="0" borderId="0" xfId="0" applyFont="1" applyFill="1"/>
    <xf numFmtId="0" fontId="44" fillId="0" borderId="0" xfId="1" applyFont="1" applyFill="1"/>
    <xf numFmtId="0" fontId="38" fillId="0" borderId="0" xfId="18" applyFill="1" applyAlignment="1">
      <alignment horizontal="center" vertical="center"/>
    </xf>
    <xf numFmtId="0" fontId="21" fillId="0" borderId="0" xfId="0" applyFont="1" applyFill="1" applyAlignment="1">
      <alignment horizontal="left" vertical="center"/>
    </xf>
    <xf numFmtId="0" fontId="0" fillId="0" borderId="0" xfId="0" applyFill="1"/>
    <xf numFmtId="0" fontId="38" fillId="0" borderId="0" xfId="18" applyFill="1" applyAlignment="1"/>
    <xf numFmtId="0" fontId="7" fillId="0" borderId="2" xfId="0" applyFont="1" applyFill="1" applyBorder="1"/>
    <xf numFmtId="0" fontId="7" fillId="0" borderId="0" xfId="0" applyFont="1" applyFill="1" applyBorder="1"/>
    <xf numFmtId="0" fontId="21" fillId="0" borderId="0" xfId="18" applyFont="1" applyFill="1" applyAlignment="1">
      <alignment horizontal="left" vertical="center"/>
    </xf>
    <xf numFmtId="0" fontId="37" fillId="0" borderId="0" xfId="0" applyFont="1" applyFill="1"/>
    <xf numFmtId="0" fontId="7" fillId="0" borderId="0" xfId="0" applyFont="1" applyFill="1" applyAlignment="1">
      <alignment horizontal="left"/>
    </xf>
    <xf numFmtId="0" fontId="7" fillId="0" borderId="0" xfId="0" applyFont="1" applyFill="1" applyAlignment="1">
      <alignment horizontal="left" vertical="center"/>
    </xf>
    <xf numFmtId="0" fontId="7" fillId="0" borderId="0" xfId="0" applyFont="1" applyFill="1" applyAlignment="1">
      <alignment vertical="center"/>
    </xf>
    <xf numFmtId="0" fontId="7" fillId="0" borderId="0" xfId="0" applyFont="1" applyFill="1" applyAlignment="1">
      <alignment horizontal="center" vertical="center"/>
    </xf>
    <xf numFmtId="0" fontId="38" fillId="0" borderId="0" xfId="18" applyFill="1"/>
    <xf numFmtId="0" fontId="6" fillId="0" borderId="0" xfId="0" applyFont="1" applyFill="1" applyAlignment="1">
      <alignment horizontal="left" vertical="center"/>
    </xf>
    <xf numFmtId="0" fontId="0" fillId="0" borderId="0" xfId="0" applyFill="1" applyAlignment="1">
      <alignment horizontal="left" vertical="center"/>
    </xf>
    <xf numFmtId="0" fontId="6" fillId="0" borderId="0" xfId="0" applyFont="1" applyFill="1" applyAlignment="1">
      <alignment horizontal="center" vertical="center"/>
    </xf>
    <xf numFmtId="0" fontId="6" fillId="0" borderId="0" xfId="0" applyFont="1" applyFill="1"/>
    <xf numFmtId="0" fontId="11" fillId="0" borderId="0" xfId="18" applyFont="1" applyFill="1" applyAlignment="1"/>
    <xf numFmtId="171" fontId="0" fillId="0" borderId="0" xfId="0" applyNumberFormat="1" applyFill="1" applyAlignment="1">
      <alignment horizontal="left" vertical="center"/>
    </xf>
    <xf numFmtId="0" fontId="1" fillId="0" borderId="0" xfId="0" applyFont="1" applyFill="1"/>
    <xf numFmtId="0" fontId="1" fillId="0" borderId="0" xfId="0" applyFont="1" applyFill="1" applyAlignment="1">
      <alignment vertical="center"/>
    </xf>
    <xf numFmtId="0" fontId="38" fillId="0" borderId="0" xfId="18" applyFill="1" applyBorder="1" applyAlignment="1">
      <alignment vertical="center"/>
    </xf>
    <xf numFmtId="0" fontId="46" fillId="0" borderId="0" xfId="0" applyFont="1" applyFill="1" applyAlignment="1">
      <alignment horizontal="left" vertical="center"/>
    </xf>
    <xf numFmtId="0" fontId="7" fillId="0" borderId="2" xfId="0" applyFont="1" applyFill="1" applyBorder="1" applyAlignment="1">
      <alignment vertical="center"/>
    </xf>
    <xf numFmtId="0" fontId="7" fillId="0" borderId="2" xfId="0" applyFont="1" applyFill="1" applyBorder="1" applyAlignment="1">
      <alignment horizontal="left"/>
    </xf>
    <xf numFmtId="0" fontId="7" fillId="0" borderId="2" xfId="0" applyFont="1" applyFill="1" applyBorder="1" applyAlignment="1">
      <alignment horizontal="center" vertical="center"/>
    </xf>
    <xf numFmtId="0" fontId="0" fillId="0" borderId="2" xfId="0" applyFill="1" applyBorder="1"/>
    <xf numFmtId="0" fontId="21" fillId="0" borderId="2" xfId="0" applyFont="1" applyFill="1" applyBorder="1" applyAlignment="1">
      <alignment horizontal="left" vertical="center"/>
    </xf>
    <xf numFmtId="0" fontId="38" fillId="0" borderId="2" xfId="18" applyFill="1" applyBorder="1" applyAlignment="1"/>
    <xf numFmtId="0" fontId="7" fillId="0" borderId="5" xfId="0" applyFont="1" applyFill="1" applyBorder="1"/>
    <xf numFmtId="0" fontId="3" fillId="0" borderId="0" xfId="1" applyFill="1"/>
    <xf numFmtId="0" fontId="7" fillId="0" borderId="1" xfId="0" applyFont="1" applyFill="1" applyBorder="1" applyAlignment="1">
      <alignment horizontal="left" wrapText="1"/>
    </xf>
    <xf numFmtId="0" fontId="7" fillId="0" borderId="1" xfId="0" applyFont="1" applyFill="1" applyBorder="1" applyAlignment="1">
      <alignment vertical="center" wrapText="1"/>
    </xf>
    <xf numFmtId="0" fontId="7" fillId="0" borderId="1" xfId="0" applyFont="1" applyFill="1" applyBorder="1" applyAlignment="1">
      <alignment horizontal="left"/>
    </xf>
    <xf numFmtId="0" fontId="7" fillId="0" borderId="1" xfId="0" applyFont="1" applyFill="1" applyBorder="1" applyAlignment="1">
      <alignment wrapText="1"/>
    </xf>
    <xf numFmtId="0" fontId="7" fillId="0" borderId="4" xfId="0" applyFont="1" applyFill="1" applyBorder="1" applyAlignment="1">
      <alignment wrapText="1"/>
    </xf>
    <xf numFmtId="3" fontId="7" fillId="0" borderId="1" xfId="0" applyNumberFormat="1" applyFont="1" applyFill="1" applyBorder="1" applyAlignment="1">
      <alignment wrapText="1"/>
    </xf>
    <xf numFmtId="3" fontId="7" fillId="0" borderId="1" xfId="0" applyNumberFormat="1" applyFont="1" applyFill="1" applyBorder="1"/>
    <xf numFmtId="0" fontId="18" fillId="0" borderId="0" xfId="1" applyFont="1" applyFill="1"/>
    <xf numFmtId="0" fontId="4" fillId="0" borderId="0" xfId="0" applyFont="1" applyFill="1"/>
    <xf numFmtId="3" fontId="6" fillId="0" borderId="0" xfId="0" applyNumberFormat="1" applyFont="1" applyFill="1" applyAlignment="1">
      <alignment horizontal="right"/>
    </xf>
    <xf numFmtId="0" fontId="19" fillId="0" borderId="0" xfId="1" applyFont="1" applyFill="1" applyAlignment="1">
      <alignment horizontal="center" vertical="center"/>
    </xf>
    <xf numFmtId="0" fontId="19" fillId="0" borderId="0" xfId="0" applyFont="1" applyFill="1"/>
    <xf numFmtId="3" fontId="7" fillId="0" borderId="0" xfId="0" applyNumberFormat="1" applyFont="1" applyFill="1" applyAlignment="1">
      <alignment horizontal="right" vertical="center"/>
    </xf>
    <xf numFmtId="0" fontId="19" fillId="0" borderId="0" xfId="0" applyFont="1" applyFill="1" applyAlignment="1">
      <alignment horizontal="center" vertical="center"/>
    </xf>
    <xf numFmtId="0" fontId="7" fillId="0" borderId="2" xfId="0" applyFont="1" applyFill="1" applyBorder="1" applyAlignment="1">
      <alignment horizontal="left" vertical="center"/>
    </xf>
    <xf numFmtId="0" fontId="11" fillId="0" borderId="2" xfId="1" applyFont="1" applyFill="1" applyBorder="1" applyAlignment="1">
      <alignment horizontal="center" vertical="center"/>
    </xf>
    <xf numFmtId="3" fontId="7" fillId="0" borderId="2" xfId="0" applyNumberFormat="1" applyFont="1" applyFill="1" applyBorder="1" applyAlignment="1">
      <alignment horizontal="right"/>
    </xf>
    <xf numFmtId="2" fontId="7" fillId="0" borderId="0" xfId="0" applyNumberFormat="1" applyFont="1" applyFill="1"/>
    <xf numFmtId="0" fontId="7" fillId="0" borderId="0" xfId="1" applyFont="1" applyFill="1"/>
    <xf numFmtId="0" fontId="0" fillId="0" borderId="3" xfId="0" applyFill="1" applyBorder="1" applyAlignment="1">
      <alignment horizontal="center"/>
    </xf>
    <xf numFmtId="3" fontId="7" fillId="0" borderId="2" xfId="0" applyNumberFormat="1" applyFont="1" applyFill="1" applyBorder="1"/>
    <xf numFmtId="0" fontId="7" fillId="0" borderId="0" xfId="0" applyFont="1" applyFill="1" applyAlignment="1">
      <alignment horizontal="right"/>
    </xf>
    <xf numFmtId="0" fontId="3" fillId="0" borderId="5" xfId="1" applyFill="1" applyBorder="1"/>
    <xf numFmtId="3" fontId="7" fillId="0" borderId="5" xfId="0" applyNumberFormat="1" applyFont="1" applyFill="1" applyBorder="1"/>
    <xf numFmtId="0" fontId="7" fillId="0" borderId="0" xfId="0" applyFont="1" applyFill="1" applyAlignment="1">
      <alignment vertical="top"/>
    </xf>
    <xf numFmtId="0" fontId="3" fillId="0" borderId="0" xfId="1" applyFill="1" applyAlignment="1">
      <alignment horizontal="justify" vertical="center"/>
    </xf>
    <xf numFmtId="0" fontId="21" fillId="0" borderId="0" xfId="0" applyFont="1" applyFill="1"/>
    <xf numFmtId="0" fontId="6" fillId="0" borderId="0" xfId="0" applyFont="1" applyFill="1" applyAlignment="1">
      <alignment horizontal="left"/>
    </xf>
    <xf numFmtId="0" fontId="24" fillId="0" borderId="0" xfId="0" applyFont="1" applyFill="1"/>
    <xf numFmtId="0" fontId="6" fillId="0" borderId="5" xfId="0" applyFont="1" applyFill="1" applyBorder="1"/>
    <xf numFmtId="0" fontId="6" fillId="0" borderId="2" xfId="0" applyFont="1" applyFill="1" applyBorder="1"/>
    <xf numFmtId="165" fontId="7" fillId="0" borderId="0" xfId="14" applyFont="1" applyFill="1" applyAlignment="1">
      <alignment horizontal="left" vertical="top"/>
    </xf>
    <xf numFmtId="0" fontId="7" fillId="0" borderId="0" xfId="0" applyFont="1" applyFill="1" applyAlignment="1">
      <alignment horizontal="left" vertical="top"/>
    </xf>
    <xf numFmtId="0" fontId="3" fillId="0" borderId="0" xfId="1" applyFill="1" applyAlignment="1">
      <alignment horizontal="left" vertical="top"/>
    </xf>
    <xf numFmtId="0" fontId="7" fillId="0" borderId="0" xfId="14" applyNumberFormat="1" applyFont="1" applyFill="1" applyAlignment="1">
      <alignment horizontal="left" vertical="top"/>
    </xf>
    <xf numFmtId="0" fontId="11" fillId="0" borderId="0" xfId="1" applyFont="1" applyFill="1" applyAlignment="1">
      <alignment horizontal="left" vertical="top"/>
    </xf>
    <xf numFmtId="0" fontId="7" fillId="0" borderId="2" xfId="0" applyFont="1" applyFill="1" applyBorder="1" applyAlignment="1">
      <alignment horizontal="left" vertical="top"/>
    </xf>
    <xf numFmtId="0" fontId="11" fillId="0" borderId="2" xfId="1" applyFont="1" applyFill="1" applyBorder="1" applyAlignment="1">
      <alignment horizontal="left" vertical="top"/>
    </xf>
    <xf numFmtId="0" fontId="6" fillId="0" borderId="2" xfId="0" applyFont="1" applyFill="1" applyBorder="1" applyAlignment="1">
      <alignment horizontal="left" vertical="top"/>
    </xf>
    <xf numFmtId="0" fontId="3" fillId="0" borderId="2" xfId="1" applyFill="1" applyBorder="1" applyAlignment="1">
      <alignment horizontal="left" vertical="top"/>
    </xf>
    <xf numFmtId="0" fontId="8" fillId="0" borderId="0" xfId="0" applyFont="1" applyFill="1"/>
    <xf numFmtId="0" fontId="11" fillId="0" borderId="0" xfId="1" applyFont="1" applyFill="1" applyAlignment="1">
      <alignment horizontal="left"/>
    </xf>
    <xf numFmtId="0" fontId="40" fillId="0" borderId="0" xfId="0" applyFont="1" applyFill="1"/>
    <xf numFmtId="0" fontId="9" fillId="0" borderId="0" xfId="1" applyFont="1" applyFill="1"/>
    <xf numFmtId="0" fontId="3" fillId="0" borderId="0" xfId="1" applyFill="1" applyAlignment="1">
      <alignment vertical="center"/>
    </xf>
    <xf numFmtId="0" fontId="25" fillId="0" borderId="0" xfId="0" applyFont="1" applyFill="1"/>
    <xf numFmtId="0" fontId="7" fillId="0" borderId="0" xfId="1" applyFont="1" applyFill="1" applyAlignment="1">
      <alignment vertical="center"/>
    </xf>
    <xf numFmtId="3" fontId="4" fillId="0" borderId="0" xfId="0" applyNumberFormat="1" applyFont="1" applyFill="1"/>
    <xf numFmtId="0" fontId="6" fillId="0" borderId="0" xfId="0" applyFont="1" applyFill="1" applyAlignment="1">
      <alignment horizontal="left" vertical="top"/>
    </xf>
    <xf numFmtId="0" fontId="9" fillId="0" borderId="5" xfId="1" applyFont="1" applyFill="1" applyBorder="1"/>
    <xf numFmtId="0" fontId="6" fillId="0" borderId="5" xfId="0" applyFont="1" applyFill="1" applyBorder="1" applyAlignment="1">
      <alignment horizontal="left" vertical="center"/>
    </xf>
    <xf numFmtId="0" fontId="9" fillId="0" borderId="5" xfId="1" applyFont="1" applyFill="1" applyBorder="1" applyAlignment="1">
      <alignment horizontal="left"/>
    </xf>
    <xf numFmtId="0" fontId="6" fillId="0" borderId="5" xfId="0" applyFont="1" applyFill="1" applyBorder="1" applyAlignment="1">
      <alignment horizontal="left"/>
    </xf>
    <xf numFmtId="167" fontId="6" fillId="0" borderId="0" xfId="5" applyNumberFormat="1" applyFont="1" applyFill="1" applyAlignment="1">
      <alignment horizontal="left" vertical="center"/>
    </xf>
    <xf numFmtId="0" fontId="9" fillId="0" borderId="0" xfId="1" applyFont="1" applyFill="1" applyAlignment="1">
      <alignment horizontal="left"/>
    </xf>
    <xf numFmtId="167" fontId="6" fillId="0" borderId="0" xfId="5" applyNumberFormat="1" applyFont="1" applyFill="1" applyAlignment="1">
      <alignment horizontal="left"/>
    </xf>
    <xf numFmtId="3" fontId="6" fillId="0" borderId="0" xfId="0" applyNumberFormat="1" applyFont="1" applyFill="1" applyAlignment="1">
      <alignment horizontal="left"/>
    </xf>
    <xf numFmtId="167" fontId="6" fillId="0" borderId="0" xfId="0" applyNumberFormat="1" applyFont="1" applyFill="1" applyAlignment="1">
      <alignment horizontal="left"/>
    </xf>
    <xf numFmtId="0" fontId="6" fillId="0" borderId="2" xfId="0" applyFont="1" applyFill="1" applyBorder="1" applyAlignment="1">
      <alignment horizontal="left" vertical="center"/>
    </xf>
    <xf numFmtId="0" fontId="6" fillId="0" borderId="2" xfId="0" applyFont="1" applyFill="1" applyBorder="1" applyAlignment="1">
      <alignment horizontal="left"/>
    </xf>
    <xf numFmtId="167" fontId="6" fillId="0" borderId="2" xfId="0" applyNumberFormat="1" applyFont="1" applyFill="1" applyBorder="1" applyAlignment="1">
      <alignment horizontal="left"/>
    </xf>
    <xf numFmtId="0" fontId="9" fillId="0" borderId="2" xfId="1" applyFont="1" applyFill="1" applyBorder="1"/>
    <xf numFmtId="0" fontId="21" fillId="0" borderId="0" xfId="1" applyFont="1" applyFill="1" applyAlignment="1">
      <alignment vertical="center"/>
    </xf>
    <xf numFmtId="0" fontId="7" fillId="0" borderId="5" xfId="0" applyFont="1" applyFill="1" applyBorder="1" applyAlignment="1">
      <alignment horizontal="left" vertical="top"/>
    </xf>
    <xf numFmtId="3" fontId="7" fillId="0" borderId="5" xfId="0" applyNumberFormat="1" applyFont="1" applyFill="1" applyBorder="1" applyAlignment="1">
      <alignment horizontal="left" vertical="top"/>
    </xf>
    <xf numFmtId="0" fontId="3" fillId="0" borderId="5" xfId="1" applyFill="1" applyBorder="1" applyAlignment="1">
      <alignment horizontal="left" vertical="top"/>
    </xf>
    <xf numFmtId="0" fontId="0" fillId="0" borderId="0" xfId="0" applyFill="1" applyAlignment="1">
      <alignment horizontal="left" vertical="top"/>
    </xf>
    <xf numFmtId="3" fontId="7" fillId="0" borderId="0" xfId="0" applyNumberFormat="1" applyFont="1" applyFill="1" applyAlignment="1">
      <alignment horizontal="left" vertical="top"/>
    </xf>
    <xf numFmtId="0" fontId="3" fillId="0" borderId="2" xfId="1" applyFill="1" applyBorder="1"/>
    <xf numFmtId="0" fontId="26" fillId="0" borderId="0" xfId="0" applyFont="1" applyFill="1"/>
    <xf numFmtId="4" fontId="7" fillId="0" borderId="0" xfId="0" applyNumberFormat="1" applyFont="1" applyFill="1"/>
    <xf numFmtId="168" fontId="7" fillId="0" borderId="0" xfId="0" applyNumberFormat="1" applyFont="1" applyFill="1"/>
    <xf numFmtId="0" fontId="9" fillId="0" borderId="0" xfId="1" applyFont="1" applyFill="1" applyAlignment="1">
      <alignment vertical="center"/>
    </xf>
    <xf numFmtId="0" fontId="15" fillId="0" borderId="2" xfId="4" applyFont="1" applyFill="1" applyBorder="1"/>
    <xf numFmtId="168" fontId="7" fillId="0" borderId="2" xfId="0" applyNumberFormat="1" applyFont="1" applyFill="1" applyBorder="1"/>
    <xf numFmtId="3" fontId="6" fillId="0" borderId="0" xfId="0" applyNumberFormat="1" applyFont="1" applyFill="1"/>
    <xf numFmtId="3" fontId="6" fillId="0" borderId="2" xfId="0" applyNumberFormat="1" applyFont="1" applyFill="1" applyBorder="1"/>
    <xf numFmtId="169" fontId="7" fillId="0" borderId="0" xfId="0" applyNumberFormat="1" applyFont="1" applyFill="1"/>
    <xf numFmtId="0" fontId="28" fillId="0" borderId="0" xfId="0" applyFont="1" applyFill="1"/>
    <xf numFmtId="0" fontId="10" fillId="0" borderId="0" xfId="1" applyFont="1" applyFill="1"/>
    <xf numFmtId="0" fontId="10" fillId="0" borderId="0" xfId="1" applyFont="1" applyFill="1" applyAlignment="1">
      <alignment vertical="center"/>
    </xf>
    <xf numFmtId="164" fontId="7" fillId="0" borderId="2" xfId="0" applyNumberFormat="1" applyFont="1" applyFill="1" applyBorder="1" applyAlignment="1">
      <alignment horizontal="left" vertical="top"/>
    </xf>
    <xf numFmtId="0" fontId="10" fillId="0" borderId="2" xfId="1" applyFont="1" applyFill="1" applyBorder="1" applyAlignment="1">
      <alignment horizontal="left" vertical="top"/>
    </xf>
    <xf numFmtId="0" fontId="21" fillId="0" borderId="0" xfId="1" applyFont="1" applyFill="1"/>
    <xf numFmtId="3" fontId="7" fillId="0" borderId="0" xfId="0" applyNumberFormat="1" applyFont="1" applyFill="1" applyAlignment="1">
      <alignment horizontal="right"/>
    </xf>
    <xf numFmtId="0" fontId="7" fillId="0" borderId="6" xfId="2" applyFont="1" applyFill="1"/>
    <xf numFmtId="0" fontId="7" fillId="0" borderId="0" xfId="0" applyFont="1" applyFill="1" applyAlignment="1">
      <alignment horizontal="center"/>
    </xf>
    <xf numFmtId="0" fontId="7" fillId="0" borderId="2" xfId="0" applyFont="1" applyFill="1" applyBorder="1" applyAlignment="1">
      <alignment horizontal="center"/>
    </xf>
    <xf numFmtId="0" fontId="7" fillId="0" borderId="5" xfId="0" applyFont="1" applyFill="1" applyBorder="1" applyAlignment="1">
      <alignment horizontal="left"/>
    </xf>
    <xf numFmtId="0" fontId="12" fillId="0" borderId="0" xfId="1" applyFont="1" applyFill="1"/>
    <xf numFmtId="0" fontId="7" fillId="0" borderId="0" xfId="0" applyFont="1" applyFill="1" applyAlignment="1">
      <alignment wrapText="1"/>
    </xf>
    <xf numFmtId="0" fontId="26" fillId="0" borderId="0" xfId="0" applyFont="1" applyFill="1" applyAlignment="1">
      <alignment vertical="center"/>
    </xf>
    <xf numFmtId="0" fontId="7" fillId="0" borderId="0" xfId="0" quotePrefix="1" applyFont="1" applyFill="1"/>
    <xf numFmtId="0" fontId="45" fillId="0" borderId="0" xfId="1" applyFont="1" applyFill="1" applyAlignment="1">
      <alignment wrapText="1"/>
    </xf>
    <xf numFmtId="0" fontId="45" fillId="0" borderId="0" xfId="1" applyFont="1" applyFill="1"/>
    <xf numFmtId="0" fontId="29" fillId="0" borderId="0" xfId="1" applyFont="1" applyFill="1"/>
    <xf numFmtId="0" fontId="7" fillId="0" borderId="0" xfId="1" applyFont="1" applyFill="1" applyAlignment="1">
      <alignment horizontal="left" vertical="center"/>
    </xf>
    <xf numFmtId="0" fontId="29" fillId="0" borderId="0" xfId="1" applyFont="1" applyFill="1" applyAlignment="1">
      <alignment horizontal="left" vertical="center"/>
    </xf>
    <xf numFmtId="0" fontId="20" fillId="0" borderId="2" xfId="0" applyFont="1" applyFill="1" applyBorder="1"/>
    <xf numFmtId="0" fontId="45" fillId="0" borderId="2" xfId="1" applyFont="1" applyFill="1" applyBorder="1"/>
    <xf numFmtId="0" fontId="20" fillId="0" borderId="2" xfId="0" applyFont="1" applyFill="1" applyBorder="1" applyAlignment="1">
      <alignment horizontal="left" vertical="top"/>
    </xf>
    <xf numFmtId="0" fontId="30" fillId="0" borderId="0" xfId="0" applyFont="1" applyFill="1"/>
    <xf numFmtId="0" fontId="31" fillId="0" borderId="0" xfId="0" applyFont="1" applyFill="1"/>
    <xf numFmtId="0" fontId="32" fillId="0" borderId="0" xfId="0" applyFont="1" applyFill="1"/>
    <xf numFmtId="3" fontId="6" fillId="0" borderId="5" xfId="0" applyNumberFormat="1" applyFont="1" applyFill="1" applyBorder="1"/>
    <xf numFmtId="0" fontId="20" fillId="0" borderId="0" xfId="0" applyFont="1" applyFill="1" applyAlignment="1">
      <alignment horizontal="left" vertical="top"/>
    </xf>
    <xf numFmtId="0" fontId="11" fillId="0" borderId="0" xfId="1" applyFont="1" applyFill="1" applyAlignment="1">
      <alignment horizontal="center" vertical="top"/>
    </xf>
    <xf numFmtId="0" fontId="7" fillId="0" borderId="2" xfId="1" applyFont="1" applyFill="1" applyBorder="1" applyAlignment="1">
      <alignment horizontal="left" vertical="top"/>
    </xf>
    <xf numFmtId="0" fontId="20" fillId="0" borderId="0" xfId="0" applyFont="1" applyFill="1" applyAlignment="1">
      <alignment horizontal="left" vertical="center"/>
    </xf>
    <xf numFmtId="0" fontId="20" fillId="0" borderId="0" xfId="0" applyFont="1" applyFill="1" applyAlignment="1">
      <alignment vertical="top" wrapText="1"/>
    </xf>
    <xf numFmtId="0" fontId="44" fillId="0" borderId="0" xfId="1" applyFont="1" applyFill="1" applyAlignment="1">
      <alignment vertical="top" wrapText="1"/>
    </xf>
    <xf numFmtId="0" fontId="27" fillId="0" borderId="0" xfId="0" applyFont="1" applyFill="1" applyAlignment="1">
      <alignment wrapText="1"/>
    </xf>
    <xf numFmtId="168" fontId="7" fillId="0" borderId="5" xfId="0" applyNumberFormat="1" applyFont="1" applyFill="1" applyBorder="1"/>
    <xf numFmtId="0" fontId="33" fillId="0" borderId="0" xfId="0" applyFont="1" applyFill="1"/>
    <xf numFmtId="0" fontId="6" fillId="0" borderId="5" xfId="0" applyFont="1" applyFill="1" applyBorder="1" applyAlignment="1">
      <alignment horizontal="left" vertical="top"/>
    </xf>
    <xf numFmtId="0" fontId="20" fillId="0" borderId="5" xfId="0" applyFont="1" applyFill="1" applyBorder="1" applyAlignment="1">
      <alignment horizontal="left" vertical="top"/>
    </xf>
    <xf numFmtId="0" fontId="9" fillId="0" borderId="5" xfId="1" applyFont="1" applyFill="1" applyBorder="1" applyAlignment="1">
      <alignment horizontal="left" vertical="top"/>
    </xf>
    <xf numFmtId="0" fontId="9" fillId="0" borderId="0" xfId="1" applyFont="1" applyFill="1" applyAlignment="1">
      <alignment horizontal="left" vertical="top"/>
    </xf>
    <xf numFmtId="0" fontId="20" fillId="0" borderId="0" xfId="1" applyFont="1" applyFill="1" applyAlignment="1">
      <alignment horizontal="left" vertical="top"/>
    </xf>
    <xf numFmtId="0" fontId="34" fillId="0" borderId="0" xfId="1" applyFont="1" applyFill="1" applyAlignment="1">
      <alignment horizontal="left" vertical="top"/>
    </xf>
    <xf numFmtId="0" fontId="35" fillId="0" borderId="0" xfId="1" applyFont="1" applyFill="1" applyAlignment="1">
      <alignment horizontal="left" vertical="top"/>
    </xf>
    <xf numFmtId="3" fontId="20" fillId="0" borderId="0" xfId="0" applyNumberFormat="1" applyFont="1" applyFill="1"/>
    <xf numFmtId="0" fontId="6" fillId="0" borderId="0" xfId="0" applyFont="1" applyFill="1" applyAlignment="1">
      <alignment horizontal="left" wrapText="1"/>
    </xf>
    <xf numFmtId="0" fontId="7" fillId="0" borderId="0" xfId="0" applyFont="1" applyFill="1" applyAlignment="1"/>
    <xf numFmtId="14" fontId="7" fillId="0" borderId="0" xfId="0" applyNumberFormat="1" applyFont="1" applyFill="1" applyAlignment="1"/>
    <xf numFmtId="3" fontId="7" fillId="0" borderId="0" xfId="0" applyNumberFormat="1" applyFont="1" applyFill="1" applyAlignment="1"/>
    <xf numFmtId="0" fontId="7" fillId="0" borderId="0" xfId="0" applyFont="1" applyBorder="1" applyAlignment="1">
      <alignment horizontal="left" vertical="top"/>
    </xf>
    <xf numFmtId="0" fontId="7" fillId="0" borderId="1" xfId="0" applyFont="1" applyFill="1" applyBorder="1" applyAlignment="1">
      <alignment horizontal="center" wrapText="1"/>
    </xf>
    <xf numFmtId="0" fontId="3" fillId="0" borderId="0" xfId="1" applyFill="1" applyAlignment="1">
      <alignment vertical="center" wrapText="1"/>
    </xf>
    <xf numFmtId="0" fontId="0" fillId="0" borderId="0" xfId="0" applyAlignment="1">
      <alignment vertical="center" wrapText="1"/>
    </xf>
    <xf numFmtId="0" fontId="7" fillId="0" borderId="1" xfId="0" applyFont="1" applyBorder="1" applyAlignment="1">
      <alignment horizontal="center" wrapText="1"/>
    </xf>
  </cellXfs>
  <cellStyles count="26">
    <cellStyle name="Comma [0] 2" xfId="14"/>
    <cellStyle name="Comma 2" xfId="5"/>
    <cellStyle name="Comma 3" xfId="10"/>
    <cellStyle name="Comma 4" xfId="8"/>
    <cellStyle name="Comma 5" xfId="15"/>
    <cellStyle name="Comma 6" xfId="16"/>
    <cellStyle name="Comma 7" xfId="22"/>
    <cellStyle name="Currency 2" xfId="20"/>
    <cellStyle name="Hyperlink" xfId="1" builtinId="8"/>
    <cellStyle name="Hyperlink 2" xfId="4"/>
    <cellStyle name="Hyperlink 3" xfId="11"/>
    <cellStyle name="Hyperlink 4" xfId="7"/>
    <cellStyle name="Hyperlink 5" xfId="18"/>
    <cellStyle name="Normal" xfId="0" builtinId="0"/>
    <cellStyle name="Normal 2" xfId="3"/>
    <cellStyle name="Normal 2 8" xfId="19"/>
    <cellStyle name="Normal 3" xfId="9"/>
    <cellStyle name="Normal 4" xfId="6"/>
    <cellStyle name="Normal 5" xfId="17"/>
    <cellStyle name="Note" xfId="2" builtinId="10"/>
    <cellStyle name="Note 2" xfId="13"/>
    <cellStyle name="Percent 2" xfId="12"/>
    <cellStyle name="Percent 3" xfId="21"/>
    <cellStyle name="メモ 2" xfId="24"/>
    <cellStyle name="桁区切り [0.00] 2" xfId="25"/>
    <cellStyle name="標準 2" xfId="23"/>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ZAF.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RU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July%20edit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v7f_with-country-chang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Keywords"/>
      <sheetName val="selection lists"/>
      <sheetName val="Answer Analysis"/>
      <sheetName val="Type of Measure"/>
      <sheetName val="Amounts for gender-relevant"/>
      <sheetName val="Scope"/>
      <sheetName val="Sector"/>
      <sheetName val="Environmental dimension"/>
      <sheetName val="Gender-sensitivity"/>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ummary"/>
      <sheetName val="Total R&amp;R funds (denominator)"/>
      <sheetName val="notes on EU funding"/>
      <sheetName val="fig 1"/>
      <sheetName val="tab1.by sector &amp; type -num heat"/>
      <sheetName val="fig2.Funding - by sector &amp; meas"/>
      <sheetName val="fig3.funding - by env dimension"/>
      <sheetName val="fig.4 -5 regulatory changes"/>
      <sheetName val="Older---&gt;"/>
      <sheetName val="funding - by sector"/>
      <sheetName val="funding - by type of measure"/>
      <sheetName val="funding -by sector and type"/>
      <sheetName val="heatmap - total numbers"/>
      <sheetName val="by sector - number"/>
      <sheetName val="by type of measure - number"/>
      <sheetName val="by env focus - number"/>
      <sheetName val="Exchange rates to USD"/>
      <sheetName val="selection lists"/>
      <sheetName val="pivots"/>
      <sheetName val="by sector - ticks"/>
      <sheetName val="by type of measure - ticks"/>
      <sheetName val="by sector and type - ticks"/>
      <sheetName val="by env focus - tic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bloomberg.com/news/articles/2020-06-05/germany-s-recovery-fund-gets-green-hue-with-its-focus-on-climate" TargetMode="External"/><Relationship Id="rId299" Type="http://schemas.openxmlformats.org/officeDocument/2006/relationships/hyperlink" Target="https://www.rockefellerfoundation.org/report/city-resilience-framework/" TargetMode="External"/><Relationship Id="rId21" Type="http://schemas.openxmlformats.org/officeDocument/2006/relationships/hyperlink" Target="https://www25.senado.leg.br/web/atividade/materias/-/materia/126049" TargetMode="External"/><Relationship Id="rId63" Type="http://schemas.openxmlformats.org/officeDocument/2006/relationships/hyperlink" Target="https://coronaviruscolombia.gov.co/Covid19/docs/decretos/minvivienda/354_DECRETO_819_DEL_4_DE_JUNIO_DE_2020.pdf" TargetMode="External"/><Relationship Id="rId159" Type="http://schemas.openxmlformats.org/officeDocument/2006/relationships/hyperlink" Target="https://www.lamoncloa.gob.es/temas/fondos-recuperacion/Documents/160621-Plan_Recuperacion_Transformacion_Resiliencia.pdf%20page%20150)" TargetMode="External"/><Relationship Id="rId324" Type="http://schemas.openxmlformats.org/officeDocument/2006/relationships/hyperlink" Target="https://www.portugal.gov.pt/pt/gc22/comunicacao/documento?i=recuperar-portugal-construindo-o-futuro-plano-de-recuperacao-e-resiliencia" TargetMode="External"/><Relationship Id="rId366" Type="http://schemas.openxmlformats.org/officeDocument/2006/relationships/hyperlink" Target="https://www.epa.gov/sites/production/files/2020-06/documents/covid19addendumontermination.pdf" TargetMode="External"/><Relationship Id="rId170" Type="http://schemas.openxmlformats.org/officeDocument/2006/relationships/hyperlink" Target="https://www.lamoncloa.gob.es/temas/fondos-recuperacion/Documents/160621-Plan_Recuperacion_Transformacion_Resiliencia.pdf%20(pag%20153)" TargetMode="External"/><Relationship Id="rId226" Type="http://schemas.openxmlformats.org/officeDocument/2006/relationships/hyperlink" Target="../../Gollisch_L/AppData/Local/Microsoft/Windows/INetCache/Content.Outlook/ECO-ENV.xlsx" TargetMode="External"/><Relationship Id="rId433" Type="http://schemas.openxmlformats.org/officeDocument/2006/relationships/hyperlink" Target="https://pib.gov.in/PressReleasePage.aspx?PRID=1730963" TargetMode="External"/><Relationship Id="rId268" Type="http://schemas.openxmlformats.org/officeDocument/2006/relationships/hyperlink" Target="https://www.lrt.lt/en/news-in-english/19/1179830/lithuania-unveils-eur6-3bn-dna-of-the-future-economic-stimulus-plan" TargetMode="External"/><Relationship Id="rId475" Type="http://schemas.openxmlformats.org/officeDocument/2006/relationships/hyperlink" Target="https://archive.budget.gov.au/2020-21/bp2/download/bp2_complete.pdf" TargetMode="External"/><Relationship Id="rId32" Type="http://schemas.openxmlformats.org/officeDocument/2006/relationships/hyperlink" Target="http://antigo.mme.gov.br/documents/36074/1045888/Resolu%C3%A7%C3%A3o_5_CNPE_Alt_Res_27-2019.pdf/2a295dca-e75b-86f1-bfbc-2517fd787b1e" TargetMode="External"/><Relationship Id="rId74" Type="http://schemas.openxmlformats.org/officeDocument/2006/relationships/hyperlink" Target="http://colombiasigueadelante.mincit.gov.co/ejes/compromiso" TargetMode="External"/><Relationship Id="rId128" Type="http://schemas.openxmlformats.org/officeDocument/2006/relationships/hyperlink" Target="https://de.reuters.com/article/us-germany-autos/germany-to-up-financial-aid-for-cars-sector-government-sources-idUSKBN27X1S7" TargetMode="External"/><Relationship Id="rId335" Type="http://schemas.openxmlformats.org/officeDocument/2006/relationships/hyperlink" Target="https://www.portugal.gov.pt/pt/gc22/comunicacao/documento?i=recuperar-portugal-construindo-o-futuro-plano-de-recuperacao-e-resiliencia" TargetMode="External"/><Relationship Id="rId377" Type="http://schemas.openxmlformats.org/officeDocument/2006/relationships/hyperlink" Target="https://www.congress.gov/bill/116th-congress/senate-bill/3779" TargetMode="External"/><Relationship Id="rId5" Type="http://schemas.openxmlformats.org/officeDocument/2006/relationships/hyperlink" Target="https://climateactiontracker.org/countries/australia/" TargetMode="External"/><Relationship Id="rId181" Type="http://schemas.openxmlformats.org/officeDocument/2006/relationships/hyperlink" Target="https://www.greenrecoverytracker.org/country-reports/estonia" TargetMode="External"/><Relationship Id="rId237" Type="http://schemas.openxmlformats.org/officeDocument/2006/relationships/hyperlink" Target="https://www.gov.ie/en/press-release/ecf1e-government-funding-of-14-million-available-for-businesses-under-seai-exeed-scheme-grants-to-support-excellence-in-energy-efficient-design/" TargetMode="External"/><Relationship Id="rId402" Type="http://schemas.openxmlformats.org/officeDocument/2006/relationships/hyperlink" Target="https://www.environment.gov.za/speech/sotyu_onlinesustainabilitysummit2020" TargetMode="External"/><Relationship Id="rId279" Type="http://schemas.openxmlformats.org/officeDocument/2006/relationships/hyperlink" Target="https://www.greenrecoverytracker.org/country-reports/latvia" TargetMode="External"/><Relationship Id="rId444" Type="http://schemas.openxmlformats.org/officeDocument/2006/relationships/hyperlink" Target="https://www.gob.cl/chileserecupera/" TargetMode="External"/><Relationship Id="rId43" Type="http://schemas.openxmlformats.org/officeDocument/2006/relationships/hyperlink" Target="https://www.canada.ca/en/natural-resources-canada/news/2021/01/canada-invests-in-electric-vehicle-grid-integration-pilot-project-in-nova-scotia.html" TargetMode="External"/><Relationship Id="rId139" Type="http://schemas.openxmlformats.org/officeDocument/2006/relationships/hyperlink" Target="https://www.euractiv.com/section/climate-environment/news/spanish-parliament-approves-clean-energy-bill/" TargetMode="External"/><Relationship Id="rId290" Type="http://schemas.openxmlformats.org/officeDocument/2006/relationships/hyperlink" Target="https://www.urgenda.nl/en/themas/climate-case/dutch-implementation-plan/" TargetMode="External"/><Relationship Id="rId304" Type="http://schemas.openxmlformats.org/officeDocument/2006/relationships/hyperlink" Target="https://www.euractiv.com/section/energy/opinion/green-investment-plan-will-be-an-impulse-for-economic-growth/" TargetMode="External"/><Relationship Id="rId346" Type="http://schemas.openxmlformats.org/officeDocument/2006/relationships/hyperlink" Target="https://www.planobnovy.sk/files/dokumenty/kompletny-plan_obnovy.pdf" TargetMode="External"/><Relationship Id="rId388" Type="http://schemas.openxmlformats.org/officeDocument/2006/relationships/hyperlink" Target="https://www.legis.state.pa.us/cfdocs/billInfo/billInfo.cfm?sYear=2019&amp;sInd=0&amp;body=H&amp;type=B&amp;bn=732" TargetMode="External"/><Relationship Id="rId85" Type="http://schemas.openxmlformats.org/officeDocument/2006/relationships/hyperlink" Target="https://recovery.smithschool.ox.ac.uk/tracking/" TargetMode="External"/><Relationship Id="rId150"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92" Type="http://schemas.openxmlformats.org/officeDocument/2006/relationships/hyperlink" Target="https://www.gouvernement.fr/sites/default/files/contenu/piece-jointe/2020/09/fiches_intro_thematiques_pia_4.pdf" TargetMode="External"/><Relationship Id="rId206" Type="http://schemas.openxmlformats.org/officeDocument/2006/relationships/hyperlink" Target="https://www.gov.uk/government/news/2-billion-package-to-create-new-era-for-cycling-and-walking" TargetMode="External"/><Relationship Id="rId413" Type="http://schemas.openxmlformats.org/officeDocument/2006/relationships/hyperlink" Target="https://www.energypolicytracker.org/country/russia" TargetMode="External"/><Relationship Id="rId248" Type="http://schemas.openxmlformats.org/officeDocument/2006/relationships/hyperlink" Target="https://www.env.go.jp/saigai/novel_coronavirus_2020.html" TargetMode="External"/><Relationship Id="rId455" Type="http://schemas.openxmlformats.org/officeDocument/2006/relationships/hyperlink" Target="https://www.awe.gov.au/sites/default/files/2021-05/budget-ag2030-factsheet.pdf" TargetMode="External"/><Relationship Id="rId12" Type="http://schemas.openxmlformats.org/officeDocument/2006/relationships/hyperlink" Target="https://www.gov.br/casacivil/pt-br/assuntos/noticias/2020/junho/mais-luz-para-a-amazonia-manual-de-operacionalizacao-do-programa-e-aprovado" TargetMode="External"/><Relationship Id="rId108" Type="http://schemas.openxmlformats.org/officeDocument/2006/relationships/hyperlink" Target="http://aplikace.mvcr.cz/sbirka-zakonu/ViewFile.aspx?type=c&amp;id=38946" TargetMode="External"/><Relationship Id="rId315" Type="http://schemas.openxmlformats.org/officeDocument/2006/relationships/hyperlink" Target="https://wfosigw.pl/porgramy_i_konkursy/oz-2-unieszkodliwianie-zakaznych-odpadow-medycznych-w-zwiazku-z-przeciwdzialaniem-covid-19/" TargetMode="External"/><Relationship Id="rId357" Type="http://schemas.openxmlformats.org/officeDocument/2006/relationships/hyperlink" Target="https://www.planobnovy.sk/files/dokumenty/kompletny-plan_obnovy.pdf" TargetMode="External"/><Relationship Id="rId54" Type="http://schemas.openxmlformats.org/officeDocument/2006/relationships/hyperlink" Target="https://www.budget.gc.ca/2021/home-accueil-en.html" TargetMode="External"/><Relationship Id="rId96" Type="http://schemas.openxmlformats.org/officeDocument/2006/relationships/hyperlink" Target="http://www.planobnovycr.cz/" TargetMode="External"/><Relationship Id="rId161" Type="http://schemas.openxmlformats.org/officeDocument/2006/relationships/hyperlink" Target="https://www.lamoncloa.gob.es/temas/fondos-recuperacion/Documents/160621-Plan_Recuperacion_Transformacion_Resiliencia.pdf%20page%20150)" TargetMode="External"/><Relationship Id="rId217" Type="http://schemas.openxmlformats.org/officeDocument/2006/relationships/hyperlink" Target="https://covid19.gov.gr/ektaktes-rythmisis-gia-tin-parachorisi-aplis-chrisis-egialou-ke-paralias-apoklistika-gia-to-etos-2020-logo-tis-pandimias/" TargetMode="External"/><Relationship Id="rId399" Type="http://schemas.openxmlformats.org/officeDocument/2006/relationships/hyperlink" Target="https://www.congress.gov/116/bills/hr748/BILLS-116hr748enr.pdf" TargetMode="External"/><Relationship Id="rId259" Type="http://schemas.openxmlformats.org/officeDocument/2006/relationships/hyperlink" Target="https://www.mof.go.jp/english/policy/budget/budget/fy2020/05.pdf" TargetMode="External"/><Relationship Id="rId424" Type="http://schemas.openxmlformats.org/officeDocument/2006/relationships/hyperlink" Target="https://www.palyazat.gov.hu/helyreallitasi-es-ellenallokepessegi-eszkoz-rrf" TargetMode="External"/><Relationship Id="rId466" Type="http://schemas.openxmlformats.org/officeDocument/2006/relationships/hyperlink" Target="https://budget.gov.au/2021-22/content/bp2/download/bp2_2021-22.pdf" TargetMode="External"/><Relationship Id="rId23" Type="http://schemas.openxmlformats.org/officeDocument/2006/relationships/hyperlink" Target="https://www.gov.br/economia/pt-br/centrais-de-conteudo/publicacoes/publicacoes-em-outros-idiomas/covid-19/covid-19-2020-04-24-brazil-policy-measures-1830-1.pdf/view" TargetMode="External"/><Relationship Id="rId119" Type="http://schemas.openxmlformats.org/officeDocument/2006/relationships/hyperlink" Target="https://www.bundesfinanzministerium.de/Content/DE/Standardartikel/Themen/Schlaglichter/Konjunkturpaket/2020-06-03-eckpunktepapier.pdf?__blob=publicationFile" TargetMode="External"/><Relationship Id="rId270" Type="http://schemas.openxmlformats.org/officeDocument/2006/relationships/hyperlink" Target="https://mfin.gouvernement.lu/fr/dossiers/2021/planderelance.html%20(p.18)" TargetMode="External"/><Relationship Id="rId326" Type="http://schemas.openxmlformats.org/officeDocument/2006/relationships/hyperlink" Target="https://www.portugal.gov.pt/pt/gc22/comunicacao/documento?i=recuperar-portugal-construindo-o-futuro-plano-de-recuperacao-e-resiliencia" TargetMode="External"/><Relationship Id="rId65" Type="http://schemas.openxmlformats.org/officeDocument/2006/relationships/hyperlink" Target="https://coronaviruscolombia.gov.co/Covid19/docs/decretos/minhacienda/245_DECRETO_579_2020.pdf" TargetMode="External"/><Relationship Id="rId130" Type="http://schemas.openxmlformats.org/officeDocument/2006/relationships/hyperlink" Target="https://www.bundesfinanzministerium.de/Content/DE/Standardartikel/Themen/Schlaglichter/Konjunkturpaket/2020-06-03-eckpunktepapier.pdf?__blob=publicationFile" TargetMode="External"/><Relationship Id="rId368" Type="http://schemas.openxmlformats.org/officeDocument/2006/relationships/hyperlink" Target="https://www.nytimes.com/2020/06/01/climate/trump-clean-water-pipelines.html?smid=tw-share" TargetMode="External"/><Relationship Id="rId172" Type="http://schemas.openxmlformats.org/officeDocument/2006/relationships/hyperlink" Target="https://www.lamoncloa.gob.es/temas/fondos-recuperacion/Documents/160621-Plan_Recuperacion_Transformacion_Resiliencia.pdf%20(pag%20153)" TargetMode="External"/><Relationship Id="rId228" Type="http://schemas.openxmlformats.org/officeDocument/2006/relationships/hyperlink" Target="https://www.iisd.org/articles/how-can-indias-energy-sector-recover-sustainably-covid-19-part-2" TargetMode="External"/><Relationship Id="rId435" Type="http://schemas.openxmlformats.org/officeDocument/2006/relationships/hyperlink" Target="https://www.gov.pl/web/ncbr/innowacyjna-biogazownia2" TargetMode="External"/><Relationship Id="rId13" Type="http://schemas.openxmlformats.org/officeDocument/2006/relationships/hyperlink" Target="https://www.demarest.com.br/wp-content/uploads/2020/06/Boletim-Energia-Junho-2020-Demarest-Advogados_.pdf" TargetMode="External"/><Relationship Id="rId109" Type="http://schemas.openxmlformats.org/officeDocument/2006/relationships/hyperlink" Target="http://aplikace.mvcr.cz/sbirka-zakonu/ViewFile.aspx?type=c&amp;id=38917" TargetMode="External"/><Relationship Id="rId260" Type="http://schemas.openxmlformats.org/officeDocument/2006/relationships/hyperlink" Target="https://asia.nikkei.com/Business/Transportation/Virus-hit-Korean-Air-and-Asiana-offered-2bn-bailout%20Accessed%207%20July%202020" TargetMode="External"/><Relationship Id="rId281" Type="http://schemas.openxmlformats.org/officeDocument/2006/relationships/hyperlink" Target="https://platform2020redesign.org/countries/latvia/" TargetMode="External"/><Relationship Id="rId316" Type="http://schemas.openxmlformats.org/officeDocument/2006/relationships/hyperlink" Target="https://www.portugal.gov.pt/pt/gc22/comunicacao/documento?i=recuperar-portugal-construindo-o-futuro-plano-de-recuperacao-e-resiliencia" TargetMode="External"/><Relationship Id="rId337" Type="http://schemas.openxmlformats.org/officeDocument/2006/relationships/hyperlink" Target="https://www.portugal.gov.pt/pt/gc22/comunicacao/documento?i=recuperar-portugal-construindo-o-futuro-plano-de-recuperacao-e-resiliencia" TargetMode="External"/><Relationship Id="rId34" Type="http://schemas.openxmlformats.org/officeDocument/2006/relationships/hyperlink" Target="http://antigo.mme.gov.br/documents/36074/1045888/Resolu%C3%A7%C3%A3o_7_CNPE_Altera_Res_10_2018.pdf/e5f41478-6eab-e2a5-83a5-f182c0913677" TargetMode="External"/><Relationship Id="rId55" Type="http://schemas.openxmlformats.org/officeDocument/2006/relationships/hyperlink" Target="https://www.canada.ca/en/natural-resources-canada/news/2021/05/canada-and-fcm-invest-in-energy-efficiency-in-prince-edward-island-and-nova-scotia.html" TargetMode="External"/><Relationship Id="rId76" Type="http://schemas.openxmlformats.org/officeDocument/2006/relationships/hyperlink" Target="https://coronaviruscolombia.gov.co/Covid19/acciones/acciones-de-turismo.html" TargetMode="External"/><Relationship Id="rId97" Type="http://schemas.openxmlformats.org/officeDocument/2006/relationships/hyperlink" Target="http://www.planobnovycr.cz/" TargetMode="External"/><Relationship Id="rId120" Type="http://schemas.openxmlformats.org/officeDocument/2006/relationships/hyperlink" Target="https://www.bundesfinanzministerium.de/Content/DE/Standardartikel/Themen/Schlaglichter/Konjunkturpaket/2020-06-03-eckpunktepapier.pdf?__blob=publicationFile" TargetMode="External"/><Relationship Id="rId141" Type="http://schemas.openxmlformats.org/officeDocument/2006/relationships/hyperlink" Target="https://www.miteco.gob.es/es/prensa/210604npfirmaprotocoloitj-imu_tcm30-527474.pdf" TargetMode="External"/><Relationship Id="rId358" Type="http://schemas.openxmlformats.org/officeDocument/2006/relationships/hyperlink" Target="https://www.regeringen.se/49bfc1/contentassets/dad10f1743b64c78a1c5b2d71f81a6eb/sveriges-aterhamtningsplan.pdf" TargetMode="External"/><Relationship Id="rId379" Type="http://schemas.openxmlformats.org/officeDocument/2006/relationships/hyperlink" Target="https://www.governor.ny.gov/news/governor-cuomo-announces-nation-leading-initiatives-expand-electric-vehicle-use-combat-climate" TargetMode="External"/><Relationship Id="rId7" Type="http://schemas.openxmlformats.org/officeDocument/2006/relationships/hyperlink" Target="https://budget.gov.au/2021-22/content/download/glossy_jobs.pdf" TargetMode="External"/><Relationship Id="rId162" Type="http://schemas.openxmlformats.org/officeDocument/2006/relationships/hyperlink" Target="https://www.lamoncloa.gob.es/temas/fondos-recuperacion/Documents/160621-Plan_Recuperacion_Transformacion_Resiliencia.pdf%20(pag%20152)" TargetMode="External"/><Relationship Id="rId183" Type="http://schemas.openxmlformats.org/officeDocument/2006/relationships/hyperlink" Target="https://mmm.fi/en/forests/biodiversity-and-protection/metso-programme" TargetMode="External"/><Relationship Id="rId218" Type="http://schemas.openxmlformats.org/officeDocument/2006/relationships/hyperlink" Target="http://www.et.gr/idocs-nph/search/pdfViewerForm.html?args=5C7QrtC22wHUdWr4xouZundtvSoClrL8px6_ZGPuoJd5MXD0LzQTLWPU9yLzB8V68knBzLCmTXKaO6fpVZ6Lx3UnKl3nP8NxdnJ5r9cmWyJWelDvWS_18kAEhATUkJb0x1LIdQ163nV9K--td6SIuXrn8Mg45lE9ZYf7ayLuuO7PjIic4H7FyDjm3adeW2MX" TargetMode="External"/><Relationship Id="rId239" Type="http://schemas.openxmlformats.org/officeDocument/2006/relationships/hyperlink" Target="https://www.gov.ie/en/publication/d4939-national-recovery-and-resilience-plan-2021/" TargetMode="External"/><Relationship Id="rId390" Type="http://schemas.openxmlformats.org/officeDocument/2006/relationships/hyperlink" Target="https://www.epa.gov/wotus/current-implementation-waters-united-states" TargetMode="External"/><Relationship Id="rId404" Type="http://schemas.openxmlformats.org/officeDocument/2006/relationships/hyperlink" Target="https://www.tralac.org/documents/news/3777-sustainable-infrastructure-development-symposium-south-africa-sidssa-23-june-2020/file.html" TargetMode="External"/><Relationship Id="rId425" Type="http://schemas.openxmlformats.org/officeDocument/2006/relationships/hyperlink" Target="https://www.regeringen.se/49bfc1/contentassets/dad10f1743b64c78a1c5b2d71f81a6eb/sveriges-aterhamtningsplan.pdf" TargetMode="External"/><Relationship Id="rId446" Type="http://schemas.openxmlformats.org/officeDocument/2006/relationships/hyperlink" Target="https://www.gob.cl/chileserecupera/" TargetMode="External"/><Relationship Id="rId467" Type="http://schemas.openxmlformats.org/officeDocument/2006/relationships/hyperlink" Target="https://budget.gov.au/2021-22/content/bp2/download/bp2_2021-22.pdf" TargetMode="External"/><Relationship Id="rId250" Type="http://schemas.openxmlformats.org/officeDocument/2006/relationships/hyperlink" Target="https://www.env.go.jp/guide/budget/r02/r02-hos_03-gaiyo/001.pd" TargetMode="External"/><Relationship Id="rId271" Type="http://schemas.openxmlformats.org/officeDocument/2006/relationships/hyperlink" Target="https://mfin.gouvernement.lu/fr/dossiers/2021/planderelance.html%20(p.18)" TargetMode="External"/><Relationship Id="rId292" Type="http://schemas.openxmlformats.org/officeDocument/2006/relationships/hyperlink" Target="https://www.belastingdienst.nl/wps/wcm/connect/nl/coronavirus/content/voor-welke-belastingen-kunt-u-bijzonder-uitstel-van-betaling-aanvragen" TargetMode="External"/><Relationship Id="rId306" Type="http://schemas.openxmlformats.org/officeDocument/2006/relationships/hyperlink" Target="https://www.nfosigw.gov.pl/o-nfosigw/aktualnosci/art,1675,nfosigw-zwieksza-budzet-mojego-pradu-o-dodatkowe-100-mln-zl.html" TargetMode="External"/><Relationship Id="rId24" Type="http://schemas.openxmlformats.org/officeDocument/2006/relationships/hyperlink" Target="https://www.in.gov.br/en/web/dou/-/resolucao-normativa-n-904-de-8-de-dezembro-de-2020-294942157" TargetMode="External"/><Relationship Id="rId45" Type="http://schemas.openxmlformats.org/officeDocument/2006/relationships/hyperlink" Target="https://news.gov.bc.ca/releases/2021PREM0006-000153" TargetMode="External"/><Relationship Id="rId66" Type="http://schemas.openxmlformats.org/officeDocument/2006/relationships/hyperlink" Target="https://compromisoporcolombia.gov.co/" TargetMode="External"/><Relationship Id="rId87" Type="http://schemas.openxmlformats.org/officeDocument/2006/relationships/hyperlink" Target="http://www.regiones.gov.co/Inicio/assets/files/189_decreto_517_2020.pdf" TargetMode="External"/><Relationship Id="rId110" Type="http://schemas.openxmlformats.org/officeDocument/2006/relationships/hyperlink" Target="http://aplikace.mvcr.cz/sbirka-zakonu/ViewFile.aspx?type=c&amp;id=38889" TargetMode="External"/><Relationship Id="rId131" Type="http://schemas.openxmlformats.org/officeDocument/2006/relationships/hyperlink" Target="https://www.bundesfinanzministerium.de/Content/DE/Standardartikel/Themen/Schlaglichter/Konjunkturpaket/2020-06-03-eckpunktepapier.pdf?__blob=publicationFile" TargetMode="External"/><Relationship Id="rId327" Type="http://schemas.openxmlformats.org/officeDocument/2006/relationships/hyperlink" Target="https://www.portugal.gov.pt/pt/gc22/comunicacao/documento?i=recuperar-portugal-construindo-o-futuro-plano-de-recuperacao-e-resiliencia" TargetMode="External"/><Relationship Id="rId348" Type="http://schemas.openxmlformats.org/officeDocument/2006/relationships/hyperlink" Target="https://www.planobnovy.sk/files/dokumenty/kompletny-plan_obnovy.pdf" TargetMode="External"/><Relationship Id="rId369" Type="http://schemas.openxmlformats.org/officeDocument/2006/relationships/hyperlink" Target="https://www.whitehouse.gov/presidential-actions/executive-order-regulatory-relief-support-economic-recovery/" TargetMode="External"/><Relationship Id="rId152"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73" Type="http://schemas.openxmlformats.org/officeDocument/2006/relationships/hyperlink" Target="https://www.lamoncloa.gob.es/temas/fondos-recuperacion/Documents/160621-Plan_Recuperacion_Transformacion_Resiliencia.pdf%20(pag%20154)" TargetMode="External"/><Relationship Id="rId194" Type="http://schemas.openxmlformats.org/officeDocument/2006/relationships/hyperlink" Target="https://www.gov.uk/government/publications/the-ten-point-plan-for-a-green-industrial-revolution/title" TargetMode="External"/><Relationship Id="rId208" Type="http://schemas.openxmlformats.org/officeDocument/2006/relationships/hyperlink" Target="https://covid19.gov.gr/anastoli-paratasi-ke-ekptosi-pliromis-forologikon-ypochreoseon-ke-doseon-rythmiseon-epichiriseon-se-ypochreotiki-anastoli-litourgias-ke-pligises-vasi-k-a-d/" TargetMode="External"/><Relationship Id="rId229" Type="http://schemas.openxmlformats.org/officeDocument/2006/relationships/hyperlink" Target="http://www.egazette.nic.in/WriteReadData/2021/226335.pdf" TargetMode="External"/><Relationship Id="rId380" Type="http://schemas.openxmlformats.org/officeDocument/2006/relationships/hyperlink" Target="https://www.congress.gov/bill/116th-congress/senate-bill/3779" TargetMode="External"/><Relationship Id="rId415" Type="http://schemas.openxmlformats.org/officeDocument/2006/relationships/hyperlink" Target="https://www.energypolicytracker.org/country/russia" TargetMode="External"/><Relationship Id="rId436" Type="http://schemas.openxmlformats.org/officeDocument/2006/relationships/hyperlink" Target="https://www.gov.pl/web/ncbr/oczyszczalnia-przyszlosci2" TargetMode="External"/><Relationship Id="rId457" Type="http://schemas.openxmlformats.org/officeDocument/2006/relationships/hyperlink" Target="https://www.niaa.gov.au/indigenous-affairs/environment/indigenous-protected-areas-ipas" TargetMode="External"/><Relationship Id="rId240" Type="http://schemas.openxmlformats.org/officeDocument/2006/relationships/hyperlink" Target="https://www.gov.ie/en/press-release/946d8-minister-donohoe-announces-details-of-tax-measures-contained-in-the-july-stimulus-plan/" TargetMode="External"/><Relationship Id="rId261" Type="http://schemas.openxmlformats.org/officeDocument/2006/relationships/hyperlink" Target="../../Gollisch_L/AppData/Local/Microsoft/Windows/OECD%20staff%20contribute/ENV-OECDall-workspace/FOR%20COMMENTS/22-06-21%20Draft%20G20%20FFS%20report.docx" TargetMode="External"/><Relationship Id="rId14" Type="http://schemas.openxmlformats.org/officeDocument/2006/relationships/hyperlink" Target="https://www.iea.org/reports/sustainable-recovery/a-sustainable-recovery-plan-for-the-energy-sector" TargetMode="External"/><Relationship Id="rId35" Type="http://schemas.openxmlformats.org/officeDocument/2006/relationships/hyperlink" Target="https://www.in.gov.br/web/dou/-/lei-n-14.182-de-12-de-julho-de-2021-331549377" TargetMode="External"/><Relationship Id="rId56" Type="http://schemas.openxmlformats.org/officeDocument/2006/relationships/hyperlink" Target="https://eralberta.ca/projects/details/alberta-zero-emissions-truck-electrification-collaboration-azetec/" TargetMode="External"/><Relationship Id="rId77" Type="http://schemas.openxmlformats.org/officeDocument/2006/relationships/hyperlink" Target="https://coronaviruscolombia.gov.co/Covid19/acciones/acciones-de-economia.html" TargetMode="External"/><Relationship Id="rId100" Type="http://schemas.openxmlformats.org/officeDocument/2006/relationships/hyperlink" Target="http://www.planobnovycr.cz/" TargetMode="External"/><Relationship Id="rId282" Type="http://schemas.openxmlformats.org/officeDocument/2006/relationships/hyperlink" Target="https://www.msn.com/es-mx/dinero/noticias/el-paquete-econ%C3%B3mico-2021-asigna-19-000-mdp-m%C3%A1s-al-tren-maya-que-a-salud-pese-a-crisis-de-coronavirus/ar-BB18RsCV?li=AAggPN5" TargetMode="External"/><Relationship Id="rId317" Type="http://schemas.openxmlformats.org/officeDocument/2006/relationships/hyperlink" Target="https://www.portugal.gov.pt/pt/gc22/comunicacao/documento?i=recuperar-portugal-construindo-o-futuro-plano-de-recuperacao-e-resiliencia" TargetMode="External"/><Relationship Id="rId338" Type="http://schemas.openxmlformats.org/officeDocument/2006/relationships/hyperlink" Target="https://www.portugal.gov.pt/pt/gc22/comunicacao/documento?i=recuperar-portugal-construindo-o-futuro-plano-de-recuperacao-e-resiliencia" TargetMode="External"/><Relationship Id="rId359" Type="http://schemas.openxmlformats.org/officeDocument/2006/relationships/hyperlink" Target="https://www.regeringen.se/49bfc1/contentassets/dad10f1743b64c78a1c5b2d71f81a6eb/sveriges-aterhamtningsplan.pdf" TargetMode="External"/><Relationship Id="rId8" Type="http://schemas.openxmlformats.org/officeDocument/2006/relationships/hyperlink" Target="https://budget.gov.au/2021-22/content/download/glossy_jobs.pdf" TargetMode="External"/><Relationship Id="rId98" Type="http://schemas.openxmlformats.org/officeDocument/2006/relationships/hyperlink" Target="http://www.planobnovycr.cz/" TargetMode="External"/><Relationship Id="rId121" Type="http://schemas.openxmlformats.org/officeDocument/2006/relationships/hyperlink" Target="https://www.bundesfinanzministerium.de/Content/DE/Standardartikel/Themen/Schlaglichter/Konjunkturpaket/2020-06-03-eckpunktepapier.pdf?__blob=publicationFile" TargetMode="External"/><Relationship Id="rId142" Type="http://schemas.openxmlformats.org/officeDocument/2006/relationships/hyperlink" Target="https://www.miteco.gob.es/es/prensa/210602ndpbaleares_tcm30-527268.pdf" TargetMode="External"/><Relationship Id="rId163" Type="http://schemas.openxmlformats.org/officeDocument/2006/relationships/hyperlink" Target="https://www.lamoncloa.gob.es/temas/fondos-recuperacion/Documents/160621-Plan_Recuperacion_Transformacion_Resiliencia.pdf%20(pag%20152)" TargetMode="External"/><Relationship Id="rId184" Type="http://schemas.openxmlformats.org/officeDocument/2006/relationships/hyperlink" Target="https://ym.fi/en/wood-building" TargetMode="External"/><Relationship Id="rId219" Type="http://schemas.openxmlformats.org/officeDocument/2006/relationships/hyperlink" Target="https://kinoumeilektrika.gov.gr/filehelp/document-fek.pdf" TargetMode="External"/><Relationship Id="rId370" Type="http://schemas.openxmlformats.org/officeDocument/2006/relationships/hyperlink" Target="https://www.reuters.com/article/us-usa-interior-renewables/trump-admin-slaps-solar-wind-operators-with-retroactive-rent-bills-idUSKBN22U0FW" TargetMode="External"/><Relationship Id="rId391" Type="http://schemas.openxmlformats.org/officeDocument/2006/relationships/hyperlink" Target="https://www.epa.gov/sites/production/files/2020-03/documents/oecamemooncovid19implications.pdf" TargetMode="External"/><Relationship Id="rId405" Type="http://schemas.openxmlformats.org/officeDocument/2006/relationships/hyperlink" Target="https://recovery.smithschool.ox.ac.uk/tracking/" TargetMode="External"/><Relationship Id="rId426" Type="http://schemas.openxmlformats.org/officeDocument/2006/relationships/hyperlink" Target="https://www.government.se/4a6f35/globalassets/government/dokument/finansdepartementet/excel/bp-2021/table-1.1-reform-table.pdf" TargetMode="External"/><Relationship Id="rId447" Type="http://schemas.openxmlformats.org/officeDocument/2006/relationships/hyperlink" Target="http://www.subdere.gov.cl/sala-de-prensa/plan-nacional-de-movilidad-subdere-financia-124-proyectos-en-75-comunas" TargetMode="External"/><Relationship Id="rId230" Type="http://schemas.openxmlformats.org/officeDocument/2006/relationships/hyperlink" Target="https://energy.economictimes.indiatimes.com/news/coal/lok-sabha-passes-bill-to-amend-mmdr-act/81602553" TargetMode="External"/><Relationship Id="rId251" Type="http://schemas.openxmlformats.org/officeDocument/2006/relationships/hyperlink" Target="https://www.meti.go.jp/english/press/2020/1225_001.html" TargetMode="External"/><Relationship Id="rId468" Type="http://schemas.openxmlformats.org/officeDocument/2006/relationships/hyperlink" Target="https://budget.gov.au/2021-22/content/bp2/download/bp2_2021-22.pdf" TargetMode="External"/><Relationship Id="rId25" Type="http://schemas.openxmlformats.org/officeDocument/2006/relationships/hyperlink" Target="https://www.gov.br/mme/pt-br/assuntos/noticias/mme-estabelece-diretrizes-para-leiloes-de-compra-de-energia-eletri" TargetMode="External"/><Relationship Id="rId46" Type="http://schemas.openxmlformats.org/officeDocument/2006/relationships/hyperlink" Target="https://www.sdtc.ca/en/investing-in-innovators-how-cleantech-entrepreneurs-are-leading-the-way-to-net-zero/" TargetMode="External"/><Relationship Id="rId67" Type="http://schemas.openxmlformats.org/officeDocument/2006/relationships/hyperlink" Target="https://compromisoporcolombia.gov.co/" TargetMode="External"/><Relationship Id="rId272" Type="http://schemas.openxmlformats.org/officeDocument/2006/relationships/hyperlink" Target="https://mfin.gouvernement.lu/fr/dossiers/2021/planderelance.html%20(p.18)" TargetMode="External"/><Relationship Id="rId293" Type="http://schemas.openxmlformats.org/officeDocument/2006/relationships/hyperlink" Target="https://www.regjeringen.no/contentassets/a29386c923894b9b91a8df7a0903fff2/no/pdfs/prp201920200127000dddpdfs.pdf" TargetMode="External"/><Relationship Id="rId307" Type="http://schemas.openxmlformats.org/officeDocument/2006/relationships/hyperlink" Target="https://www.jsw.pl/relacje-inwestorskie/raporty-gieldowe/raporty-biezace/raport-biezacy/raport-biezacy-nr-40-2020" TargetMode="External"/><Relationship Id="rId328" Type="http://schemas.openxmlformats.org/officeDocument/2006/relationships/hyperlink" Target="https://www.portugal.gov.pt/pt/gc22/comunicacao/documento?i=recuperar-portugal-construindo-o-futuro-plano-de-recuperacao-e-resiliencia" TargetMode="External"/><Relationship Id="rId349" Type="http://schemas.openxmlformats.org/officeDocument/2006/relationships/hyperlink" Target="https://www.planobnovy.sk/files/dokumenty/kompletny-plan_obnovy.pdf" TargetMode="External"/><Relationship Id="rId88" Type="http://schemas.openxmlformats.org/officeDocument/2006/relationships/hyperlink" Target="https://idm.presidencia.gov.co/prensa/Paginas/Con-el-nuevo-Compromiso-por-el-Futuro-de-Colombia-el-pais-esta-haciendo-las-grandes-apuestas-Duque-200820.aspx" TargetMode="External"/><Relationship Id="rId111" Type="http://schemas.openxmlformats.org/officeDocument/2006/relationships/hyperlink" Target="http://aplikace.mvcr.cz/sbirka-zakonu/ViewFile.aspx?type=c&amp;id=38887" TargetMode="External"/><Relationship Id="rId132" Type="http://schemas.openxmlformats.org/officeDocument/2006/relationships/hyperlink" Target="https://www.bundesfinanzministerium.de/Content/DE/Standardartikel/Themen/Schlaglichter/Konjunkturpaket/2020-06-03-eckpunktepapier.pdf?__blob=publicationFile" TargetMode="External"/><Relationship Id="rId153"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74" Type="http://schemas.openxmlformats.org/officeDocument/2006/relationships/hyperlink" Target="https://www.lamoncloa.gob.es/temas/fondos-recuperacion/Documents/160621-Plan_Recuperacion_Transformacion_Resiliencia.pdf%20(pag%20155)" TargetMode="External"/><Relationship Id="rId195" Type="http://schemas.openxmlformats.org/officeDocument/2006/relationships/hyperlink" Target="https://assets.publishing.service.gov.uk/government/uploads/system/uploads/attachment_data/file/963166/Supplementary_Estimates_2020-21_web.pdf" TargetMode="External"/><Relationship Id="rId209" Type="http://schemas.openxmlformats.org/officeDocument/2006/relationships/hyperlink" Target="https://covid19.gov.gr/epistreptea-prokatavoli-gia-epichirisis/" TargetMode="External"/><Relationship Id="rId360" Type="http://schemas.openxmlformats.org/officeDocument/2006/relationships/hyperlink" Target="https://www.government.se/4a6f35/globalassets/government/dokument/finansdepartementet/excel/bp-2021/table-1.1-reform-table.pdf" TargetMode="External"/><Relationship Id="rId381" Type="http://schemas.openxmlformats.org/officeDocument/2006/relationships/hyperlink" Target="https://www.ft.com/content/4d3d88c8-7eb6-4d06-bec0-c0ca8d91a045" TargetMode="External"/><Relationship Id="rId416" Type="http://schemas.openxmlformats.org/officeDocument/2006/relationships/hyperlink" Target="https://www.energypolicytracker.org/country/russia" TargetMode="External"/><Relationship Id="rId220" Type="http://schemas.openxmlformats.org/officeDocument/2006/relationships/hyperlink" Target="https://ceenergynews.com/transport/hungarian-government-to-launch-green-bus-program/" TargetMode="External"/><Relationship Id="rId241" Type="http://schemas.openxmlformats.org/officeDocument/2006/relationships/hyperlink" Target="https://www.epa.ie/researchandeducation/research/epafunding/greenenterprise/" TargetMode="External"/><Relationship Id="rId437" Type="http://schemas.openxmlformats.org/officeDocument/2006/relationships/hyperlink" Target="https://www.gov.pl/web/ncbr/7221pu---cieplownia-przyszlosci-czyli-system-cieplowniczy-z-oze" TargetMode="External"/><Relationship Id="rId458" Type="http://schemas.openxmlformats.org/officeDocument/2006/relationships/hyperlink" Target="https://www.environment.gov.au/protection/waste/consumers/australasian-recycling-label" TargetMode="External"/><Relationship Id="rId15" Type="http://schemas.openxmlformats.org/officeDocument/2006/relationships/hyperlink" Target="http://www.mme.gov.br/web/guest/todas-as-noticias/-/asset_publisher/pdAS9IcdBICN/content/73-leilao-de-biodiesel-negocia-1-19-bilhao-de-litros?inheritRedirect=false&amp;redirect=" TargetMode="External"/><Relationship Id="rId36" Type="http://schemas.openxmlformats.org/officeDocument/2006/relationships/hyperlink" Target="https://www.canada.ca/en/natural-resources-canada/news/2020/09/cleaning-up-dormant-oil-and-gas-wells-supporting-1200-jobs-in-bc9.html" TargetMode="External"/><Relationship Id="rId57" Type="http://schemas.openxmlformats.org/officeDocument/2006/relationships/hyperlink" Target="https://www.canada.ca/en/innovation-science-economic-development/news/2021/06/government-collaboration-supporting-the-future-of-albertas-clean-hydrogen-sector.html" TargetMode="External"/><Relationship Id="rId262" Type="http://schemas.openxmlformats.org/officeDocument/2006/relationships/hyperlink" Target="https://www.koreaexim.go.kr/site/program/board/basicboard/view?boardtypeid=284&amp;boardid=62860&amp;menuid=002001007%20%20Accessed%207%20July%202020" TargetMode="External"/><Relationship Id="rId283" Type="http://schemas.openxmlformats.org/officeDocument/2006/relationships/hyperlink" Target="https://www.gob.mx/shcp/prensa/comunicado-no-079-gobierno-de-mexico-firma-acuerdo-para-la-reactivacion-economica-con-el-consejo-coordinador-empresarial" TargetMode="External"/><Relationship Id="rId318" Type="http://schemas.openxmlformats.org/officeDocument/2006/relationships/hyperlink" Target="https://www.portugal.gov.pt/pt/gc22/comunicacao/documento?i=recuperar-portugal-construindo-o-futuro-plano-de-recuperacao-e-resiliencia" TargetMode="External"/><Relationship Id="rId339" Type="http://schemas.openxmlformats.org/officeDocument/2006/relationships/hyperlink" Target="https://www.portugal.gov.pt/pt/gc22/comunicacao/documento?i=recuperar-portugal-construindo-o-futuro-plano-de-recuperacao-e-resiliencia" TargetMode="External"/><Relationship Id="rId78" Type="http://schemas.openxmlformats.org/officeDocument/2006/relationships/hyperlink" Target="https://coronaviruscolombia.gov.co/Covid19/acciones/acciones-de-economia.html" TargetMode="External"/><Relationship Id="rId99" Type="http://schemas.openxmlformats.org/officeDocument/2006/relationships/hyperlink" Target="http://www.planobnovycr.cz/" TargetMode="External"/><Relationship Id="rId101" Type="http://schemas.openxmlformats.org/officeDocument/2006/relationships/hyperlink" Target="http://aplikace.mvcr.cz/sbirka-zakonu/ViewFile.aspx?type=c&amp;id=39161" TargetMode="External"/><Relationship Id="rId122" Type="http://schemas.openxmlformats.org/officeDocument/2006/relationships/hyperlink" Target="https://www.bundesfinanzministerium.de/Content/DE/Standardartikel/Themen/Schlaglichter/Konjunkturpaket/2020-06-03-eckpunktepapier.pdf?__blob=publicationFile" TargetMode="External"/><Relationship Id="rId143" Type="http://schemas.openxmlformats.org/officeDocument/2006/relationships/hyperlink" Target="https://www.miteco.gob.es/es/prensa/210622ndpprotocoloinmujeres_tcm30-528386.pdf" TargetMode="External"/><Relationship Id="rId164" Type="http://schemas.openxmlformats.org/officeDocument/2006/relationships/hyperlink" Target="https://www.lamoncloa.gob.es/temas/fondos-recuperacion/Documents/160621-Plan_Recuperacion_Transformacion_Resiliencia.pdf%20(pag%20152)" TargetMode="External"/><Relationship Id="rId185" Type="http://schemas.openxmlformats.org/officeDocument/2006/relationships/hyperlink" Target="https://www.vvy.fi/ajankohtaista/uutiset/ymparistoministerion-avustushaku/" TargetMode="External"/><Relationship Id="rId350" Type="http://schemas.openxmlformats.org/officeDocument/2006/relationships/hyperlink" Target="https://www.planobnovy.sk/files/dokumenty/kompletny-plan_obnovy.pdf" TargetMode="External"/><Relationship Id="rId371" Type="http://schemas.openxmlformats.org/officeDocument/2006/relationships/hyperlink" Target="https://www.dol.gov/newsroom/releases/eta/eta20200310" TargetMode="External"/><Relationship Id="rId406" Type="http://schemas.openxmlformats.org/officeDocument/2006/relationships/hyperlink" Target="https://www.ndrc.gov.cn/xxgk/zcfb/tz/202103/t20210304_1268929.html" TargetMode="External"/><Relationship Id="rId9" Type="http://schemas.openxmlformats.org/officeDocument/2006/relationships/hyperlink" Target="https://treasury.gov.au/sites/default/files/2020-07/Fact_Sheet-COVID-19_Relief_Fund.pdf" TargetMode="External"/><Relationship Id="rId210" Type="http://schemas.openxmlformats.org/officeDocument/2006/relationships/hyperlink" Target="https://covid19.gov.gr/systasi-tamiou-engyodosias-os-anexartitis-chrimatodotikis-monadas-sto-plesio-tou-evropaikou-tamiou-ependyseon-gia-ti-veltiosi-prosvasis-ton-epichiriseon-se-chrimatodotisi/" TargetMode="External"/><Relationship Id="rId392" Type="http://schemas.openxmlformats.org/officeDocument/2006/relationships/hyperlink" Target="https://www.whitehouse.gov/briefing-room/statements-releases/2021/03/31/fact-sheet-the-american-jobs-plan/" TargetMode="External"/><Relationship Id="rId427" Type="http://schemas.openxmlformats.org/officeDocument/2006/relationships/hyperlink" Target="https://english.moef.go.kr/pc/selectTbPressCenterDtl.do?boardCd=N0001&amp;seq=5173" TargetMode="External"/><Relationship Id="rId448" Type="http://schemas.openxmlformats.org/officeDocument/2006/relationships/hyperlink" Target="https://www.infrastructure.gov.au/department/statements/2020_2021/ministerial-statement/agriculture-water-environment.aspx" TargetMode="External"/><Relationship Id="rId469" Type="http://schemas.openxmlformats.org/officeDocument/2006/relationships/hyperlink" Target="https://archive.budget.gov.au/2020-21/bp2/download/bp2_complete.pdf" TargetMode="External"/><Relationship Id="rId26" Type="http://schemas.openxmlformats.org/officeDocument/2006/relationships/hyperlink" Target="https://agenciadenoticias.bndes.gov.br/detalhe/noticia/Dois-novos-parques-eolicos-no-RN-produzirao-energia-limpa-e-renovavel-para-242-mil-residencias/" TargetMode="External"/><Relationship Id="rId231" Type="http://schemas.openxmlformats.org/officeDocument/2006/relationships/hyperlink" Target="https://mercomindia.com/kerala-budget-proposes-loan-rooftop/" TargetMode="External"/><Relationship Id="rId252" Type="http://schemas.openxmlformats.org/officeDocument/2006/relationships/hyperlink" Target="https://www.env.go.jp/saigai/novel_coronavirus_2020.html" TargetMode="External"/><Relationship Id="rId273" Type="http://schemas.openxmlformats.org/officeDocument/2006/relationships/hyperlink" Target="https://m.likumi.lv/ta/id/315751-par-atbalstitajiem-pasvaldibu-investiciju-projektiem-valsts-aizdevumu-pieskirsanai-arkartejas-situacijas-ietekmes-mazinasanai-un-noversanai-saistiba-ar-covid-19-izplatibu" TargetMode="External"/><Relationship Id="rId294" Type="http://schemas.openxmlformats.org/officeDocument/2006/relationships/hyperlink" Target="https://www.regjeringen.no/no/aktuelt/regjeringa-vil-dekkje-driftsunderskottet-i-gruve-7-pa-svalbard/id2769019/" TargetMode="External"/><Relationship Id="rId308" Type="http://schemas.openxmlformats.org/officeDocument/2006/relationships/hyperlink" Target="http://nfosigw.gov.pl/o-nfosigw/aktualnosci/art,1688,ponad-146-mln-zl-unijnego-dofinansowania-na-infrastrukture-cieplownicza-w-20-miejscowosciach.html" TargetMode="External"/><Relationship Id="rId329" Type="http://schemas.openxmlformats.org/officeDocument/2006/relationships/hyperlink" Target="https://www.portugal.gov.pt/pt/gc22/comunicacao/documento?i=recuperar-portugal-construindo-o-futuro-plano-de-recuperacao-e-resiliencia" TargetMode="External"/><Relationship Id="rId47" Type="http://schemas.openxmlformats.org/officeDocument/2006/relationships/hyperlink" Target="https://novascotia.ca/news/release/?id=20210224001" TargetMode="External"/><Relationship Id="rId68" Type="http://schemas.openxmlformats.org/officeDocument/2006/relationships/hyperlink" Target="https://news.trust.org/item/20200526120704-w3g8g/" TargetMode="External"/><Relationship Id="rId89" Type="http://schemas.openxmlformats.org/officeDocument/2006/relationships/hyperlink" Target="https://id.presidencia.gov.co/Paginas/prensa/2020/Nace-el-nuevo-Compromiso-por-el-Futuro-de-Colombia-200807.aspx;%20Contador%20de%20Arboles%205M%20(arcgis.com)" TargetMode="External"/><Relationship Id="rId112" Type="http://schemas.openxmlformats.org/officeDocument/2006/relationships/hyperlink" Target="https://www.vlada.cz/en/media-centrum/aktualne/measures-adopted-by-the-czech-government-against-coronavirus-180545/" TargetMode="External"/><Relationship Id="rId133" Type="http://schemas.openxmlformats.org/officeDocument/2006/relationships/hyperlink" Target="https://ec.europa.eu/info/system/files/denmark-recovery-resilience-factsheet_en.pdf" TargetMode="External"/><Relationship Id="rId154"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75" Type="http://schemas.openxmlformats.org/officeDocument/2006/relationships/hyperlink" Target="https://www.lamoncloa.gob.es/temas/fondos-recuperacion/Documents/160621-Plan_Recuperacion_Transformacion_Resiliencia.pdf%20(pag%20155)" TargetMode="External"/><Relationship Id="rId340" Type="http://schemas.openxmlformats.org/officeDocument/2006/relationships/hyperlink" Target="https://www.portugal.gov.pt/pt/gc22/comunicacao/documento?i=recuperar-portugal-construindo-o-futuro-plano-de-recuperacao-e-resiliencia" TargetMode="External"/><Relationship Id="rId361" Type="http://schemas.openxmlformats.org/officeDocument/2006/relationships/hyperlink" Target="https://www.dailysabah.com/business/energy/turkey-to-launch-mini-solar-tenders-in-2-months-energy-minister-says" TargetMode="External"/><Relationship Id="rId196" Type="http://schemas.openxmlformats.org/officeDocument/2006/relationships/hyperlink" Target="https://www.gov.uk/government/publications/policy-design-of-the-uk-infrastructure-bank" TargetMode="External"/><Relationship Id="rId200" Type="http://schemas.openxmlformats.org/officeDocument/2006/relationships/hyperlink" Target="https://assets.publishing.service.gov.uk/government/uploads/system/uploads/attachment_data/file/966868/BUDGET_2021_-_web.pdf" TargetMode="External"/><Relationship Id="rId382" Type="http://schemas.openxmlformats.org/officeDocument/2006/relationships/hyperlink" Target="https://www.bloomberg.com/news/articles/2020-04-15/u-s-weighs-paying-drillers-to-leave-oil-in-the-ground-amid-glut?sref=HeRxKWIM" TargetMode="External"/><Relationship Id="rId417" Type="http://schemas.openxmlformats.org/officeDocument/2006/relationships/hyperlink" Target="https://www.energypolicytracker.org/country/russia" TargetMode="External"/><Relationship Id="rId438" Type="http://schemas.openxmlformats.org/officeDocument/2006/relationships/hyperlink" Target="https://www.gov.pl/web/ncbr/7521pu---magazynowanie-energii-elektrycznej" TargetMode="External"/><Relationship Id="rId459" Type="http://schemas.openxmlformats.org/officeDocument/2006/relationships/hyperlink" Target="https://budget.gov.au/2021-22/content/bp2/download/bp2_2021-22.pdf" TargetMode="External"/><Relationship Id="rId16" Type="http://schemas.openxmlformats.org/officeDocument/2006/relationships/hyperlink" Target="https://www.gov.br/mma/pt-br/noticias/mma-institui-programa-floresta-para-remunerar-quem-protege-a-mata-nativa" TargetMode="External"/><Relationship Id="rId221" Type="http://schemas.openxmlformats.org/officeDocument/2006/relationships/hyperlink" Target="https://magyarkozlony.hu/hivatalos-lapok/tMkTed9rU4L8GJ85RJmk5fe3ba8f5a9e6/dokumentumok/859e519d6c6249e6fb9f896bca0f5a928ddcb983/letoltes" TargetMode="External"/><Relationship Id="rId242" Type="http://schemas.openxmlformats.org/officeDocument/2006/relationships/hyperlink" Target="https://platform2020redesign.org/countries/ireland/" TargetMode="External"/><Relationship Id="rId263" Type="http://schemas.openxmlformats.org/officeDocument/2006/relationships/hyperlink" Target="http://me.go.kr/home/web/board/read.do?pagerOffset=0&amp;maxPageItems=10&amp;maxIndexPages=10&amp;searchKey=title&amp;searchValue=%EC%BD%94%EB%A1%9C%EB%82%98&amp;menuId=286&amp;orgCd=&amp;boardId=1432500&amp;boardMasterId=1&amp;boardCategoryId=&amp;decorator=" TargetMode="External"/><Relationship Id="rId284" Type="http://schemas.openxmlformats.org/officeDocument/2006/relationships/hyperlink" Target="https://www.dineroenimagen.com/economia/paquete-economico-en-2021-destinaran-45-mil-50-mdp-la-refineria-de-dos-bocas/126549" TargetMode="External"/><Relationship Id="rId319" Type="http://schemas.openxmlformats.org/officeDocument/2006/relationships/hyperlink" Target="https://www.portugal.gov.pt/pt/gc22/comunicacao/documento?i=recuperar-portugal-construindo-o-futuro-plano-de-recuperacao-e-resiliencia" TargetMode="External"/><Relationship Id="rId470" Type="http://schemas.openxmlformats.org/officeDocument/2006/relationships/hyperlink" Target="https://budget.gov.au/2021-22/content/bp2/download/bp2_2021-22.pdf" TargetMode="External"/><Relationship Id="rId37" Type="http://schemas.openxmlformats.org/officeDocument/2006/relationships/hyperlink" Target="https://www.canada.ca/en/office-infrastructure/news/2020/07/new-green-municipal-fund-tool-drives-energy-efficiency.html" TargetMode="External"/><Relationship Id="rId58" Type="http://schemas.openxmlformats.org/officeDocument/2006/relationships/hyperlink" Target="https://www.princeedwardisland.ca/en/information/finance/capital-budget" TargetMode="External"/><Relationship Id="rId79" Type="http://schemas.openxmlformats.org/officeDocument/2006/relationships/hyperlink" Target="https://www.bancoagrario.gov.co/BancaAgropecuaria/Paginas/LEC_COLOMBIA_AGRO_PRODUCE.aspx" TargetMode="External"/><Relationship Id="rId102" Type="http://schemas.openxmlformats.org/officeDocument/2006/relationships/hyperlink" Target="https://www.sbirka.cz/POSL4TYD/NOVE/21-214.htm" TargetMode="External"/><Relationship Id="rId123" Type="http://schemas.openxmlformats.org/officeDocument/2006/relationships/hyperlink" Target="https://www.bloomberg.com/news/articles/2020-06-05/germany-s-recovery-fund-gets-green-hue-with-its-focus-on-climate" TargetMode="External"/><Relationship Id="rId144" Type="http://schemas.openxmlformats.org/officeDocument/2006/relationships/hyperlink" Target="https://www.miteco.gob.es/es/prensa/210622nprdayudaseficienciapymeeindustria_tcm30-528345.pdf" TargetMode="External"/><Relationship Id="rId330" Type="http://schemas.openxmlformats.org/officeDocument/2006/relationships/hyperlink" Target="https://www.portugal.gov.pt/pt/gc22/comunicacao/documento?i=recuperar-portugal-construindo-o-futuro-plano-de-recuperacao-e-resiliencia" TargetMode="External"/><Relationship Id="rId90" Type="http://schemas.openxmlformats.org/officeDocument/2006/relationships/hyperlink" Target="http://country.eiu.com/article.aspx?articleid=1500651533&amp;Country=Costa+Rica&amp;topic=Economy" TargetMode="External"/><Relationship Id="rId165" Type="http://schemas.openxmlformats.org/officeDocument/2006/relationships/hyperlink" Target="https://www.lamoncloa.gob.es/temas/fondos-recuperacion/Documents/160621-Plan_Recuperacion_Transformacion_Resiliencia.pdf%20page%20151)" TargetMode="External"/><Relationship Id="rId186" Type="http://schemas.openxmlformats.org/officeDocument/2006/relationships/hyperlink" Target="https://ym.fi/documents/1410903/33891761/kestava_elvytys_loppuraportti-2110.pdf/c8edf006-334f-ecd9-5364-9d55720823fe/kestava_elvytys_loppuraportti-2110.pdf?t=1603343569943" TargetMode="External"/><Relationship Id="rId351" Type="http://schemas.openxmlformats.org/officeDocument/2006/relationships/hyperlink" Target="https://www.planobnovy.sk/files/dokumenty/kompletny-plan_obnovy.pdf" TargetMode="External"/><Relationship Id="rId372" Type="http://schemas.openxmlformats.org/officeDocument/2006/relationships/hyperlink" Target="https://www.irs.gov/newsroom/treasury-irs-provide-safe-harbor-for-taxpayers-that-develop-renewable-energy-projects" TargetMode="External"/><Relationship Id="rId393" Type="http://schemas.openxmlformats.org/officeDocument/2006/relationships/hyperlink" Target="https://www.whitehouse.gov/briefing-room/statements-releases/2021/03/31/fact-sheet-the-american-jobs-plan/" TargetMode="External"/><Relationship Id="rId407" Type="http://schemas.openxmlformats.org/officeDocument/2006/relationships/hyperlink" Target="http://english.www.gov.cn/news/videos/202103/06/content_WS60439b2bc6d0719374afa476.html%20;" TargetMode="External"/><Relationship Id="rId428" Type="http://schemas.openxmlformats.org/officeDocument/2006/relationships/hyperlink" Target="https://english.moef.go.kr/pc/selectTbPressCenterDtl.do?boardCd=N0001&amp;seq=5173" TargetMode="External"/><Relationship Id="rId449" Type="http://schemas.openxmlformats.org/officeDocument/2006/relationships/hyperlink" Target="https://budget.gov.au/2021-22/content/bp2/download/bp2_2021-22.pdf%20(pag.69)" TargetMode="External"/><Relationship Id="rId211" Type="http://schemas.openxmlformats.org/officeDocument/2006/relationships/hyperlink" Target="https://covid19.gov.gr/metra-gia-tin-prostasia-tis-naftikis-ergasias-ke-tin-aktoploia/" TargetMode="External"/><Relationship Id="rId232" Type="http://schemas.openxmlformats.org/officeDocument/2006/relationships/hyperlink" Target="https://mercomindia.com/maharashtra-renewable-policy-solar-projects/" TargetMode="External"/><Relationship Id="rId253" Type="http://schemas.openxmlformats.org/officeDocument/2006/relationships/hyperlink" Target="http://www.env.go.jp/guide/budget/r02/r0204-hos-gaiyo/full.pdf" TargetMode="External"/><Relationship Id="rId274" Type="http://schemas.openxmlformats.org/officeDocument/2006/relationships/hyperlink" Target="https://likumi.lv/ta/id/316127-noteikumi-par-nosacijumiem-un-kartibu-kada-pasvaldibam-izsniedz-valsts-aizdevumu-arkartejas-situacijas-ietekmes-mazinasanai" TargetMode="External"/><Relationship Id="rId295" Type="http://schemas.openxmlformats.org/officeDocument/2006/relationships/hyperlink" Target="https://www.regjeringen.no/contentassets/a29386c923894b9b91a8df7a0903fff2/no/pdfs/prp201920200127000dddpdfs.pdf" TargetMode="External"/><Relationship Id="rId309" Type="http://schemas.openxmlformats.org/officeDocument/2006/relationships/hyperlink" Target="https://www.gov.pl/web/aktywa-panstwowe/pakiet-pomocowy-dla-pll-lot-przyjety" TargetMode="External"/><Relationship Id="rId460" Type="http://schemas.openxmlformats.org/officeDocument/2006/relationships/hyperlink" Target="https://www.pm.gov.au/media/australia-announces-100-million-initiative-protect-our-oceans" TargetMode="External"/><Relationship Id="rId27" Type="http://schemas.openxmlformats.org/officeDocument/2006/relationships/hyperlink" Target="http://antigo.mme.gov.br/documents/36074/1045888/Resolu%C3%A7%C3%A3o+CNPE+N%C2%BA+9_2020.pdf/0635580f-73bf-038c-ee6c-7e8f6810d91c" TargetMode="External"/><Relationship Id="rId48" Type="http://schemas.openxmlformats.org/officeDocument/2006/relationships/hyperlink" Target="https://novascotia.ca/news/release/?id=20210224001" TargetMode="External"/><Relationship Id="rId69" Type="http://schemas.openxmlformats.org/officeDocument/2006/relationships/hyperlink" Target="https://www.eltiempo.com/economia/empresas/avianca-minhacienda-dice-que-el-credito-de-para-la-aerolinea-tiene-garantias-535011%20(accessed%2011/11/2020)" TargetMode="External"/><Relationship Id="rId113" Type="http://schemas.openxmlformats.org/officeDocument/2006/relationships/hyperlink" Target="https://www.vlada.cz/en/media-centrum/aktualne/measures-adopted-by-the-czech-government-against-coronavirus-180545/" TargetMode="External"/><Relationship Id="rId134" Type="http://schemas.openxmlformats.org/officeDocument/2006/relationships/hyperlink" Target="https://ec.europa.eu/info/system/files/denmark-recovery-resilience-factsheet_en.pdf" TargetMode="External"/><Relationship Id="rId320" Type="http://schemas.openxmlformats.org/officeDocument/2006/relationships/hyperlink" Target="https://www.portugal.gov.pt/pt/gc22/comunicacao/documento?i=recuperar-portugal-construindo-o-futuro-plano-de-recuperacao-e-resiliencia" TargetMode="External"/><Relationship Id="rId80" Type="http://schemas.openxmlformats.org/officeDocument/2006/relationships/hyperlink" Target="https://www.bancoldex.com/soluciones-financieras/lineas-de-credito/linea-colombia-responde-para-todos-3561" TargetMode="External"/><Relationship Id="rId155" Type="http://schemas.openxmlformats.org/officeDocument/2006/relationships/hyperlink" Target="https://www.lamoncloa.gob.es/temas/fondos-recuperacion/Documents/160621-Plan_Recuperacion_Transformacion_Resiliencia.pdf%20page%20149)" TargetMode="External"/><Relationship Id="rId176" Type="http://schemas.openxmlformats.org/officeDocument/2006/relationships/hyperlink" Target="https://www.lamoncloa.gob.es/temas/fondos-recuperacion/Documents/160621-Plan_Recuperacion_Transformacion_Resiliencia.pdf%20(pag%20156)" TargetMode="External"/><Relationship Id="rId197" Type="http://schemas.openxmlformats.org/officeDocument/2006/relationships/hyperlink" Target="https://www.gov.uk/government/news/government-boosts-energy-efficiency-spending-to-13-billion-with-extra-funding-for-green-homes" TargetMode="External"/><Relationship Id="rId341" Type="http://schemas.openxmlformats.org/officeDocument/2006/relationships/hyperlink" Target="https://www.portugal.gov.pt/pt/gc22/comunicacao/documento?i=recuperar-portugal-construindo-o-futuro-plano-de-recuperacao-e-resiliencia" TargetMode="External"/><Relationship Id="rId362" Type="http://schemas.openxmlformats.org/officeDocument/2006/relationships/hyperlink" Target="https://www.aa.com.tr/en/economy/turkey-announces-landmark-new-economic-reform-package/2173910" TargetMode="External"/><Relationship Id="rId383" Type="http://schemas.openxmlformats.org/officeDocument/2006/relationships/hyperlink" Target="https://www.epa.gov/sites/production/files/2020-06/documents/covid19addendumontermination.pdf" TargetMode="External"/><Relationship Id="rId418" Type="http://schemas.openxmlformats.org/officeDocument/2006/relationships/hyperlink" Target="https://www.energypolicytracker.org/country/russia" TargetMode="External"/><Relationship Id="rId439" Type="http://schemas.openxmlformats.org/officeDocument/2006/relationships/hyperlink" Target="https://www.gov.pl/web/ncbr/8621pu---technologie-domowej-retencji" TargetMode="External"/><Relationship Id="rId201" Type="http://schemas.openxmlformats.org/officeDocument/2006/relationships/hyperlink" Target="https://www.gov.uk/government/publications/green-homes-grant-local-authority-delivery-scheme-entering-a-bid" TargetMode="External"/><Relationship Id="rId222" Type="http://schemas.openxmlformats.org/officeDocument/2006/relationships/hyperlink" Target="https://www.palyazat.gov.hu/vekop-126-20-a-mikro-kis-s-kzpvllalkozsok-modern-zleti-s-termelsi-kihvsokhoz-val-alkalmazkodst-segt-fejlesztsek-tmogatsa-1" TargetMode="External"/><Relationship Id="rId243" Type="http://schemas.openxmlformats.org/officeDocument/2006/relationships/hyperlink" Target="https://globalambition.ie/climate-action-boosting-low-carbon-agendas/" TargetMode="External"/><Relationship Id="rId264" Type="http://schemas.openxmlformats.org/officeDocument/2006/relationships/hyperlink" Target="http://www.me.go.kr/home/web/board/read.do?menuId=290&amp;boardMasterId=39&amp;boardCategoryId=52&amp;boardId=1456430" TargetMode="External"/><Relationship Id="rId285" Type="http://schemas.openxmlformats.org/officeDocument/2006/relationships/hyperlink" Target="https://www.energypolicytracker.org/country/the-netherlands" TargetMode="External"/><Relationship Id="rId450" Type="http://schemas.openxmlformats.org/officeDocument/2006/relationships/hyperlink" Target="https://budget.gov.au/2021-22/content/bp2/download/bp2_2021-22.pdf%20(p.%20135)" TargetMode="External"/><Relationship Id="rId471" Type="http://schemas.openxmlformats.org/officeDocument/2006/relationships/hyperlink" Target="https://budget.gov.au/2021-22/content/bp2/download/bp2_2021-22.pdf" TargetMode="External"/><Relationship Id="rId17" Type="http://schemas.openxmlformats.org/officeDocument/2006/relationships/hyperlink" Target="https://antigo.mma.gov.br/agenda-ambiental-urbana/res%C3%ADduos-s%C3%B3lidos.html" TargetMode="External"/><Relationship Id="rId38" Type="http://schemas.openxmlformats.org/officeDocument/2006/relationships/hyperlink" Target="https://www.canada.ca/en/economic-development-southern-ontario/news/2020/11/government-of-canada-invests-in-scale-up-of-aerospace-manufacturer-in-burlington.html" TargetMode="External"/><Relationship Id="rId59" Type="http://schemas.openxmlformats.org/officeDocument/2006/relationships/hyperlink" Target="https://www.canada.ca/en/office-infrastructure/news/2021/02/a-plan-to-permanently-fund-public-transit-and-support-economic-recovery.html&#160;" TargetMode="External"/><Relationship Id="rId103" Type="http://schemas.openxmlformats.org/officeDocument/2006/relationships/hyperlink" Target="http://aplikace.mvcr.cz/sbirka-zakonu/ViewFile.aspx?type=c&amp;id=39091" TargetMode="External"/><Relationship Id="rId124" Type="http://schemas.openxmlformats.org/officeDocument/2006/relationships/hyperlink" Target="https://www.bundesfinanzministerium.de/Content/DE/Standardartikel/Themen/Schlaglichter/Konjunkturpaket/2020-06-03-eckpunktepapier.pdf?__blob=publicationFile" TargetMode="External"/><Relationship Id="rId310" Type="http://schemas.openxmlformats.org/officeDocument/2006/relationships/hyperlink" Target="http://nfosigw.gov.pl/o-nfosigw/aktualnosci/art,1697,wsparcie-nfosigw-na-modernizacje-oswietlenia-zewnetrznego-w-pieciu-wojewodztwach.html" TargetMode="External"/><Relationship Id="rId70" Type="http://schemas.openxmlformats.org/officeDocument/2006/relationships/hyperlink" Target="https://www.portafolio.co/economia/gobierno/gobierno-reduce-precio-de-la-gasolina-en-el-pais-539104" TargetMode="External"/><Relationship Id="rId91" Type="http://schemas.openxmlformats.org/officeDocument/2006/relationships/hyperlink" Target="https://www.imf.org/en/Topics/imf-and-covid19/Policy-Responses-to-COVID-19" TargetMode="External"/><Relationship Id="rId145" Type="http://schemas.openxmlformats.org/officeDocument/2006/relationships/hyperlink" Target="https://www.miteco.gob.es/es/prensa/210617convocatoriasayudasdelafundacionbiodiversidad_tcm30-528162.pdf" TargetMode="External"/><Relationship Id="rId166" Type="http://schemas.openxmlformats.org/officeDocument/2006/relationships/hyperlink" Target="https://www.lamoncloa.gob.es/temas/fondos-recuperacion/Documents/160621-Plan_Recuperacion_Transformacion_Resiliencia.pdf%20page%20151)" TargetMode="External"/><Relationship Id="rId187" Type="http://schemas.openxmlformats.org/officeDocument/2006/relationships/hyperlink" Target="https://www.businessfinland.fi/kampanjasivut/veturiyrityksista-vipuvartta" TargetMode="External"/><Relationship Id="rId331" Type="http://schemas.openxmlformats.org/officeDocument/2006/relationships/hyperlink" Target="https://www.portugal.gov.pt/pt/gc22/comunicacao/documento?i=recuperar-portugal-construindo-o-futuro-plano-de-recuperacao-e-resiliencia" TargetMode="External"/><Relationship Id="rId352" Type="http://schemas.openxmlformats.org/officeDocument/2006/relationships/hyperlink" Target="https://www.planobnovy.sk/files/dokumenty/kompletny-plan_obnovy.pdf" TargetMode="External"/><Relationship Id="rId373" Type="http://schemas.openxmlformats.org/officeDocument/2006/relationships/hyperlink" Target="https://www.energy.gov/articles/doe-announces-intent-provide-122m-establish-coal-products-innovation-centers" TargetMode="External"/><Relationship Id="rId394" Type="http://schemas.openxmlformats.org/officeDocument/2006/relationships/hyperlink" Target="https://www.whitehouse.gov/briefing-room/statements-releases/2021/03/31/fact-sheet-the-american-jobs-plan/" TargetMode="External"/><Relationship Id="rId408" Type="http://schemas.openxmlformats.org/officeDocument/2006/relationships/hyperlink" Target="http://www.sxcoal.com/news/4615831/info/en" TargetMode="External"/><Relationship Id="rId429" Type="http://schemas.openxmlformats.org/officeDocument/2006/relationships/hyperlink" Target="https://english.moef.go.kr/pc/selectTbPressCenterDtl.do?boardCd=N0001&amp;seq=5173" TargetMode="External"/><Relationship Id="rId1" Type="http://schemas.openxmlformats.org/officeDocument/2006/relationships/printerSettings" Target="../printerSettings/printerSettings3.bin"/><Relationship Id="rId212" Type="http://schemas.openxmlformats.org/officeDocument/2006/relationships/hyperlink" Target="https://covid19.gov.gr/rythmisis-gia-tin-enischysi-tis-refstotitas-stin-agora-energias/" TargetMode="External"/><Relationship Id="rId233" Type="http://schemas.openxmlformats.org/officeDocument/2006/relationships/hyperlink" Target="https://isif.ie/pandemic-stabilisation-and-recovery-fund" TargetMode="External"/><Relationship Id="rId254" Type="http://schemas.openxmlformats.org/officeDocument/2006/relationships/hyperlink" Target="http://www.jamstec.go.jp/tougou/eng/research/theme_d.html" TargetMode="External"/><Relationship Id="rId440" Type="http://schemas.openxmlformats.org/officeDocument/2006/relationships/hyperlink" Target="https://www.gov.pl/web/ncbr/8821pup63---elektrocieplownia-w-lokalnym-systemie-energetycznym" TargetMode="External"/><Relationship Id="rId28" Type="http://schemas.openxmlformats.org/officeDocument/2006/relationships/hyperlink" Target="https://www.epe.gov.br/pt/publicacoes-dados-abertos/publicacoes/Plano-Nacional-de-Energia-2050" TargetMode="External"/><Relationship Id="rId49" Type="http://schemas.openxmlformats.org/officeDocument/2006/relationships/hyperlink" Target="https://www.saskatchewan.ca/government/news-and-media/2021/february/26/sgi-to-issue-rebates-to-customers-average-payment-of-285-per-vehicle" TargetMode="External"/><Relationship Id="rId114" Type="http://schemas.openxmlformats.org/officeDocument/2006/relationships/hyperlink" Target="https://www.vlada.cz/en/media-centrum/aktualne/measures-adopted-by-the-czech-government-against-coronavirus-180545/" TargetMode="External"/><Relationship Id="rId275" Type="http://schemas.openxmlformats.org/officeDocument/2006/relationships/hyperlink" Target="https://bankwatch.org/wp-content/uploads/2021/04/2021-04-27_Latvian-RRF-assessment_final.pdf;%20part%20of%20NRRP" TargetMode="External"/><Relationship Id="rId296" Type="http://schemas.openxmlformats.org/officeDocument/2006/relationships/hyperlink" Target="https://treasury.govt.nz/system/files/2020-05/b20-sum-initiatives-crrf.pdf" TargetMode="External"/><Relationship Id="rId300" Type="http://schemas.openxmlformats.org/officeDocument/2006/relationships/hyperlink" Target="http://www.ekodotacje.ios.edu.pl/" TargetMode="External"/><Relationship Id="rId461" Type="http://schemas.openxmlformats.org/officeDocument/2006/relationships/hyperlink" Target="https://budget.gov.au/2021-22/content/bp2/download/bp2_2021-22.pdf" TargetMode="External"/><Relationship Id="rId60" Type="http://schemas.openxmlformats.org/officeDocument/2006/relationships/hyperlink" Target="https://www.swissinfo.ch/eng/sign-off-session_swiss-parliament-extends-coronavirus-relief-package/45737938" TargetMode="External"/><Relationship Id="rId81" Type="http://schemas.openxmlformats.org/officeDocument/2006/relationships/hyperlink" Target="https://www.bancoldex.com/soluciones-financieras/lineas-de-credito/linea-colombia-responde-para-todos-3561" TargetMode="External"/><Relationship Id="rId135" Type="http://schemas.openxmlformats.org/officeDocument/2006/relationships/hyperlink" Target="https://ec.europa.eu/info/system/files/denmark-recovery-resilience-factsheet_en.pdf" TargetMode="External"/><Relationship Id="rId156" Type="http://schemas.openxmlformats.org/officeDocument/2006/relationships/hyperlink" Target="https://www.lamoncloa.gob.es/temas/fondos-recuperacion/Documents/160621-Plan_Recuperacion_Transformacion_Resiliencia.pdf%20page%20149)" TargetMode="External"/><Relationship Id="rId177" Type="http://schemas.openxmlformats.org/officeDocument/2006/relationships/hyperlink" Target="https://www.err.ee/1135503/riik-hakkab-toetama-elektribusside-ostu-ja-laadimistaristu-ehitamist" TargetMode="External"/><Relationship Id="rId198" Type="http://schemas.openxmlformats.org/officeDocument/2006/relationships/hyperlink" Target="https://assets.publishing.service.gov.uk/government/uploads/system/uploads/attachment_data/file/966868/BUDGET_2021_-_web.pdf" TargetMode="External"/><Relationship Id="rId321" Type="http://schemas.openxmlformats.org/officeDocument/2006/relationships/hyperlink" Target="https://www.portugal.gov.pt/pt/gc22/comunicacao/documento?i=recuperar-portugal-construindo-o-futuro-plano-de-recuperacao-e-resiliencia" TargetMode="External"/><Relationship Id="rId342" Type="http://schemas.openxmlformats.org/officeDocument/2006/relationships/hyperlink" Target="https://www.portugal.gov.pt/pt/gc22/comunicacao/documento?i=recuperar-portugal-construindo-o-futuro-plano-de-recuperacao-e-resiliencia" TargetMode="External"/><Relationship Id="rId363" Type="http://schemas.openxmlformats.org/officeDocument/2006/relationships/hyperlink" Target="https://www.worldbank.org/en/country/turkey/publication/economic-monitor" TargetMode="External"/><Relationship Id="rId384" Type="http://schemas.openxmlformats.org/officeDocument/2006/relationships/hyperlink" Target="https://www.cpapracticeadvisor.com/tax-compliance/news/21151392/what-does-irs-treasury-carbon-capture-tax-credit-guidance-mean-for-future-energy-production" TargetMode="External"/><Relationship Id="rId419" Type="http://schemas.openxmlformats.org/officeDocument/2006/relationships/hyperlink" Target="https://www.energypolicytracker.org/country/russia" TargetMode="External"/><Relationship Id="rId202" Type="http://schemas.openxmlformats.org/officeDocument/2006/relationships/hyperlink" Target="https://www.bankofengland.co.uk/-/media/boe/files/markets/covid-corporate-financing-facility/cp-held-by-ccff-by-business.xlsx?" TargetMode="External"/><Relationship Id="rId223" Type="http://schemas.openxmlformats.org/officeDocument/2006/relationships/hyperlink" Target="https://www.palyazat.gov.hu/vekop-127-20-divat-s-dizjnipari-mikro-kis-s-kzpvllalkozsok-modern-zleti-s-termelsi-kihvsokhoz-val-alkalmazkodst-segt-fejlesztsek-tmogatsa-1" TargetMode="External"/><Relationship Id="rId244" Type="http://schemas.openxmlformats.org/officeDocument/2006/relationships/hyperlink" Target="https://www.gov.ie/en/publication/b8bc5-july-jobs-stimulus-plan/" TargetMode="External"/><Relationship Id="rId430" Type="http://schemas.openxmlformats.org/officeDocument/2006/relationships/hyperlink" Target="https://english.moef.go.kr/pc/selectTbPressCenterDtl.do?boardCd=N0001&amp;seq=5173" TargetMode="External"/><Relationship Id="rId18" Type="http://schemas.openxmlformats.org/officeDocument/2006/relationships/hyperlink" Target="https://www.camara.leg.br/noticias/721368-sancionada-lei-de-pagamento-por-servicos-ambientais/" TargetMode="External"/><Relationship Id="rId39" Type="http://schemas.openxmlformats.org/officeDocument/2006/relationships/hyperlink" Target="https://www.canada.ca/en/innovation-science-economic-development/news/2020/09/list-of-cleantech-projects-receiving-funding-from-sustainable-development-technology-canada-sdtc.html%20Accessed%2021%20September%202020" TargetMode="External"/><Relationship Id="rId265" Type="http://schemas.openxmlformats.org/officeDocument/2006/relationships/hyperlink" Target="https://www.imf.org/en/Topics/imf-and-covid19/Policy-Responses-to-COVID-19" TargetMode="External"/><Relationship Id="rId286" Type="http://schemas.openxmlformats.org/officeDocument/2006/relationships/hyperlink" Target="https://www.rijksoverheid.nl/actueel/nieuws/2021/03/12/kabinet-breidt-coronasteun-ondernemers-verder-uit" TargetMode="External"/><Relationship Id="rId451" Type="http://schemas.openxmlformats.org/officeDocument/2006/relationships/hyperlink" Target="https://budget.gov.au/2021-22/content/download/glossy_covid19.pdf" TargetMode="External"/><Relationship Id="rId472" Type="http://schemas.openxmlformats.org/officeDocument/2006/relationships/hyperlink" Target="https://archive.budget.gov.au/2020-21/bp2/download/bp2_complete.pdf" TargetMode="External"/><Relationship Id="rId50" Type="http://schemas.openxmlformats.org/officeDocument/2006/relationships/hyperlink" Target="https://www.tresor.gouv.qc.ca/fileadmin/PDF/budget_depenses/21-22/6-Quebec_Infrastructure_Plan.pdf" TargetMode="External"/><Relationship Id="rId104" Type="http://schemas.openxmlformats.org/officeDocument/2006/relationships/hyperlink" Target="http://aplikace.mvcr.cz/sbirka-zakonu/ViewFile.aspx?type=c&amp;id=39075" TargetMode="External"/><Relationship Id="rId125" Type="http://schemas.openxmlformats.org/officeDocument/2006/relationships/hyperlink" Target="https://www.bundesfinanzministerium.de/Content/DE/Standardartikel/Themen/Schlaglichter/Konjunkturpaket/2020-06-03-eckpunktepapier.pdf?__blob=publicationFile" TargetMode="External"/><Relationship Id="rId146" Type="http://schemas.openxmlformats.org/officeDocument/2006/relationships/hyperlink" Target="https://www.lamoncloa.gob.es/temas/fondos-recuperacion/Documents/160621-Plan_Recuperacion_Transformacion_Resiliencia.pdf%20page%20146)" TargetMode="External"/><Relationship Id="rId167" Type="http://schemas.openxmlformats.org/officeDocument/2006/relationships/hyperlink" Target="https://www.lamoncloa.gob.es/temas/fondos-recuperacion/Documents/160621-Plan_Recuperacion_Transformacion_Resiliencia.pdf%20(pag%20152)" TargetMode="External"/><Relationship Id="rId188" Type="http://schemas.openxmlformats.org/officeDocument/2006/relationships/hyperlink" Target="https://ec.europa.eu/commission/presscorner/detail/en/MEX_20_904%20(31%20August%202020)" TargetMode="External"/><Relationship Id="rId311" Type="http://schemas.openxmlformats.org/officeDocument/2006/relationships/hyperlink" Target="http://nfosigw.gov.pl/o-nfosigw/aktualnosci/art,1697,wsparcie-nfosigw-na-modernizacje-oswietlenia-zewnetrznego-w-pieciu-wojewodztwach.html" TargetMode="External"/><Relationship Id="rId332" Type="http://schemas.openxmlformats.org/officeDocument/2006/relationships/hyperlink" Target="https://www.portugal.gov.pt/pt/gc22/comunicacao/documento?i=recuperar-portugal-construindo-o-futuro-plano-de-recuperacao-e-resiliencia" TargetMode="External"/><Relationship Id="rId353" Type="http://schemas.openxmlformats.org/officeDocument/2006/relationships/hyperlink" Target="https://www.planobnovy.sk/files/dokumenty/kompletny-plan_obnovy.pdf" TargetMode="External"/><Relationship Id="rId374" Type="http://schemas.openxmlformats.org/officeDocument/2006/relationships/hyperlink" Target="https://www.reuters.com/article/us-usa-energy-carboncapture/u-s-treasury-unveils-rules-for-carbon-capture-tax-credits-idUSKBN2352S6" TargetMode="External"/><Relationship Id="rId395" Type="http://schemas.openxmlformats.org/officeDocument/2006/relationships/hyperlink" Target="https://www.whitehouse.gov/briefing-room/statements-releases/2021/03/31/fact-sheet-the-american-jobs-plan/" TargetMode="External"/><Relationship Id="rId409" Type="http://schemas.openxmlformats.org/officeDocument/2006/relationships/hyperlink" Target="http://english.www.gov.cn/policies/latestreleases/202009/21/content_WS5f689095c6d0f7257693c5e1.html" TargetMode="External"/><Relationship Id="rId71" Type="http://schemas.openxmlformats.org/officeDocument/2006/relationships/hyperlink" Target="https://coronaviruscolombia.gov.co/Covid19/acciones/acciones-de-agricultura.html" TargetMode="External"/><Relationship Id="rId92" Type="http://schemas.openxmlformats.org/officeDocument/2006/relationships/hyperlink" Target="https://ticotimes.net/2021/06/28/stricter-costa-rica-driving-restrictions-resume-Monday" TargetMode="External"/><Relationship Id="rId213" Type="http://schemas.openxmlformats.org/officeDocument/2006/relationships/hyperlink" Target="https://covid19.gov.gr/metra-gia-plia-ypo-elliniki-simea-paratasi-pistopiitikon-plion/" TargetMode="External"/><Relationship Id="rId234" Type="http://schemas.openxmlformats.org/officeDocument/2006/relationships/hyperlink" Target="https://isif.ie/uploads/publications/PSRF-GUIDE-PUBLISHED.pdf" TargetMode="External"/><Relationship Id="rId420" Type="http://schemas.openxmlformats.org/officeDocument/2006/relationships/hyperlink" Target="https://platform2020redesign.org/countries/russia/" TargetMode="External"/><Relationship Id="rId2" Type="http://schemas.openxmlformats.org/officeDocument/2006/relationships/hyperlink" Target="https://treasury.gov.au/sites/default/files/2020-12/HomeBuilder_extension_factsheet.pdf" TargetMode="External"/><Relationship Id="rId29" Type="http://schemas.openxmlformats.org/officeDocument/2006/relationships/hyperlink" Target="http://antigo.mme.gov.br/documents/36074/1045888/Resolu%C3%A7%C3%A3o_01_CNPE_GT_AJB.pdf/40c3f48c-fd30-df2f-f8d5-1a4875b66627" TargetMode="External"/><Relationship Id="rId255" Type="http://schemas.openxmlformats.org/officeDocument/2006/relationships/hyperlink" Target="https://www5.cao.go.jp/keizai1/keizaitaisaku/2020/20200420_economic_measures_all.pdf" TargetMode="External"/><Relationship Id="rId276" Type="http://schemas.openxmlformats.org/officeDocument/2006/relationships/hyperlink" Target="https://bankwatch.org/wp-content/uploads/2021/04/2021-04-27_Latvian-RRF-assessment_final.pdf,%20part%20of%20NRRP" TargetMode="External"/><Relationship Id="rId297" Type="http://schemas.openxmlformats.org/officeDocument/2006/relationships/hyperlink" Target="https://www.gov.pl/web/tarczaantykryzysowa/nowe-terminy" TargetMode="External"/><Relationship Id="rId441" Type="http://schemas.openxmlformats.org/officeDocument/2006/relationships/hyperlink" Target="https://www.gov.pl/web/ncbr/9421pup37---wentylacja-dla-szkol-i-domow" TargetMode="External"/><Relationship Id="rId462" Type="http://schemas.openxmlformats.org/officeDocument/2006/relationships/hyperlink" Target="https://budget.gov.au/2021-22/content/bp2/download/bp2_2021-22.pdf" TargetMode="External"/><Relationship Id="rId40" Type="http://schemas.openxmlformats.org/officeDocument/2006/relationships/hyperlink" Target="https://www.canada.ca/en/treasury-board-secretariat/news/2020/11/the-government-of-canada-is-leading-by-example-on-combatting-climate-change.html" TargetMode="External"/><Relationship Id="rId115" Type="http://schemas.openxmlformats.org/officeDocument/2006/relationships/hyperlink" Target="https://www.vlada.cz/en/media-centrum/aktualne/measures-adopted-by-the-czech-government-against-coronavirus-180545/" TargetMode="External"/><Relationship Id="rId136" Type="http://schemas.openxmlformats.org/officeDocument/2006/relationships/hyperlink" Target="https://ec.europa.eu/info/system/files/denmark-recovery-resilience-factsheet_en.pdf" TargetMode="External"/><Relationship Id="rId157" Type="http://schemas.openxmlformats.org/officeDocument/2006/relationships/hyperlink" Target="https://www.lamoncloa.gob.es/temas/fondos-recuperacion/Documents/160621-Plan_Recuperacion_Transformacion_Resiliencia.pdf%20page%20149)" TargetMode="External"/><Relationship Id="rId178" Type="http://schemas.openxmlformats.org/officeDocument/2006/relationships/hyperlink" Target="https://www.emta.ee/et/ariklient/aktsiisid-vara-hasartmang/kutus-ja-elektrienergia/aktsiisimaarade-ajutine-vahendamine" TargetMode="External"/><Relationship Id="rId301" Type="http://schemas.openxmlformats.org/officeDocument/2006/relationships/hyperlink" Target="http://www.nfosigw.gov.pl/" TargetMode="External"/><Relationship Id="rId322" Type="http://schemas.openxmlformats.org/officeDocument/2006/relationships/hyperlink" Target="https://www.portugal.gov.pt/pt/gc22/comunicacao/documento?i=recuperar-portugal-construindo-o-futuro-plano-de-recuperacao-e-resiliencia" TargetMode="External"/><Relationship Id="rId343" Type="http://schemas.openxmlformats.org/officeDocument/2006/relationships/hyperlink" Target="https://www.portugal.gov.pt/pt/gc22/comunicacao/documento?i=recuperar-portugal-construindo-o-futuro-plano-de-recuperacao-e-resiliencia" TargetMode="External"/><Relationship Id="rId364" Type="http://schemas.openxmlformats.org/officeDocument/2006/relationships/hyperlink" Target="https://www.resmigazete.gov.tr/eskiler/2021/03/20210320-32.pdf" TargetMode="External"/><Relationship Id="rId61" Type="http://schemas.openxmlformats.org/officeDocument/2006/relationships/hyperlink" Target="https://ingresosolidario.prosperidadsocial.gov.co/" TargetMode="External"/><Relationship Id="rId82" Type="http://schemas.openxmlformats.org/officeDocument/2006/relationships/hyperlink" Target="https://www.globaltradealert.org/intervention/82755/state-loan/colombia-government-launches-credit-line-to-support-the-aviation-tourism-and-public-entertainment-sectors-covid-19" TargetMode="External"/><Relationship Id="rId199" Type="http://schemas.openxmlformats.org/officeDocument/2006/relationships/hyperlink" Target="https://assets.publishing.service.gov.uk/government/uploads/system/uploads/attachment_data/file/966868/BUDGET_2021_-_web.pdf" TargetMode="External"/><Relationship Id="rId203" Type="http://schemas.openxmlformats.org/officeDocument/2006/relationships/hyperlink" Target="https://www.gov.uk/government/news/rishis-plan-for-jobs-will-help-britain-bounce-back" TargetMode="External"/><Relationship Id="rId385" Type="http://schemas.openxmlformats.org/officeDocument/2006/relationships/hyperlink" Target="https://www.renewableenergymagazine.com/wind/new-american-wind-power-total-capacity-over-20200817" TargetMode="External"/><Relationship Id="rId19" Type="http://schemas.openxmlformats.org/officeDocument/2006/relationships/hyperlink" Target="https://www.correiobraziliense.com.br/economia/2021/06/4929598-nova-lei-do-gas-traz-mudancas-para-o-setor-mas-efeito-para-o-consumidor-e-incerto.html" TargetMode="External"/><Relationship Id="rId224" Type="http://schemas.openxmlformats.org/officeDocument/2006/relationships/hyperlink" Target="https://www.palyazat.gov.hu/ginop-128-20-a-mikro-kis-s-kzpvllalkozsok-modern-zleti-s-termelsi-kihvsokhoz-val-alkalmazkodst-segt-fejlesztsek-tmogatsa-1" TargetMode="External"/><Relationship Id="rId245" Type="http://schemas.openxmlformats.org/officeDocument/2006/relationships/hyperlink" Target="https://www.government.is/government/covid-19/" TargetMode="External"/><Relationship Id="rId266" Type="http://schemas.openxmlformats.org/officeDocument/2006/relationships/hyperlink" Target="https://www.imf.org/en/Topics/imf-and-covid19/Policy-Responses-to-COVID-19" TargetMode="External"/><Relationship Id="rId287" Type="http://schemas.openxmlformats.org/officeDocument/2006/relationships/hyperlink" Target="https://www.rijksoverheid.nl/actueel/nieuws/2021/04/22/meer-nederlanders-verduurzamen-hun-woning-tijdens-lockdown" TargetMode="External"/><Relationship Id="rId410" Type="http://schemas.openxmlformats.org/officeDocument/2006/relationships/hyperlink" Target="https://www.energypolicytracker.org/country/russia" TargetMode="External"/><Relationship Id="rId431" Type="http://schemas.openxmlformats.org/officeDocument/2006/relationships/hyperlink" Target="https://www.westmeathindependent.ie/2020/07/24/e15m-fund-for-peatland-rehabilitation-announced/" TargetMode="External"/><Relationship Id="rId452" Type="http://schemas.openxmlformats.org/officeDocument/2006/relationships/hyperlink" Target="https://budget.gov.au/2021-22/content/download/glossy_jobs.pdf" TargetMode="External"/><Relationship Id="rId473" Type="http://schemas.openxmlformats.org/officeDocument/2006/relationships/hyperlink" Target="https://treasury.gov.au/coronavirus/homebuilder" TargetMode="External"/><Relationship Id="rId30" Type="http://schemas.openxmlformats.org/officeDocument/2006/relationships/hyperlink" Target="http://antigo.mme.gov.br/documents/36074/1045888/Resolu%C3%A7%C3%A3o_CNPE_3_2020.pdf/c9401c5b-11b4-e53a-7cef-a6a4838f8d29" TargetMode="External"/><Relationship Id="rId105" Type="http://schemas.openxmlformats.org/officeDocument/2006/relationships/hyperlink" Target="http://aplikace.mvcr.cz/sbirka-zakonu/ViewFile.aspx?type=c&amp;id=39075" TargetMode="External"/><Relationship Id="rId126" Type="http://schemas.openxmlformats.org/officeDocument/2006/relationships/hyperlink" Target="https://de.reuters.com/article/us-germany-autos/germany-to-up-financial-aid-for-cars-sector-government-sources-idUSKBN27X1S9" TargetMode="External"/><Relationship Id="rId147" Type="http://schemas.openxmlformats.org/officeDocument/2006/relationships/hyperlink" Target="https://www.lamoncloa.gob.es/temas/fondos-recuperacion/Documents/160621-Plan_Recuperacion_Transformacion_Resiliencia.pdf%20page%20146)" TargetMode="External"/><Relationship Id="rId168" Type="http://schemas.openxmlformats.org/officeDocument/2006/relationships/hyperlink" Target="https://www.lamoncloa.gob.es/temas/fondos-recuperacion/Documents/160621-Plan_Recuperacion_Transformacion_Resiliencia.pdf%20(pag%20153)" TargetMode="External"/><Relationship Id="rId312" Type="http://schemas.openxmlformats.org/officeDocument/2006/relationships/hyperlink" Target="http://nfosigw.gov.pl/o-nfosigw/aktualnosci/art,1697,wsparcie-nfosigw-na-modernizacje-oswietlenia-zewnetrznego-w-pieciu-wojewodztwach.html" TargetMode="External"/><Relationship Id="rId333" Type="http://schemas.openxmlformats.org/officeDocument/2006/relationships/hyperlink" Target="https://www.portugal.gov.pt/pt/gc22/comunicacao/documento?i=recuperar-portugal-construindo-o-futuro-plano-de-recuperacao-e-resiliencia" TargetMode="External"/><Relationship Id="rId354" Type="http://schemas.openxmlformats.org/officeDocument/2006/relationships/hyperlink" Target="https://www.planobnovy.sk/files/dokumenty/kompletny-plan_obnovy.pdf" TargetMode="External"/><Relationship Id="rId51" Type="http://schemas.openxmlformats.org/officeDocument/2006/relationships/hyperlink" Target="https://www.canada.ca/en/department-finance/news/2021/04/details-of-financial-support-to-air-canada.html" TargetMode="External"/><Relationship Id="rId72" Type="http://schemas.openxmlformats.org/officeDocument/2006/relationships/hyperlink" Target="https://www.bnamericas.com/en/news/colombia-consolidated-the-reactivation-of-4g-highways-during-2020" TargetMode="External"/><Relationship Id="rId93" Type="http://schemas.openxmlformats.org/officeDocument/2006/relationships/hyperlink" Target="http://www.planobnovycr.cz/" TargetMode="External"/><Relationship Id="rId189" Type="http://schemas.openxmlformats.org/officeDocument/2006/relationships/hyperlink" Target="https://ec.europa.eu/commission/presscorner/detail/en/IP_20_1032%20(31%20August%202020)" TargetMode="External"/><Relationship Id="rId375" Type="http://schemas.openxmlformats.org/officeDocument/2006/relationships/hyperlink" Target="https://www.energy.ca.gov/news/2020-05/geothermal-lithium-recovery-projects-get-boost-california-energy-commission" TargetMode="External"/><Relationship Id="rId396" Type="http://schemas.openxmlformats.org/officeDocument/2006/relationships/hyperlink" Target="https://www.whitehouse.gov/briefing-room/statements-releases/2021/03/31/fact-sheet-the-american-jobs-plan/" TargetMode="External"/><Relationship Id="rId3" Type="http://schemas.openxmlformats.org/officeDocument/2006/relationships/hyperlink" Target="https://www.awe.gov.au/sites/default/files/2020-10/budget-2020-21_cultivating-profitable-and-resilient-agricultural-businesses.pdf" TargetMode="External"/><Relationship Id="rId214" Type="http://schemas.openxmlformats.org/officeDocument/2006/relationships/hyperlink" Target="https://ec.europa.eu/commission/presscorner/detail/en/ip_20_809" TargetMode="External"/><Relationship Id="rId235" Type="http://schemas.openxmlformats.org/officeDocument/2006/relationships/hyperlink" Target="https://www.gov.ie/en/publication/49b23-overview-of-economic-recovery-plan-2021/" TargetMode="External"/><Relationship Id="rId256" Type="http://schemas.openxmlformats.org/officeDocument/2006/relationships/hyperlink" Target="https://www.env.go.jp/en/earth/cc/adaptation.html" TargetMode="External"/><Relationship Id="rId277" Type="http://schemas.openxmlformats.org/officeDocument/2006/relationships/hyperlink" Target="https://bankwatch.org/wp-content/uploads/2021/04/2021-04-27_Latvian-RRF-assessment_final.pdf,%20part%20of%20NRRP" TargetMode="External"/><Relationship Id="rId298" Type="http://schemas.openxmlformats.org/officeDocument/2006/relationships/hyperlink" Target="https://dziennikustaw.gov.pl/D2020000069501.pdfhttps:/wyborcza.pl/7,155287,25821533,sa-juz-gotowe-projekty-ustaw-o-pomocy-pracownikom-i-firmom.html" TargetMode="External"/><Relationship Id="rId400" Type="http://schemas.openxmlformats.org/officeDocument/2006/relationships/hyperlink" Target="http://www.treasury.gov.za/comm_media/press/2020/20200423%20Media%20statement%20-%20Further%20tax%20measures%20to%20combat%20COVID-19.pdf%20;" TargetMode="External"/><Relationship Id="rId421" Type="http://schemas.openxmlformats.org/officeDocument/2006/relationships/hyperlink" Target="https://www.energypolicytracker.org/country/russia" TargetMode="External"/><Relationship Id="rId442" Type="http://schemas.openxmlformats.org/officeDocument/2006/relationships/hyperlink" Target="https://www.gov.pl/web/ncbr/10521pup40---magazynowanie-ciepla-i-chlodu" TargetMode="External"/><Relationship Id="rId463" Type="http://schemas.openxmlformats.org/officeDocument/2006/relationships/hyperlink" Target="https://budget.gov.au/2021-22/content/bp2/download/bp2_2021-22.pdf" TargetMode="External"/><Relationship Id="rId116" Type="http://schemas.openxmlformats.org/officeDocument/2006/relationships/hyperlink" Target="https://www.bundesfinanzministerium.de/Content/DE/Standardartikel/Themen/Schlaglichter/Konjunkturpaket/2020-06-03-eckpunktepapier.pdf?__blob=publicationFile" TargetMode="External"/><Relationship Id="rId137" Type="http://schemas.openxmlformats.org/officeDocument/2006/relationships/hyperlink" Target="https://fm.dk/media/18776/factsheet-on-the-danish-recovery-and-resilience-plan-in-english.pdf" TargetMode="External"/><Relationship Id="rId158" Type="http://schemas.openxmlformats.org/officeDocument/2006/relationships/hyperlink" Target="https://www.lamoncloa.gob.es/temas/fondos-recuperacion/Documents/160621-Plan_Recuperacion_Transformacion_Resiliencia.pdf%20page%20149)" TargetMode="External"/><Relationship Id="rId302" Type="http://schemas.openxmlformats.org/officeDocument/2006/relationships/hyperlink" Target="https://www.gov.pl/web/klimat/ustawa-offshore-przyjeta-przez-senat" TargetMode="External"/><Relationship Id="rId323" Type="http://schemas.openxmlformats.org/officeDocument/2006/relationships/hyperlink" Target="https://www.portugal.gov.pt/pt/gc22/comunicacao/documento?i=recuperar-portugal-construindo-o-futuro-plano-de-recuperacao-e-resiliencia" TargetMode="External"/><Relationship Id="rId344" Type="http://schemas.openxmlformats.org/officeDocument/2006/relationships/hyperlink" Target="https://www.planobnovy.sk/files/dokumenty/kompletny-plan_obnovy.pdf" TargetMode="External"/><Relationship Id="rId20" Type="http://schemas.openxmlformats.org/officeDocument/2006/relationships/hyperlink" Target="https://www.gov.br/casacivil/pt-br/assuntos/noticias/2020/outubro/decreto-institui-a-estrategia-federal-de-desenvolvimento-para-o-brasil-ate-2031" TargetMode="External"/><Relationship Id="rId41" Type="http://schemas.openxmlformats.org/officeDocument/2006/relationships/hyperlink" Target="https://news.ontario.ca/en/release/59352/ontario-to-be-national-leader-and-require-cleaner-and-greener-gasoline" TargetMode="External"/><Relationship Id="rId62" Type="http://schemas.openxmlformats.org/officeDocument/2006/relationships/hyperlink" Target="https://ingresosolidario.prosperidadsocial.gov.co/" TargetMode="External"/><Relationship Id="rId83" Type="http://schemas.openxmlformats.org/officeDocument/2006/relationships/hyperlink" Target="https://recovery.smithschool.ox.ac.uk/tracking/" TargetMode="External"/><Relationship Id="rId179" Type="http://schemas.openxmlformats.org/officeDocument/2006/relationships/hyperlink" Target="https://www.emta.ee/eng/business-client/excise-duties-assets-gambling/about-excise-duties/rates-excise-duty" TargetMode="External"/><Relationship Id="rId365" Type="http://schemas.openxmlformats.org/officeDocument/2006/relationships/hyperlink" Target="https://www.resmigazete.gov.tr/eskiler/2021/02/20210202-8.pdf" TargetMode="External"/><Relationship Id="rId386" Type="http://schemas.openxmlformats.org/officeDocument/2006/relationships/hyperlink" Target="https://www.onegreenplanet.org/environment/21-states-sue-trump-administration-for-rollback-of-nepa/" TargetMode="External"/><Relationship Id="rId190" Type="http://schemas.openxmlformats.org/officeDocument/2006/relationships/hyperlink" Target="https://assets.website-files.com/602e4a891047f739eaf5dfad/608a7e1b454396802342aa19_Finland_Green%20Recovery%20Tracker%20Report.pdf" TargetMode="External"/><Relationship Id="rId204" Type="http://schemas.openxmlformats.org/officeDocument/2006/relationships/hyperlink" Target="https://www.building.co.uk/comment/the-green-homes-grant-fiasco-is-such-a-missed-opportunity/5110351.article" TargetMode="External"/><Relationship Id="rId225" Type="http://schemas.openxmlformats.org/officeDocument/2006/relationships/hyperlink" Target="https://www.palyazat.gov.hu/ginop-1214-20-divat-s-dizjnipari-mikro-kis-s-kzpvllalkozsok-modern-zleti-s-termelsi-kihvsokhoz-val-alkalmazkodst-segt-fejlesztsek-tmogatsa-1" TargetMode="External"/><Relationship Id="rId246" Type="http://schemas.openxmlformats.org/officeDocument/2006/relationships/hyperlink" Target="https://www.stjornarradid.is/efst-a-baugi/frettir/stok-frett/2020/10/13/3-milljarda-krona-aukning-til-loftslagsmala/" TargetMode="External"/><Relationship Id="rId267" Type="http://schemas.openxmlformats.org/officeDocument/2006/relationships/hyperlink" Target="https://www.imf.org/en/Topics/imf-and-covid19/Policy-Responses-to-COVID-19" TargetMode="External"/><Relationship Id="rId288" Type="http://schemas.openxmlformats.org/officeDocument/2006/relationships/hyperlink" Target="https://www.urgenda.nl/en/themas/climate-case/dutch-implementation-plan/" TargetMode="External"/><Relationship Id="rId411" Type="http://schemas.openxmlformats.org/officeDocument/2006/relationships/hyperlink" Target="https://www.energypolicytracker.org/country/russia" TargetMode="External"/><Relationship Id="rId432" Type="http://schemas.openxmlformats.org/officeDocument/2006/relationships/hyperlink" Target="https://energy.economictimes.indiatimes.com/news/power/maharashtra-energy-department-to-spend-rs-2500-crore-a-year-on-msedcl/80321297" TargetMode="External"/><Relationship Id="rId453" Type="http://schemas.openxmlformats.org/officeDocument/2006/relationships/hyperlink" Target="https://arena.gov.au/news/arena-welcomes-expanded-mandate-to-support-the-next-generation-of-clean-energy-technologies/" TargetMode="External"/><Relationship Id="rId474" Type="http://schemas.openxmlformats.org/officeDocument/2006/relationships/hyperlink" Target="https://archive.budget.gov.au/2020-21/bp2/download/bp2_complete.pdf" TargetMode="External"/><Relationship Id="rId106" Type="http://schemas.openxmlformats.org/officeDocument/2006/relationships/hyperlink" Target="http://aplikace.mvcr.cz/sbirka-zakonu/ViewFile.aspx?type=c&amp;id=39029" TargetMode="External"/><Relationship Id="rId127" Type="http://schemas.openxmlformats.org/officeDocument/2006/relationships/hyperlink" Target="https://de.reuters.com/article/us-germany-autos/germany-to-up-financial-aid-for-cars-sector-government-sources-idUSKBN27X1S7" TargetMode="External"/><Relationship Id="rId313" Type="http://schemas.openxmlformats.org/officeDocument/2006/relationships/hyperlink" Target="https://biznes.wprost.pl/koronawirus/tarcza-antykryzysowa/10434518/miliard-zlotych-pozyczki-dla-pgg-rada-ministrow-wydala-zgode.html" TargetMode="External"/><Relationship Id="rId10" Type="http://schemas.openxmlformats.org/officeDocument/2006/relationships/hyperlink" Target="https://agenciadenoticias.bndes.gov.br/detalhe/noticia/Fundo-para-eficiencia-energetica-do-BNDES-recebera-aporte-de-R$-30-milhoes-do-Procel/" TargetMode="External"/><Relationship Id="rId31" Type="http://schemas.openxmlformats.org/officeDocument/2006/relationships/hyperlink" Target="http://antigo.mme.gov.br/documents/36074/1045888/Resolu%C3%A7%C3%A3o_CNPE_4_2020.pdf/12636987-c33d-7573-539d-446609e1c122" TargetMode="External"/><Relationship Id="rId52" Type="http://schemas.openxmlformats.org/officeDocument/2006/relationships/hyperlink" Target="https://www.canada.ca/en/natural-resources-canada/news/2021/04/canada-and-fcm-combat-climate-change-by-investing-in-retrofits-for-community-buildings.html" TargetMode="External"/><Relationship Id="rId73" Type="http://schemas.openxmlformats.org/officeDocument/2006/relationships/hyperlink" Target="https://id.presidencia.gov.co/Paginas/prensa/2020/Nace-el-nuevo-Compromiso-por-el-Futuro-de-Colombia-200807.aspx" TargetMode="External"/><Relationship Id="rId94" Type="http://schemas.openxmlformats.org/officeDocument/2006/relationships/hyperlink" Target="http://www.planobnovycr.cz/" TargetMode="External"/><Relationship Id="rId148" Type="http://schemas.openxmlformats.org/officeDocument/2006/relationships/hyperlink" Target="https://www.lamoncloa.gob.es/temas/fondos-recuperacion/Documents/160621-Plan_Recuperacion_Transformacion_Resiliencia.pdf%20page%20146)" TargetMode="External"/><Relationship Id="rId169" Type="http://schemas.openxmlformats.org/officeDocument/2006/relationships/hyperlink" Target="https://www.lamoncloa.gob.es/temas/fondos-recuperacion/Documents/160621-Plan_Recuperacion_Transformacion_Resiliencia.pdf%20(pag%20153)" TargetMode="External"/><Relationship Id="rId334" Type="http://schemas.openxmlformats.org/officeDocument/2006/relationships/hyperlink" Target="https://www.portugal.gov.pt/pt/gc22/comunicacao/documento?i=recuperar-portugal-construindo-o-futuro-plano-de-recuperacao-e-resiliencia" TargetMode="External"/><Relationship Id="rId355" Type="http://schemas.openxmlformats.org/officeDocument/2006/relationships/hyperlink" Target="https://www.planobnovy.sk/files/dokumenty/kompletny-plan_obnovy.pdf" TargetMode="External"/><Relationship Id="rId376" Type="http://schemas.openxmlformats.org/officeDocument/2006/relationships/hyperlink" Target="https://joebiden.com/BeyondHS/" TargetMode="External"/><Relationship Id="rId397" Type="http://schemas.openxmlformats.org/officeDocument/2006/relationships/hyperlink" Target="https://www.whitehouse.gov/briefing-room/statements-releases/2021/03/31/fact-sheet-the-american-jobs-plan/" TargetMode="External"/><Relationship Id="rId4" Type="http://schemas.openxmlformats.org/officeDocument/2006/relationships/hyperlink" Target="https://www.awe.gov.au/sites/default/files/2020-10/budget-2020-21_protecting-our-iconic-places.pdf" TargetMode="External"/><Relationship Id="rId180" Type="http://schemas.openxmlformats.org/officeDocument/2006/relationships/hyperlink" Target="https://news.err.ee/1135630/government-to-fund-purchase-of-electric-buses-and-charging-posts" TargetMode="External"/><Relationship Id="rId215" Type="http://schemas.openxmlformats.org/officeDocument/2006/relationships/hyperlink" Target="https://covid19.gov.gr/prostheti-stirixi-stous-ekmisthotes-akiniton-meso-tis-paratasis-ton-prothesmion-katavolis-veveomenon-ofilon-ke-doseon-rythmiseon-tis-anastolis-ispraxis-lixiprothesmon-ofilon-ke-tou-sympsifismou-kat/" TargetMode="External"/><Relationship Id="rId236" Type="http://schemas.openxmlformats.org/officeDocument/2006/relationships/hyperlink" Target="https://www.gov.ie/en/publication/d4939-national-recovery-and-resilience-plan-2021/" TargetMode="External"/><Relationship Id="rId257" Type="http://schemas.openxmlformats.org/officeDocument/2006/relationships/hyperlink" Target="https://www5.cao.go.jp/keizai1/keizaitaisaku/2020-2/20201208_economic_measures.pdf" TargetMode="External"/><Relationship Id="rId278" Type="http://schemas.openxmlformats.org/officeDocument/2006/relationships/hyperlink" Target="https://www.greenrecoverytracker.org/country-reports/latvia" TargetMode="External"/><Relationship Id="rId401" Type="http://schemas.openxmlformats.org/officeDocument/2006/relationships/hyperlink" Target="https://www.environment.gov.za/speech/sotyu_onlinesustainabilitysummit2020" TargetMode="External"/><Relationship Id="rId422" Type="http://schemas.openxmlformats.org/officeDocument/2006/relationships/hyperlink" Target="https://assets.website-files.com/602e4a891047f739eaf5dfad/608a7e1b454396802342aa19_Finland_Green%20Recovery%20Tracker%20Report.pdf" TargetMode="External"/><Relationship Id="rId443" Type="http://schemas.openxmlformats.org/officeDocument/2006/relationships/hyperlink" Target="https://www.meti.go.jp/english/press/2021/0618_002.html" TargetMode="External"/><Relationship Id="rId464" Type="http://schemas.openxmlformats.org/officeDocument/2006/relationships/hyperlink" Target="https://budget.gov.au/2021-22/content/bp2/download/bp2_2021-22.pdf" TargetMode="External"/><Relationship Id="rId303" Type="http://schemas.openxmlformats.org/officeDocument/2006/relationships/hyperlink" Target="https://www.gov.pl/web/fundusze-regiony/konkurs-dotacji-w-ramach-partnerskiej-inicjatywy-miast-dla-sieci-pilotazowych-w-latach-2017--2019" TargetMode="External"/><Relationship Id="rId42" Type="http://schemas.openxmlformats.org/officeDocument/2006/relationships/hyperlink" Target="https://www.saskatchewan.ca/government/news-and-media/2020/december/01/ten-per-cent-economic-recovery-rebate-now-in-effect-for-all-saskpower-customers" TargetMode="External"/><Relationship Id="rId84" Type="http://schemas.openxmlformats.org/officeDocument/2006/relationships/hyperlink" Target="https://recovery.smithschool.ox.ac.uk/tracking/" TargetMode="External"/><Relationship Id="rId138" Type="http://schemas.openxmlformats.org/officeDocument/2006/relationships/hyperlink" Target="https://www.miteco.gob.es/es/prensa/ultimas-noticias/la-nueva-factura-el%C3%A9ctrica-que-entrar%C3%A1-en-vigor-el-pr%C3%B3ximo-1-de-junio-fomentar%C3%A1-el-ahorro-energ%C3%A9tico-la-eficiencia-el-autoconsumo-y-el-despliegu/tcm:30-525865" TargetMode="External"/><Relationship Id="rId345" Type="http://schemas.openxmlformats.org/officeDocument/2006/relationships/hyperlink" Target="https://www.planobnovy.sk/files/dokumenty/kompletny-plan_obnovy.pdf" TargetMode="External"/><Relationship Id="rId387" Type="http://schemas.openxmlformats.org/officeDocument/2006/relationships/hyperlink" Target="https://eplanning.blm.gov/public_projects/102555/200241580/20024135/250030339/Coastal%20Plain%20Record%20of%20Decision.pdf" TargetMode="External"/><Relationship Id="rId191" Type="http://schemas.openxmlformats.org/officeDocument/2006/relationships/hyperlink" Target="https://www.economie.gouv.fr/files/files/directions_services/plan-de-relance/annexe-fiche-mesures.pdf" TargetMode="External"/><Relationship Id="rId205" Type="http://schemas.openxmlformats.org/officeDocument/2006/relationships/hyperlink" Target="https://www.instituteforgovernment.org.uk/explainers/governments-post-covid-19-stimulus-package" TargetMode="External"/><Relationship Id="rId247" Type="http://schemas.openxmlformats.org/officeDocument/2006/relationships/hyperlink" Target="https://www.stjornarradid.is/efst-a-baugi/frettir/stok-frett/2020/10/13/4-5-milljardar-i-eflingu-hringrasarhagkerfis-og-urbaetur-i-fraveitumalum/" TargetMode="External"/><Relationship Id="rId412" Type="http://schemas.openxmlformats.org/officeDocument/2006/relationships/hyperlink" Target="https://www.energypolicytracker.org/country/russia" TargetMode="External"/><Relationship Id="rId107" Type="http://schemas.openxmlformats.org/officeDocument/2006/relationships/hyperlink" Target="http://aplikace.mvcr.cz/sbirka-zakonu/ViewFile.aspx?type=c&amp;id=38998" TargetMode="External"/><Relationship Id="rId289" Type="http://schemas.openxmlformats.org/officeDocument/2006/relationships/hyperlink" Target="https://www.theguardian.com/world/2020/apr/24/dutch-officials-reveal-measures-to-cut-emissions-after-court-ruling" TargetMode="External"/><Relationship Id="rId454" Type="http://schemas.openxmlformats.org/officeDocument/2006/relationships/hyperlink" Target="https://budget.gov.au/2021-22/content/resilient.htm" TargetMode="External"/><Relationship Id="rId11" Type="http://schemas.openxmlformats.org/officeDocument/2006/relationships/hyperlink" Target="https://www.gov.br/anp/pt-br/canais_atendimento/imprensa/noticias-comunicados/reducao-de-royalties-para-empresas-de-pequeno-e-medio-portes-e-tema-de-workshop-1" TargetMode="External"/><Relationship Id="rId53" Type="http://schemas.openxmlformats.org/officeDocument/2006/relationships/hyperlink" Target="https://www.budget.gc.ca/2021/home-accueil-en.html" TargetMode="External"/><Relationship Id="rId149" Type="http://schemas.openxmlformats.org/officeDocument/2006/relationships/hyperlink" Target="https://www.lamoncloa.gob.es/temas/fondos-recuperacion/Documents/160621-Plan_Recuperacion_Transformacion_Resiliencia.pdf%20page%20146)" TargetMode="External"/><Relationship Id="rId314" Type="http://schemas.openxmlformats.org/officeDocument/2006/relationships/hyperlink" Target="http://nfosigw.gov.pl/o-nfosigw/aktualnosci/art,1798,wazne-zmiany-w-programie-czyste-powietrze-wycofanie-dotacji-na-kotly-weglowe-i-podwyzszenie-progow-dochodowych.html" TargetMode="External"/><Relationship Id="rId356" Type="http://schemas.openxmlformats.org/officeDocument/2006/relationships/hyperlink" Target="https://www.planobnovy.sk/files/dokumenty/kompletny-plan_obnovy.pdf" TargetMode="External"/><Relationship Id="rId398" Type="http://schemas.openxmlformats.org/officeDocument/2006/relationships/hyperlink" Target="https://www.transit.dot.gov/cares-act" TargetMode="External"/><Relationship Id="rId95" Type="http://schemas.openxmlformats.org/officeDocument/2006/relationships/hyperlink" Target="http://www.planobnovycr.cz/" TargetMode="External"/><Relationship Id="rId160" Type="http://schemas.openxmlformats.org/officeDocument/2006/relationships/hyperlink" Target="https://www.lamoncloa.gob.es/temas/fondos-recuperacion/Documents/160621-Plan_Recuperacion_Transformacion_Resiliencia.pdf%20page%20150)" TargetMode="External"/><Relationship Id="rId216" Type="http://schemas.openxmlformats.org/officeDocument/2006/relationships/hyperlink" Target="https://covid19.gov.gr/tamio-engyodosias-tis-ellinikis-anaptyxiakis-trapezas/" TargetMode="External"/><Relationship Id="rId423" Type="http://schemas.openxmlformats.org/officeDocument/2006/relationships/hyperlink" Target="https://www.rijksoverheid.nl/actueel/nieuws/2021/02/04/524-miljoen-vanuit-europa-voor-corona-herstel-landbouw" TargetMode="External"/><Relationship Id="rId258" Type="http://schemas.openxmlformats.org/officeDocument/2006/relationships/hyperlink" Target="https://english.kyodonews.net/news/2020/12/8a909b0c27bb-urgent-japan-to-compile-73-tril-yen-new-stimulus-package.html" TargetMode="External"/><Relationship Id="rId465" Type="http://schemas.openxmlformats.org/officeDocument/2006/relationships/hyperlink" Target="https://treasury.gov.au/sites/default/files/2020-12/HomeBuilder_extension_factsheet.pdf" TargetMode="External"/><Relationship Id="rId22" Type="http://schemas.openxmlformats.org/officeDocument/2006/relationships/hyperlink" Target="https://www.camara.leg.br/proposicoesWeb/fichadetramitacao?idProposicao=2252589" TargetMode="External"/><Relationship Id="rId64" Type="http://schemas.openxmlformats.org/officeDocument/2006/relationships/hyperlink" Target="https://coronaviruscolombia.gov.co/Covid19/acciones/acciones-de-vivienda.html" TargetMode="External"/><Relationship Id="rId118" Type="http://schemas.openxmlformats.org/officeDocument/2006/relationships/hyperlink" Target="https://www.bloomberg.com/news/articles/2020-06-05/germany-s-recovery-fund-gets-green-hue-with-its-focus-on-climate" TargetMode="External"/><Relationship Id="rId325" Type="http://schemas.openxmlformats.org/officeDocument/2006/relationships/hyperlink" Target="https://www.portugal.gov.pt/pt/gc22/comunicacao/documento?i=recuperar-portugal-construindo-o-futuro-plano-de-recuperacao-e-resiliencia" TargetMode="External"/><Relationship Id="rId367" Type="http://schemas.openxmlformats.org/officeDocument/2006/relationships/hyperlink" Target="https://www.federalregister.gov/documents/2020/06/09/2020-12584/accelerating-the-nations-economic-recovery-from-the-covid-19-emergency-by-expediting-infrastructure" TargetMode="External"/><Relationship Id="rId171" Type="http://schemas.openxmlformats.org/officeDocument/2006/relationships/hyperlink" Target="https://www.lamoncloa.gob.es/temas/fondos-recuperacion/Documents/160621-Plan_Recuperacion_Transformacion_Resiliencia.pdf%20(pag%20153)" TargetMode="External"/><Relationship Id="rId227" Type="http://schemas.openxmlformats.org/officeDocument/2006/relationships/hyperlink" Target="https://home.kpmg/xx/en/home/insights/2020/04/india-government-and-institution-measures-in-response-to-covid.html" TargetMode="External"/><Relationship Id="rId269" Type="http://schemas.openxmlformats.org/officeDocument/2006/relationships/hyperlink" Target="https://www.lrt.lt/en/news-in-english/19/1179830/lithuania-unveils-eur6-3bn-dna-of-the-future-economic-stimulus-plan" TargetMode="External"/><Relationship Id="rId434" Type="http://schemas.openxmlformats.org/officeDocument/2006/relationships/hyperlink" Target="https://wfosigw.pl/porgramy_i_konkursy/2021-oz-1-unieszkodliwianie-zakaznych-odpadow-medycznych-w-zwiazku-z-przeciwdzialaniem-covid-19/" TargetMode="External"/><Relationship Id="rId476" Type="http://schemas.openxmlformats.org/officeDocument/2006/relationships/printerSettings" Target="../printerSettings/printerSettings4.bin"/><Relationship Id="rId33" Type="http://schemas.openxmlformats.org/officeDocument/2006/relationships/hyperlink" Target="http://antigo.mme.gov.br/documents/36074/1045888/Resolu%C3%A7%C3%A3o_6_CNPE_Prorroga%C3%A7%C3%A3o_Contratos.pdf/d672337f-96c1-6452-dd21-bcb864a96ed2" TargetMode="External"/><Relationship Id="rId129" Type="http://schemas.openxmlformats.org/officeDocument/2006/relationships/hyperlink" Target="https://de.reuters.com/article/us-germany-autos/germany-to-up-financial-aid-for-cars-sector-government-sources-idUSKBN27X1S7" TargetMode="External"/><Relationship Id="rId280" Type="http://schemas.openxmlformats.org/officeDocument/2006/relationships/hyperlink" Target="https://www.greenrecoverytracker.org/country-reports/latvia" TargetMode="External"/><Relationship Id="rId336" Type="http://schemas.openxmlformats.org/officeDocument/2006/relationships/hyperlink" Target="https://www.portugal.gov.pt/pt/gc22/comunicacao/documento?i=recuperar-portugal-construindo-o-futuro-plano-de-recuperacao-e-resiliencia" TargetMode="External"/><Relationship Id="rId75" Type="http://schemas.openxmlformats.org/officeDocument/2006/relationships/hyperlink" Target="https://www.mincit.gov.co/prensa/noticias/documentos-noticias/ley-2068-del-31-de-diciembre-de-2020.aspx" TargetMode="External"/><Relationship Id="rId140" Type="http://schemas.openxmlformats.org/officeDocument/2006/relationships/hyperlink" Target="https://www.xunta.gal/notas-de-prensa/-/nova/54020/xunta-licita-senda-peatonal-ciclista-carretera-531-lugar-devesa-ayuntamiento?langId=es_ES" TargetMode="External"/><Relationship Id="rId182" Type="http://schemas.openxmlformats.org/officeDocument/2006/relationships/hyperlink" Target="https://www.consilium.europa.eu/media/45109/210720-euco-final-conclusions-en.pdf" TargetMode="External"/><Relationship Id="rId378" Type="http://schemas.openxmlformats.org/officeDocument/2006/relationships/hyperlink" Target="https://news.bloombergtax.com/daily-tax-report/u-s-treasury-extends-deadlines-for-renewable-energy-projects" TargetMode="External"/><Relationship Id="rId403" Type="http://schemas.openxmlformats.org/officeDocument/2006/relationships/hyperlink" Target="https://pmg.org.za/committee-meeting/30523/" TargetMode="External"/><Relationship Id="rId6" Type="http://schemas.openxmlformats.org/officeDocument/2006/relationships/hyperlink" Target="https://budget.gov.au/2021-22/content/download/glossy_jobs.pdf" TargetMode="External"/><Relationship Id="rId238" Type="http://schemas.openxmlformats.org/officeDocument/2006/relationships/hyperlink" Target="https://www.gov.ie/en/press-release/c4f6e-5m-additional-funding-for-litter-prevention-and-cleaning-as-ireland-prepares-for-an-outdoor-summer/" TargetMode="External"/><Relationship Id="rId445" Type="http://schemas.openxmlformats.org/officeDocument/2006/relationships/hyperlink" Target="https://www.gob.cl/chileserecupera/" TargetMode="External"/><Relationship Id="rId291" Type="http://schemas.openxmlformats.org/officeDocument/2006/relationships/hyperlink" Target="https://www.belastingdienst.nl/wps/wcm/connect/nl/coronavirus/content/voor-welke-belastingen-kunt-u-bijzonder-uitstel-van-betaling-aanvragen" TargetMode="External"/><Relationship Id="rId305" Type="http://schemas.openxmlformats.org/officeDocument/2006/relationships/hyperlink" Target="https://www.gov.pl/web/aktywa-panstwowe/porozumienie-w-sprawie-transformacji-i-przyszlosci-gornictwa-podpisane%20(accessed%2028%20Sep%202020);" TargetMode="External"/><Relationship Id="rId347" Type="http://schemas.openxmlformats.org/officeDocument/2006/relationships/hyperlink" Target="https://www.planobnovy.sk/files/dokumenty/kompletny-plan_obnovy.pdf" TargetMode="External"/><Relationship Id="rId44" Type="http://schemas.openxmlformats.org/officeDocument/2006/relationships/hyperlink" Target="https://news.gov.mb.ca/news/index.html?item=50539&amp;posted=2021-02-01" TargetMode="External"/><Relationship Id="rId86" Type="http://schemas.openxmlformats.org/officeDocument/2006/relationships/hyperlink" Target="https://www.funcionpublica.gov.co/eva/gestornormativo/norma.php?i=113699" TargetMode="External"/><Relationship Id="rId151"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389" Type="http://schemas.openxmlformats.org/officeDocument/2006/relationships/hyperlink" Target="https://oilprice.com/Energy/Crude-Oil/The-Cowboy-State-Looks-To-Stimulate-Oil-Drilling-With-Tax-Cuts.html" TargetMode="External"/><Relationship Id="rId193" Type="http://schemas.openxmlformats.org/officeDocument/2006/relationships/hyperlink" Target="https://www.gov.uk/government/news/735-million-to-boost-green-economic-recovery-in-automotive-sector" TargetMode="External"/><Relationship Id="rId207" Type="http://schemas.openxmlformats.org/officeDocument/2006/relationships/hyperlink" Target="https://assets.publishing.service.gov.uk/government/uploads/system/uploads/attachment_data/file/936567/10_POINT_PLAN_BOOKLET.pdf" TargetMode="External"/><Relationship Id="rId249" Type="http://schemas.openxmlformats.org/officeDocument/2006/relationships/hyperlink" Target="https://eodashboard.org/" TargetMode="External"/><Relationship Id="rId414" Type="http://schemas.openxmlformats.org/officeDocument/2006/relationships/hyperlink" Target="https://www.energypolicytracker.org/country/russia" TargetMode="External"/><Relationship Id="rId456" Type="http://schemas.openxmlformats.org/officeDocument/2006/relationships/hyperlink" Target="https://budget.gov.au/2021-22/content/bp2/download/bp2_2021-22.pd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7"/>
  <sheetViews>
    <sheetView workbookViewId="0">
      <selection activeCell="A27" sqref="A27:XFD27"/>
    </sheetView>
  </sheetViews>
  <sheetFormatPr defaultRowHeight="12.9" x14ac:dyDescent="0.2"/>
  <cols>
    <col min="1" max="1" width="12.5" style="18" bestFit="1" customWidth="1"/>
    <col min="2" max="2" width="16.125" style="7" bestFit="1" customWidth="1"/>
    <col min="3" max="3" width="37.875" style="2" customWidth="1"/>
  </cols>
  <sheetData>
    <row r="1" spans="1:3" x14ac:dyDescent="0.2">
      <c r="A1" s="7" t="s">
        <v>0</v>
      </c>
    </row>
    <row r="2" spans="1:3" x14ac:dyDescent="0.2">
      <c r="A2" s="7"/>
    </row>
    <row r="3" spans="1:3" ht="13.6" x14ac:dyDescent="0.25">
      <c r="A3" s="21" t="s">
        <v>1</v>
      </c>
      <c r="B3" s="22" t="s">
        <v>2</v>
      </c>
      <c r="C3" s="4" t="s">
        <v>3</v>
      </c>
    </row>
    <row r="4" spans="1:3" x14ac:dyDescent="0.2">
      <c r="A4" s="18" t="s">
        <v>4</v>
      </c>
      <c r="B4" s="23" t="s">
        <v>5</v>
      </c>
      <c r="C4" s="2" t="s">
        <v>6</v>
      </c>
    </row>
    <row r="5" spans="1:3" x14ac:dyDescent="0.2">
      <c r="A5" s="18" t="s">
        <v>7</v>
      </c>
      <c r="B5" s="20" t="s">
        <v>8</v>
      </c>
      <c r="C5" s="2" t="s">
        <v>9</v>
      </c>
    </row>
    <row r="6" spans="1:3" x14ac:dyDescent="0.2">
      <c r="A6" s="18" t="s">
        <v>10</v>
      </c>
      <c r="B6" s="9" t="s">
        <v>11</v>
      </c>
      <c r="C6" s="2" t="s">
        <v>12</v>
      </c>
    </row>
    <row r="7" spans="1:3" x14ac:dyDescent="0.2">
      <c r="A7" s="18" t="s">
        <v>13</v>
      </c>
      <c r="B7" s="23" t="s">
        <v>14</v>
      </c>
      <c r="C7" s="2" t="s">
        <v>15</v>
      </c>
    </row>
    <row r="8" spans="1:3" x14ac:dyDescent="0.2">
      <c r="A8" s="18" t="s">
        <v>16</v>
      </c>
      <c r="B8" s="23" t="s">
        <v>17</v>
      </c>
      <c r="C8" s="2" t="s">
        <v>18</v>
      </c>
    </row>
    <row r="9" spans="1:3" ht="25.85" x14ac:dyDescent="0.2">
      <c r="A9" s="18" t="s">
        <v>19</v>
      </c>
      <c r="B9" s="23" t="s">
        <v>20</v>
      </c>
      <c r="C9" s="2" t="s">
        <v>21</v>
      </c>
    </row>
    <row r="10" spans="1:3" ht="23.1" x14ac:dyDescent="0.2">
      <c r="A10" s="18" t="s">
        <v>22</v>
      </c>
      <c r="B10" s="23" t="s">
        <v>23</v>
      </c>
      <c r="C10" s="2" t="s">
        <v>24</v>
      </c>
    </row>
    <row r="11" spans="1:3" ht="23.1" x14ac:dyDescent="0.2">
      <c r="A11" s="18" t="s">
        <v>25</v>
      </c>
      <c r="B11" s="23" t="s">
        <v>26</v>
      </c>
      <c r="C11" s="206" t="s">
        <v>27</v>
      </c>
    </row>
    <row r="12" spans="1:3" ht="23.1" x14ac:dyDescent="0.2">
      <c r="A12" s="18" t="s">
        <v>28</v>
      </c>
      <c r="B12" s="23" t="s">
        <v>29</v>
      </c>
      <c r="C12" s="206"/>
    </row>
    <row r="13" spans="1:3" ht="23.1" x14ac:dyDescent="0.2">
      <c r="A13" s="18" t="s">
        <v>30</v>
      </c>
      <c r="B13" s="23" t="s">
        <v>31</v>
      </c>
      <c r="C13" s="206"/>
    </row>
    <row r="14" spans="1:3" x14ac:dyDescent="0.2">
      <c r="A14" s="18" t="s">
        <v>32</v>
      </c>
      <c r="B14" s="9" t="s">
        <v>33</v>
      </c>
      <c r="C14" s="2" t="s">
        <v>34</v>
      </c>
    </row>
    <row r="15" spans="1:3" x14ac:dyDescent="0.2">
      <c r="A15" s="18" t="s">
        <v>35</v>
      </c>
      <c r="B15" s="23" t="s">
        <v>36</v>
      </c>
      <c r="C15" s="206" t="s">
        <v>37</v>
      </c>
    </row>
    <row r="16" spans="1:3" x14ac:dyDescent="0.2">
      <c r="A16" s="18" t="s">
        <v>38</v>
      </c>
      <c r="B16" s="23" t="s">
        <v>39</v>
      </c>
      <c r="C16" s="206"/>
    </row>
    <row r="17" spans="1:22" x14ac:dyDescent="0.2">
      <c r="A17" s="18" t="s">
        <v>40</v>
      </c>
      <c r="B17" s="23" t="s">
        <v>41</v>
      </c>
    </row>
    <row r="18" spans="1:22" x14ac:dyDescent="0.2">
      <c r="A18" s="18" t="s">
        <v>42</v>
      </c>
      <c r="B18" s="24" t="s">
        <v>43</v>
      </c>
      <c r="C18" s="2" t="s">
        <v>44</v>
      </c>
    </row>
    <row r="19" spans="1:22" x14ac:dyDescent="0.2">
      <c r="A19" s="18" t="s">
        <v>45</v>
      </c>
      <c r="B19" s="23" t="s">
        <v>46</v>
      </c>
      <c r="C19" s="206" t="s">
        <v>47</v>
      </c>
    </row>
    <row r="20" spans="1:22" ht="23.1" x14ac:dyDescent="0.2">
      <c r="A20" s="18" t="s">
        <v>48</v>
      </c>
      <c r="B20" s="25" t="s">
        <v>49</v>
      </c>
      <c r="C20" s="206"/>
    </row>
    <row r="21" spans="1:22" ht="23.1" x14ac:dyDescent="0.2">
      <c r="A21" s="18" t="s">
        <v>50</v>
      </c>
      <c r="B21" s="26" t="s">
        <v>51</v>
      </c>
      <c r="C21" s="206"/>
    </row>
    <row r="27" spans="1:22" s="200" customFormat="1" ht="13.25" customHeight="1" x14ac:dyDescent="0.25">
      <c r="A27" s="37" t="s">
        <v>5553</v>
      </c>
      <c r="T27" s="201"/>
      <c r="V27" s="202"/>
    </row>
  </sheetData>
  <customSheetViews>
    <customSheetView guid="{9E1FDF60-6EDD-426D-BEDD-EF1B7062BA4A}">
      <selection activeCell="B17" sqref="B17"/>
      <pageMargins left="0" right="0" top="0" bottom="0" header="0" footer="0"/>
      <pageSetup paperSize="9" orientation="portrait" r:id="rId1"/>
    </customSheetView>
  </customSheetViews>
  <mergeCells count="3">
    <mergeCell ref="C11:C13"/>
    <mergeCell ref="C15:C16"/>
    <mergeCell ref="C19:C21"/>
  </mergeCell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'https://portal.oecd.org/eshare/env/pc/Deliverables/GreenRecoveryTaskForce/Database/II round - country files/[OECD_ENV_COVID-recovery-database_FINAL - ZAF.xlsx]selection lists'!#REF!</xm:f>
          </x14:formula1>
          <xm:sqref>I27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P27:Q27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J27:L27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G27:H27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E27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D27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57"/>
  <sheetViews>
    <sheetView zoomScale="70" zoomScaleNormal="70" workbookViewId="0">
      <pane xSplit="2" ySplit="1" topLeftCell="C2" activePane="bottomRight" state="frozen"/>
      <selection pane="topRight" activeCell="C1" sqref="C1"/>
      <selection pane="bottomLeft" activeCell="A2" sqref="A2"/>
      <selection pane="bottomRight" sqref="A1:XFD1048576"/>
    </sheetView>
  </sheetViews>
  <sheetFormatPr defaultColWidth="8.875" defaultRowHeight="11.55" x14ac:dyDescent="0.2"/>
  <cols>
    <col min="1" max="1" width="7.375" style="10" customWidth="1"/>
    <col min="2" max="2" width="5.5" style="10" customWidth="1"/>
    <col min="3" max="3" width="20.5" style="10" customWidth="1"/>
    <col min="4" max="4" width="8.875" style="10" customWidth="1"/>
    <col min="5" max="5" width="13.875" style="10" customWidth="1"/>
    <col min="6" max="6" width="13.5" style="10" customWidth="1"/>
    <col min="7" max="8" width="12.5" style="10" customWidth="1"/>
    <col min="9" max="9" width="12.5" style="39" customWidth="1"/>
    <col min="10" max="11" width="10" style="39" customWidth="1"/>
    <col min="12" max="12" width="97.5" style="39" customWidth="1"/>
    <col min="13" max="13" width="34.5" style="10" customWidth="1"/>
    <col min="14" max="14" width="12.375" style="10" customWidth="1"/>
    <col min="15" max="15" width="25.875" style="10" customWidth="1"/>
    <col min="16" max="16" width="13.625" style="10" customWidth="1"/>
    <col min="17" max="17" width="16.5" style="11" customWidth="1"/>
    <col min="18" max="18" width="19.5" style="11" customWidth="1"/>
    <col min="19" max="16384" width="8.875" style="10"/>
  </cols>
  <sheetData>
    <row r="1" spans="1:18" s="39" customFormat="1" ht="58.6" customHeight="1" thickBot="1" x14ac:dyDescent="0.25">
      <c r="A1" s="77" t="s">
        <v>5</v>
      </c>
      <c r="B1" s="78" t="s">
        <v>8</v>
      </c>
      <c r="C1" s="79" t="s">
        <v>11</v>
      </c>
      <c r="D1" s="77" t="s">
        <v>14</v>
      </c>
      <c r="E1" s="77" t="s">
        <v>17</v>
      </c>
      <c r="F1" s="77" t="s">
        <v>20</v>
      </c>
      <c r="G1" s="80" t="s">
        <v>26</v>
      </c>
      <c r="H1" s="80" t="s">
        <v>29</v>
      </c>
      <c r="I1" s="80" t="s">
        <v>31</v>
      </c>
      <c r="J1" s="204" t="s">
        <v>5554</v>
      </c>
      <c r="K1" s="204" t="s">
        <v>5555</v>
      </c>
      <c r="L1" s="79" t="s">
        <v>33</v>
      </c>
      <c r="M1" s="80" t="s">
        <v>117</v>
      </c>
      <c r="N1" s="80" t="s">
        <v>39</v>
      </c>
      <c r="O1" s="81" t="s">
        <v>118</v>
      </c>
      <c r="P1" s="80" t="s">
        <v>46</v>
      </c>
      <c r="Q1" s="82" t="s">
        <v>119</v>
      </c>
      <c r="R1" s="83" t="s">
        <v>51</v>
      </c>
    </row>
    <row r="2" spans="1:18" s="39" customFormat="1" ht="31.25" customHeight="1" x14ac:dyDescent="0.2">
      <c r="A2" s="39" t="s">
        <v>128</v>
      </c>
      <c r="B2" s="39" t="s">
        <v>56</v>
      </c>
      <c r="C2" s="39" t="s">
        <v>120</v>
      </c>
      <c r="D2" s="39" t="s">
        <v>121</v>
      </c>
      <c r="E2" s="39" t="s">
        <v>122</v>
      </c>
      <c r="F2" s="39" t="s">
        <v>129</v>
      </c>
      <c r="G2" s="39" t="s">
        <v>125</v>
      </c>
      <c r="L2" s="39" t="s">
        <v>130</v>
      </c>
      <c r="M2" s="39" t="s">
        <v>126</v>
      </c>
      <c r="O2" s="39" t="s">
        <v>55</v>
      </c>
      <c r="P2" s="39" t="s">
        <v>127</v>
      </c>
      <c r="Q2" s="40">
        <v>198</v>
      </c>
      <c r="R2" s="40">
        <v>139.99016445560207</v>
      </c>
    </row>
    <row r="3" spans="1:18" s="39" customFormat="1" ht="31.25" customHeight="1" x14ac:dyDescent="0.2">
      <c r="A3" s="39" t="s">
        <v>131</v>
      </c>
      <c r="B3" s="39" t="s">
        <v>56</v>
      </c>
      <c r="C3" s="39" t="s">
        <v>132</v>
      </c>
      <c r="D3" s="39" t="s">
        <v>121</v>
      </c>
      <c r="E3" s="39" t="s">
        <v>133</v>
      </c>
      <c r="F3" s="39" t="s">
        <v>5344</v>
      </c>
      <c r="G3" s="39" t="s">
        <v>134</v>
      </c>
      <c r="L3" s="39" t="s">
        <v>135</v>
      </c>
      <c r="M3" s="39" t="s">
        <v>126</v>
      </c>
      <c r="O3" s="39" t="s">
        <v>55</v>
      </c>
      <c r="P3" s="39" t="s">
        <v>127</v>
      </c>
      <c r="Q3" s="40">
        <v>10.3</v>
      </c>
      <c r="R3" s="40">
        <v>7.2823166358217248</v>
      </c>
    </row>
    <row r="4" spans="1:18" s="39" customFormat="1" ht="31.25" customHeight="1" x14ac:dyDescent="0.2">
      <c r="A4" s="39" t="s">
        <v>136</v>
      </c>
      <c r="B4" s="39" t="s">
        <v>56</v>
      </c>
      <c r="C4" s="39" t="s">
        <v>132</v>
      </c>
      <c r="D4" s="39" t="s">
        <v>137</v>
      </c>
      <c r="E4" s="39" t="s">
        <v>133</v>
      </c>
      <c r="F4" s="39" t="s">
        <v>138</v>
      </c>
      <c r="G4" s="39" t="s">
        <v>134</v>
      </c>
      <c r="L4" s="39" t="s">
        <v>139</v>
      </c>
      <c r="M4" s="39" t="s">
        <v>126</v>
      </c>
      <c r="O4" s="39" t="s">
        <v>55</v>
      </c>
      <c r="P4" s="39" t="s">
        <v>127</v>
      </c>
      <c r="Q4" s="40">
        <v>12</v>
      </c>
      <c r="R4" s="40">
        <v>8.4842523912486101</v>
      </c>
    </row>
    <row r="5" spans="1:18" s="39" customFormat="1" ht="31.25" customHeight="1" x14ac:dyDescent="0.2">
      <c r="A5" s="39" t="s">
        <v>140</v>
      </c>
      <c r="B5" s="39" t="s">
        <v>56</v>
      </c>
      <c r="C5" s="39" t="s">
        <v>132</v>
      </c>
      <c r="D5" s="39" t="s">
        <v>121</v>
      </c>
      <c r="E5" s="39" t="s">
        <v>133</v>
      </c>
      <c r="F5" s="39" t="s">
        <v>141</v>
      </c>
      <c r="G5" s="39" t="s">
        <v>134</v>
      </c>
      <c r="L5" s="39" t="s">
        <v>142</v>
      </c>
      <c r="M5" s="39" t="s">
        <v>126</v>
      </c>
      <c r="O5" s="39" t="s">
        <v>54</v>
      </c>
      <c r="P5" s="39" t="s">
        <v>127</v>
      </c>
      <c r="Q5" s="40">
        <v>8.1</v>
      </c>
      <c r="R5" s="40">
        <v>5.7268703640928118</v>
      </c>
    </row>
    <row r="6" spans="1:18" s="39" customFormat="1" ht="31.25" customHeight="1" x14ac:dyDescent="0.2">
      <c r="A6" s="39" t="s">
        <v>143</v>
      </c>
      <c r="B6" s="39" t="s">
        <v>56</v>
      </c>
      <c r="C6" s="39" t="s">
        <v>120</v>
      </c>
      <c r="D6" s="39" t="s">
        <v>121</v>
      </c>
      <c r="E6" s="39" t="s">
        <v>133</v>
      </c>
      <c r="F6" s="39" t="s">
        <v>144</v>
      </c>
      <c r="G6" s="39" t="s">
        <v>134</v>
      </c>
      <c r="L6" s="39" t="s">
        <v>145</v>
      </c>
      <c r="M6" s="76" t="s">
        <v>126</v>
      </c>
      <c r="O6" s="39" t="s">
        <v>55</v>
      </c>
      <c r="P6" s="39" t="s">
        <v>127</v>
      </c>
      <c r="Q6" s="40">
        <v>4</v>
      </c>
      <c r="R6" s="40">
        <v>2.8280841304162037</v>
      </c>
    </row>
    <row r="7" spans="1:18" s="39" customFormat="1" ht="31.25" customHeight="1" x14ac:dyDescent="0.2">
      <c r="A7" s="39" t="s">
        <v>146</v>
      </c>
      <c r="B7" s="39" t="s">
        <v>56</v>
      </c>
      <c r="C7" s="39" t="s">
        <v>120</v>
      </c>
      <c r="D7" s="39" t="s">
        <v>121</v>
      </c>
      <c r="E7" s="39" t="s">
        <v>147</v>
      </c>
      <c r="F7" s="39" t="s">
        <v>5345</v>
      </c>
      <c r="G7" s="39" t="s">
        <v>134</v>
      </c>
      <c r="L7" s="39" t="s">
        <v>149</v>
      </c>
      <c r="M7" s="39" t="s">
        <v>126</v>
      </c>
      <c r="O7" s="39" t="s">
        <v>52</v>
      </c>
      <c r="P7" s="39" t="s">
        <v>127</v>
      </c>
      <c r="Q7" s="40">
        <v>40</v>
      </c>
      <c r="R7" s="40">
        <v>28.280841304162035</v>
      </c>
    </row>
    <row r="8" spans="1:18" s="39" customFormat="1" ht="31.25" customHeight="1" x14ac:dyDescent="0.2">
      <c r="A8" s="39" t="s">
        <v>150</v>
      </c>
      <c r="B8" s="39" t="s">
        <v>56</v>
      </c>
      <c r="C8" s="39" t="s">
        <v>132</v>
      </c>
      <c r="D8" s="39" t="s">
        <v>121</v>
      </c>
      <c r="E8" s="39" t="s">
        <v>151</v>
      </c>
      <c r="F8" s="39" t="s">
        <v>5346</v>
      </c>
      <c r="G8" s="39" t="s">
        <v>152</v>
      </c>
      <c r="H8" s="39" t="s">
        <v>153</v>
      </c>
      <c r="L8" s="39" t="s">
        <v>154</v>
      </c>
      <c r="M8" s="39" t="s">
        <v>126</v>
      </c>
      <c r="O8" s="39" t="s">
        <v>52</v>
      </c>
      <c r="P8" s="39" t="s">
        <v>127</v>
      </c>
      <c r="Q8" s="40">
        <v>7.8</v>
      </c>
      <c r="R8" s="40">
        <v>5.5147640543115966</v>
      </c>
    </row>
    <row r="9" spans="1:18" s="39" customFormat="1" ht="31.25" customHeight="1" x14ac:dyDescent="0.2">
      <c r="A9" s="39" t="s">
        <v>156</v>
      </c>
      <c r="B9" s="39" t="s">
        <v>56</v>
      </c>
      <c r="C9" s="39" t="s">
        <v>120</v>
      </c>
      <c r="D9" s="39" t="s">
        <v>137</v>
      </c>
      <c r="E9" s="39" t="s">
        <v>133</v>
      </c>
      <c r="F9" s="39" t="s">
        <v>123</v>
      </c>
      <c r="G9" s="39" t="s">
        <v>158</v>
      </c>
      <c r="L9" s="39" t="s">
        <v>5347</v>
      </c>
      <c r="M9" s="39" t="s">
        <v>155</v>
      </c>
      <c r="O9" s="39" t="s">
        <v>55</v>
      </c>
      <c r="P9" s="39" t="s">
        <v>127</v>
      </c>
      <c r="Q9" s="40">
        <v>100</v>
      </c>
      <c r="R9" s="40">
        <v>70.702103260405096</v>
      </c>
    </row>
    <row r="10" spans="1:18" s="39" customFormat="1" ht="31.25" customHeight="1" x14ac:dyDescent="0.2">
      <c r="A10" s="39" t="s">
        <v>159</v>
      </c>
      <c r="B10" s="39" t="s">
        <v>56</v>
      </c>
      <c r="C10" s="39" t="s">
        <v>120</v>
      </c>
      <c r="D10" s="39" t="s">
        <v>160</v>
      </c>
      <c r="E10" s="39" t="s">
        <v>133</v>
      </c>
      <c r="F10" s="39" t="s">
        <v>161</v>
      </c>
      <c r="G10" s="39" t="s">
        <v>125</v>
      </c>
      <c r="H10" s="39" t="s">
        <v>162</v>
      </c>
      <c r="I10" s="39" t="s">
        <v>158</v>
      </c>
      <c r="L10" s="39" t="s">
        <v>163</v>
      </c>
      <c r="M10" s="39" t="s">
        <v>164</v>
      </c>
      <c r="O10" s="39" t="s">
        <v>53</v>
      </c>
      <c r="P10" s="39" t="s">
        <v>127</v>
      </c>
      <c r="Q10" s="40">
        <v>51800</v>
      </c>
      <c r="R10" s="40">
        <v>36623.689488889839</v>
      </c>
    </row>
    <row r="11" spans="1:18" s="39" customFormat="1" ht="31.25" customHeight="1" x14ac:dyDescent="0.2">
      <c r="A11" s="39" t="s">
        <v>165</v>
      </c>
      <c r="B11" s="39" t="s">
        <v>56</v>
      </c>
      <c r="C11" s="55" t="s">
        <v>120</v>
      </c>
      <c r="D11" s="55" t="s">
        <v>121</v>
      </c>
      <c r="E11" s="55" t="s">
        <v>166</v>
      </c>
      <c r="F11" s="54" t="s">
        <v>5348</v>
      </c>
      <c r="G11" s="39" t="s">
        <v>134</v>
      </c>
      <c r="J11" s="57"/>
      <c r="K11" s="57"/>
      <c r="L11" s="55" t="s">
        <v>167</v>
      </c>
      <c r="M11" s="84" t="s">
        <v>168</v>
      </c>
      <c r="N11" s="76" t="s">
        <v>169</v>
      </c>
      <c r="O11" s="39" t="s">
        <v>55</v>
      </c>
      <c r="P11" s="39" t="s">
        <v>127</v>
      </c>
      <c r="Q11" s="40">
        <v>680</v>
      </c>
      <c r="R11" s="40">
        <v>480.77430217075459</v>
      </c>
    </row>
    <row r="12" spans="1:18" s="39" customFormat="1" ht="31.25" customHeight="1" x14ac:dyDescent="0.2">
      <c r="A12" s="39" t="s">
        <v>170</v>
      </c>
      <c r="B12" s="39" t="s">
        <v>56</v>
      </c>
      <c r="C12" s="62" t="s">
        <v>171</v>
      </c>
      <c r="D12" s="55" t="s">
        <v>121</v>
      </c>
      <c r="E12" s="62" t="s">
        <v>172</v>
      </c>
      <c r="F12" s="62" t="s">
        <v>173</v>
      </c>
      <c r="G12" s="62" t="s">
        <v>158</v>
      </c>
      <c r="H12" s="62"/>
      <c r="I12" s="62"/>
      <c r="J12" s="61"/>
      <c r="K12" s="61"/>
      <c r="L12" s="55" t="s">
        <v>174</v>
      </c>
      <c r="M12" s="76" t="s">
        <v>175</v>
      </c>
      <c r="N12" s="85"/>
      <c r="O12" s="62" t="s">
        <v>55</v>
      </c>
      <c r="P12" s="39" t="s">
        <v>127</v>
      </c>
      <c r="Q12" s="86">
        <v>14.4</v>
      </c>
      <c r="R12" s="40">
        <v>10.181102869498334</v>
      </c>
    </row>
    <row r="13" spans="1:18" s="39" customFormat="1" ht="31.25" customHeight="1" x14ac:dyDescent="0.2">
      <c r="A13" s="39" t="s">
        <v>176</v>
      </c>
      <c r="B13" s="39" t="s">
        <v>56</v>
      </c>
      <c r="C13" s="55" t="s">
        <v>177</v>
      </c>
      <c r="D13" s="55" t="s">
        <v>121</v>
      </c>
      <c r="E13" s="62" t="s">
        <v>166</v>
      </c>
      <c r="F13" s="39" t="s">
        <v>178</v>
      </c>
      <c r="G13" s="62" t="s">
        <v>134</v>
      </c>
      <c r="H13" s="62"/>
      <c r="I13" s="62"/>
      <c r="J13" s="61"/>
      <c r="K13" s="61"/>
      <c r="L13" s="55" t="s">
        <v>179</v>
      </c>
      <c r="M13" s="85" t="s">
        <v>180</v>
      </c>
      <c r="N13" s="85"/>
      <c r="O13" s="62" t="s">
        <v>55</v>
      </c>
      <c r="P13" s="39" t="s">
        <v>127</v>
      </c>
      <c r="Q13" s="86">
        <v>40.6</v>
      </c>
      <c r="R13" s="40">
        <v>28.705053923724467</v>
      </c>
    </row>
    <row r="14" spans="1:18" s="39" customFormat="1" ht="31.25" customHeight="1" x14ac:dyDescent="0.2">
      <c r="A14" s="39" t="s">
        <v>181</v>
      </c>
      <c r="B14" s="39" t="s">
        <v>56</v>
      </c>
      <c r="C14" s="62" t="s">
        <v>120</v>
      </c>
      <c r="D14" s="55" t="s">
        <v>121</v>
      </c>
      <c r="E14" s="62" t="s">
        <v>133</v>
      </c>
      <c r="F14" s="39" t="s">
        <v>182</v>
      </c>
      <c r="G14" s="62" t="s">
        <v>134</v>
      </c>
      <c r="H14" s="62" t="s">
        <v>153</v>
      </c>
      <c r="I14" s="62"/>
      <c r="J14" s="61"/>
      <c r="K14" s="61"/>
      <c r="L14" s="55" t="s">
        <v>183</v>
      </c>
      <c r="M14" s="85" t="s">
        <v>180</v>
      </c>
      <c r="N14" s="85"/>
      <c r="O14" s="62" t="s">
        <v>55</v>
      </c>
      <c r="P14" s="39" t="s">
        <v>127</v>
      </c>
      <c r="Q14" s="86">
        <v>3.2</v>
      </c>
      <c r="R14" s="40">
        <v>2.2624673043329628</v>
      </c>
    </row>
    <row r="15" spans="1:18" s="39" customFormat="1" ht="31.25" customHeight="1" x14ac:dyDescent="0.2">
      <c r="A15" s="39" t="s">
        <v>184</v>
      </c>
      <c r="B15" s="39" t="s">
        <v>56</v>
      </c>
      <c r="C15" s="62" t="s">
        <v>120</v>
      </c>
      <c r="D15" s="55" t="s">
        <v>121</v>
      </c>
      <c r="E15" s="62" t="s">
        <v>133</v>
      </c>
      <c r="F15" s="39" t="s">
        <v>185</v>
      </c>
      <c r="G15" s="62" t="s">
        <v>158</v>
      </c>
      <c r="H15" s="62" t="s">
        <v>134</v>
      </c>
      <c r="I15" s="62"/>
      <c r="J15" s="61"/>
      <c r="K15" s="61"/>
      <c r="L15" s="55" t="s">
        <v>186</v>
      </c>
      <c r="M15" s="76" t="s">
        <v>180</v>
      </c>
      <c r="N15" s="85"/>
      <c r="O15" s="62" t="s">
        <v>55</v>
      </c>
      <c r="P15" s="39" t="s">
        <v>127</v>
      </c>
      <c r="Q15" s="86">
        <v>5.5</v>
      </c>
      <c r="R15" s="40">
        <v>3.8886156793222799</v>
      </c>
    </row>
    <row r="16" spans="1:18" s="39" customFormat="1" ht="31.25" customHeight="1" x14ac:dyDescent="0.2">
      <c r="A16" s="39" t="s">
        <v>187</v>
      </c>
      <c r="B16" s="39" t="s">
        <v>56</v>
      </c>
      <c r="C16" s="62" t="s">
        <v>188</v>
      </c>
      <c r="D16" s="55" t="s">
        <v>121</v>
      </c>
      <c r="E16" s="62" t="s">
        <v>133</v>
      </c>
      <c r="F16" s="39" t="s">
        <v>189</v>
      </c>
      <c r="G16" s="62" t="s">
        <v>158</v>
      </c>
      <c r="H16" s="62" t="s">
        <v>134</v>
      </c>
      <c r="I16" s="62"/>
      <c r="J16" s="61"/>
      <c r="K16" s="61"/>
      <c r="L16" s="55" t="s">
        <v>190</v>
      </c>
      <c r="M16" s="85" t="s">
        <v>180</v>
      </c>
      <c r="N16" s="85"/>
      <c r="O16" s="62" t="s">
        <v>55</v>
      </c>
      <c r="P16" s="39" t="s">
        <v>127</v>
      </c>
      <c r="Q16" s="86">
        <v>6</v>
      </c>
      <c r="R16" s="40">
        <v>4.242126195624305</v>
      </c>
    </row>
    <row r="17" spans="1:18" s="39" customFormat="1" ht="31.25" customHeight="1" x14ac:dyDescent="0.2">
      <c r="A17" s="39" t="s">
        <v>191</v>
      </c>
      <c r="B17" s="39" t="s">
        <v>56</v>
      </c>
      <c r="C17" s="62" t="s">
        <v>120</v>
      </c>
      <c r="D17" s="55" t="s">
        <v>121</v>
      </c>
      <c r="E17" s="62" t="s">
        <v>133</v>
      </c>
      <c r="F17" s="39" t="s">
        <v>192</v>
      </c>
      <c r="G17" s="62" t="s">
        <v>158</v>
      </c>
      <c r="H17" s="62" t="s">
        <v>134</v>
      </c>
      <c r="I17" s="62"/>
      <c r="J17" s="61"/>
      <c r="K17" s="61"/>
      <c r="L17" s="55" t="s">
        <v>193</v>
      </c>
      <c r="M17" s="85" t="s">
        <v>180</v>
      </c>
      <c r="N17" s="85"/>
      <c r="O17" s="62" t="s">
        <v>55</v>
      </c>
      <c r="P17" s="39" t="s">
        <v>127</v>
      </c>
      <c r="Q17" s="86">
        <v>11.2</v>
      </c>
      <c r="R17" s="40">
        <v>7.9186355651653697</v>
      </c>
    </row>
    <row r="18" spans="1:18" s="39" customFormat="1" ht="31.25" customHeight="1" x14ac:dyDescent="0.2">
      <c r="A18" s="39" t="s">
        <v>194</v>
      </c>
      <c r="B18" s="39" t="s">
        <v>56</v>
      </c>
      <c r="C18" s="62" t="s">
        <v>120</v>
      </c>
      <c r="D18" s="55" t="s">
        <v>121</v>
      </c>
      <c r="E18" s="62" t="s">
        <v>133</v>
      </c>
      <c r="F18" s="62" t="s">
        <v>195</v>
      </c>
      <c r="G18" s="62" t="s">
        <v>158</v>
      </c>
      <c r="H18" s="62"/>
      <c r="I18" s="62"/>
      <c r="J18" s="61"/>
      <c r="K18" s="61"/>
      <c r="L18" s="55" t="s">
        <v>196</v>
      </c>
      <c r="M18" s="85" t="s">
        <v>197</v>
      </c>
      <c r="N18" s="85"/>
      <c r="O18" s="62" t="s">
        <v>52</v>
      </c>
      <c r="P18" s="39" t="s">
        <v>127</v>
      </c>
      <c r="Q18" s="86">
        <v>5</v>
      </c>
      <c r="R18" s="40">
        <v>3.5351051630202543</v>
      </c>
    </row>
    <row r="19" spans="1:18" s="39" customFormat="1" ht="31.25" customHeight="1" x14ac:dyDescent="0.2">
      <c r="A19" s="39" t="s">
        <v>198</v>
      </c>
      <c r="B19" s="39" t="s">
        <v>56</v>
      </c>
      <c r="C19" s="55" t="s">
        <v>177</v>
      </c>
      <c r="D19" s="55" t="s">
        <v>121</v>
      </c>
      <c r="E19" s="62" t="s">
        <v>199</v>
      </c>
      <c r="F19" s="62" t="s">
        <v>200</v>
      </c>
      <c r="G19" s="62" t="s">
        <v>152</v>
      </c>
      <c r="H19" s="62"/>
      <c r="I19" s="62"/>
      <c r="J19" s="61"/>
      <c r="K19" s="61"/>
      <c r="L19" s="55" t="s">
        <v>201</v>
      </c>
      <c r="M19" s="85" t="s">
        <v>202</v>
      </c>
      <c r="N19" s="85"/>
      <c r="O19" s="62" t="s">
        <v>52</v>
      </c>
      <c r="P19" s="39" t="s">
        <v>127</v>
      </c>
      <c r="Q19" s="86">
        <v>59.6</v>
      </c>
      <c r="R19" s="40">
        <v>42.138453543201436</v>
      </c>
    </row>
    <row r="20" spans="1:18" s="39" customFormat="1" ht="31.25" customHeight="1" x14ac:dyDescent="0.2">
      <c r="A20" s="39" t="s">
        <v>203</v>
      </c>
      <c r="B20" s="39" t="s">
        <v>56</v>
      </c>
      <c r="C20" s="55" t="s">
        <v>177</v>
      </c>
      <c r="D20" s="55" t="s">
        <v>121</v>
      </c>
      <c r="E20" s="62" t="s">
        <v>199</v>
      </c>
      <c r="F20" s="62" t="s">
        <v>204</v>
      </c>
      <c r="G20" s="62" t="s">
        <v>152</v>
      </c>
      <c r="H20" s="62"/>
      <c r="I20" s="62"/>
      <c r="J20" s="61"/>
      <c r="K20" s="61"/>
      <c r="L20" s="55" t="s">
        <v>205</v>
      </c>
      <c r="M20" s="85" t="s">
        <v>202</v>
      </c>
      <c r="N20" s="85"/>
      <c r="O20" s="62" t="s">
        <v>52</v>
      </c>
      <c r="P20" s="39" t="s">
        <v>127</v>
      </c>
      <c r="Q20" s="86">
        <v>190</v>
      </c>
      <c r="R20" s="40">
        <v>134.33399619476967</v>
      </c>
    </row>
    <row r="21" spans="1:18" s="39" customFormat="1" ht="31.25" customHeight="1" x14ac:dyDescent="0.2">
      <c r="A21" s="39" t="s">
        <v>206</v>
      </c>
      <c r="B21" s="39" t="s">
        <v>56</v>
      </c>
      <c r="C21" s="55" t="s">
        <v>177</v>
      </c>
      <c r="D21" s="55" t="s">
        <v>121</v>
      </c>
      <c r="E21" s="62" t="s">
        <v>133</v>
      </c>
      <c r="F21" s="62" t="s">
        <v>207</v>
      </c>
      <c r="G21" s="62" t="s">
        <v>134</v>
      </c>
      <c r="H21" s="62" t="s">
        <v>208</v>
      </c>
      <c r="I21" s="62"/>
      <c r="J21" s="61"/>
      <c r="K21" s="61"/>
      <c r="L21" s="55" t="s">
        <v>209</v>
      </c>
      <c r="M21" s="85" t="s">
        <v>210</v>
      </c>
      <c r="N21" s="85"/>
      <c r="O21" s="62" t="s">
        <v>52</v>
      </c>
      <c r="P21" s="39" t="s">
        <v>127</v>
      </c>
      <c r="Q21" s="86">
        <v>2.5</v>
      </c>
      <c r="R21" s="40">
        <v>1.7675525815101272</v>
      </c>
    </row>
    <row r="22" spans="1:18" s="39" customFormat="1" ht="31.25" customHeight="1" x14ac:dyDescent="0.2">
      <c r="A22" s="39" t="s">
        <v>211</v>
      </c>
      <c r="B22" s="39" t="s">
        <v>56</v>
      </c>
      <c r="C22" s="62" t="s">
        <v>120</v>
      </c>
      <c r="D22" s="62" t="s">
        <v>160</v>
      </c>
      <c r="E22" s="62" t="s">
        <v>133</v>
      </c>
      <c r="F22" s="62" t="s">
        <v>212</v>
      </c>
      <c r="G22" s="62" t="s">
        <v>134</v>
      </c>
      <c r="H22" s="62" t="s">
        <v>153</v>
      </c>
      <c r="I22" s="62"/>
      <c r="J22" s="61"/>
      <c r="K22" s="61"/>
      <c r="L22" s="55" t="s">
        <v>213</v>
      </c>
      <c r="M22" s="85" t="s">
        <v>214</v>
      </c>
      <c r="N22" s="85"/>
      <c r="O22" s="62" t="s">
        <v>52</v>
      </c>
      <c r="P22" s="39" t="s">
        <v>127</v>
      </c>
      <c r="Q22" s="86">
        <v>37.6</v>
      </c>
      <c r="R22" s="40">
        <v>26.583990825912316</v>
      </c>
    </row>
    <row r="23" spans="1:18" s="39" customFormat="1" ht="31.25" customHeight="1" x14ac:dyDescent="0.2">
      <c r="A23" s="39" t="s">
        <v>215</v>
      </c>
      <c r="B23" s="39" t="s">
        <v>56</v>
      </c>
      <c r="C23" s="62" t="s">
        <v>120</v>
      </c>
      <c r="D23" s="62" t="s">
        <v>160</v>
      </c>
      <c r="E23" s="62" t="s">
        <v>133</v>
      </c>
      <c r="F23" s="62" t="s">
        <v>216</v>
      </c>
      <c r="G23" s="62" t="s">
        <v>134</v>
      </c>
      <c r="H23" s="62" t="s">
        <v>153</v>
      </c>
      <c r="I23" s="62"/>
      <c r="J23" s="61"/>
      <c r="K23" s="61"/>
      <c r="L23" s="55" t="s">
        <v>217</v>
      </c>
      <c r="M23" s="85" t="s">
        <v>214</v>
      </c>
      <c r="N23" s="85"/>
      <c r="O23" s="62" t="s">
        <v>52</v>
      </c>
      <c r="P23" s="39" t="s">
        <v>127</v>
      </c>
      <c r="Q23" s="86">
        <v>24.5</v>
      </c>
      <c r="R23" s="40">
        <v>17.322015298799247</v>
      </c>
    </row>
    <row r="24" spans="1:18" s="39" customFormat="1" ht="31.25" customHeight="1" x14ac:dyDescent="0.2">
      <c r="A24" s="39" t="s">
        <v>218</v>
      </c>
      <c r="B24" s="39" t="s">
        <v>56</v>
      </c>
      <c r="C24" s="55" t="s">
        <v>177</v>
      </c>
      <c r="D24" s="62" t="s">
        <v>160</v>
      </c>
      <c r="E24" s="62" t="s">
        <v>133</v>
      </c>
      <c r="F24" s="62" t="s">
        <v>219</v>
      </c>
      <c r="G24" s="62" t="s">
        <v>134</v>
      </c>
      <c r="H24" s="62"/>
      <c r="I24" s="62"/>
      <c r="J24" s="61"/>
      <c r="K24" s="61"/>
      <c r="L24" s="55" t="s">
        <v>220</v>
      </c>
      <c r="M24" s="85" t="s">
        <v>214</v>
      </c>
      <c r="N24" s="85"/>
      <c r="O24" s="62" t="s">
        <v>52</v>
      </c>
      <c r="P24" s="39" t="s">
        <v>127</v>
      </c>
      <c r="Q24" s="86">
        <v>4.2</v>
      </c>
      <c r="R24" s="40">
        <v>2.969488336937014</v>
      </c>
    </row>
    <row r="25" spans="1:18" s="39" customFormat="1" ht="31.25" customHeight="1" x14ac:dyDescent="0.2">
      <c r="A25" s="39" t="s">
        <v>221</v>
      </c>
      <c r="B25" s="39" t="s">
        <v>56</v>
      </c>
      <c r="C25" s="55" t="s">
        <v>177</v>
      </c>
      <c r="D25" s="62" t="s">
        <v>160</v>
      </c>
      <c r="E25" s="62" t="s">
        <v>133</v>
      </c>
      <c r="F25" s="62" t="s">
        <v>222</v>
      </c>
      <c r="G25" s="62" t="s">
        <v>134</v>
      </c>
      <c r="H25" s="62" t="s">
        <v>153</v>
      </c>
      <c r="I25" s="62"/>
      <c r="J25" s="61"/>
      <c r="K25" s="61"/>
      <c r="L25" s="55" t="s">
        <v>223</v>
      </c>
      <c r="M25" s="85" t="s">
        <v>224</v>
      </c>
      <c r="N25" s="85"/>
      <c r="O25" s="62" t="s">
        <v>52</v>
      </c>
      <c r="P25" s="39" t="s">
        <v>127</v>
      </c>
      <c r="Q25" s="86">
        <v>20</v>
      </c>
      <c r="R25" s="40">
        <v>14.140420652081017</v>
      </c>
    </row>
    <row r="26" spans="1:18" s="39" customFormat="1" ht="31.25" customHeight="1" x14ac:dyDescent="0.2">
      <c r="A26" s="39" t="s">
        <v>225</v>
      </c>
      <c r="B26" s="39" t="s">
        <v>56</v>
      </c>
      <c r="C26" s="55" t="s">
        <v>226</v>
      </c>
      <c r="D26" s="55" t="s">
        <v>160</v>
      </c>
      <c r="E26" s="55" t="s">
        <v>133</v>
      </c>
      <c r="F26" s="55" t="s">
        <v>227</v>
      </c>
      <c r="G26" s="55" t="s">
        <v>134</v>
      </c>
      <c r="H26" s="55" t="s">
        <v>208</v>
      </c>
      <c r="I26" s="57"/>
      <c r="J26" s="57"/>
      <c r="K26" s="57"/>
      <c r="L26" s="55" t="s">
        <v>228</v>
      </c>
      <c r="M26" s="87" t="s">
        <v>229</v>
      </c>
      <c r="N26" s="88"/>
      <c r="O26" s="62" t="s">
        <v>52</v>
      </c>
      <c r="P26" s="39" t="s">
        <v>127</v>
      </c>
      <c r="Q26" s="89">
        <v>23</v>
      </c>
      <c r="R26" s="40">
        <v>16.26148374989317</v>
      </c>
    </row>
    <row r="27" spans="1:18" s="39" customFormat="1" ht="31.25" customHeight="1" x14ac:dyDescent="0.2">
      <c r="A27" s="39" t="s">
        <v>230</v>
      </c>
      <c r="B27" s="39" t="s">
        <v>56</v>
      </c>
      <c r="C27" s="55" t="s">
        <v>120</v>
      </c>
      <c r="D27" s="55" t="s">
        <v>121</v>
      </c>
      <c r="E27" s="55" t="s">
        <v>151</v>
      </c>
      <c r="F27" s="55" t="s">
        <v>148</v>
      </c>
      <c r="G27" s="39" t="s">
        <v>125</v>
      </c>
      <c r="H27" s="39" t="s">
        <v>162</v>
      </c>
      <c r="J27" s="57"/>
      <c r="K27" s="57"/>
      <c r="L27" s="55" t="s">
        <v>231</v>
      </c>
      <c r="M27" s="84" t="s">
        <v>229</v>
      </c>
      <c r="N27" s="88"/>
      <c r="O27" s="62" t="s">
        <v>52</v>
      </c>
      <c r="P27" s="39" t="s">
        <v>127</v>
      </c>
      <c r="Q27" s="89">
        <v>10</v>
      </c>
      <c r="R27" s="40">
        <v>7.0702103260405087</v>
      </c>
    </row>
    <row r="28" spans="1:18" s="39" customFormat="1" ht="31.25" customHeight="1" x14ac:dyDescent="0.2">
      <c r="A28" s="39" t="s">
        <v>232</v>
      </c>
      <c r="B28" s="39" t="s">
        <v>56</v>
      </c>
      <c r="C28" s="55" t="s">
        <v>177</v>
      </c>
      <c r="D28" s="55" t="s">
        <v>160</v>
      </c>
      <c r="E28" s="55" t="s">
        <v>151</v>
      </c>
      <c r="F28" s="55" t="s">
        <v>189</v>
      </c>
      <c r="G28" s="39" t="s">
        <v>125</v>
      </c>
      <c r="H28" s="39" t="s">
        <v>162</v>
      </c>
      <c r="J28" s="57"/>
      <c r="K28" s="57"/>
      <c r="L28" s="55" t="s">
        <v>233</v>
      </c>
      <c r="M28" s="88" t="s">
        <v>229</v>
      </c>
      <c r="N28" s="88"/>
      <c r="O28" s="62" t="s">
        <v>52</v>
      </c>
      <c r="P28" s="39" t="s">
        <v>127</v>
      </c>
      <c r="Q28" s="89">
        <v>6</v>
      </c>
      <c r="R28" s="40">
        <v>4.242126195624305</v>
      </c>
    </row>
    <row r="29" spans="1:18" s="39" customFormat="1" ht="31.25" customHeight="1" x14ac:dyDescent="0.2">
      <c r="A29" s="39" t="s">
        <v>234</v>
      </c>
      <c r="B29" s="39" t="s">
        <v>56</v>
      </c>
      <c r="C29" s="55" t="s">
        <v>177</v>
      </c>
      <c r="D29" s="55" t="s">
        <v>160</v>
      </c>
      <c r="E29" s="55" t="s">
        <v>166</v>
      </c>
      <c r="F29" s="55" t="s">
        <v>235</v>
      </c>
      <c r="G29" s="54" t="s">
        <v>158</v>
      </c>
      <c r="H29" s="39" t="s">
        <v>134</v>
      </c>
      <c r="J29" s="57"/>
      <c r="K29" s="57"/>
      <c r="L29" s="55" t="s">
        <v>236</v>
      </c>
      <c r="M29" s="84" t="s">
        <v>229</v>
      </c>
      <c r="N29" s="88"/>
      <c r="O29" s="39" t="s">
        <v>52</v>
      </c>
      <c r="P29" s="39" t="s">
        <v>127</v>
      </c>
      <c r="Q29" s="89">
        <v>13</v>
      </c>
      <c r="R29" s="40">
        <v>9.1912734238526621</v>
      </c>
    </row>
    <row r="30" spans="1:18" s="39" customFormat="1" ht="31.25" customHeight="1" x14ac:dyDescent="0.2">
      <c r="A30" s="39" t="s">
        <v>237</v>
      </c>
      <c r="B30" s="39" t="s">
        <v>56</v>
      </c>
      <c r="C30" s="55" t="s">
        <v>226</v>
      </c>
      <c r="D30" s="55" t="s">
        <v>160</v>
      </c>
      <c r="E30" s="55" t="s">
        <v>133</v>
      </c>
      <c r="F30" s="55" t="s">
        <v>185</v>
      </c>
      <c r="G30" s="55" t="s">
        <v>158</v>
      </c>
      <c r="H30" s="57" t="s">
        <v>125</v>
      </c>
      <c r="I30" s="57"/>
      <c r="J30" s="57"/>
      <c r="K30" s="57"/>
      <c r="L30" s="55" t="s">
        <v>238</v>
      </c>
      <c r="M30" s="84" t="s">
        <v>229</v>
      </c>
      <c r="N30" s="88"/>
      <c r="O30" s="39" t="s">
        <v>52</v>
      </c>
      <c r="P30" s="39" t="s">
        <v>127</v>
      </c>
      <c r="Q30" s="89">
        <v>5.5</v>
      </c>
      <c r="R30" s="40">
        <v>3.8886156793222799</v>
      </c>
    </row>
    <row r="31" spans="1:18" s="39" customFormat="1" ht="31.25" customHeight="1" x14ac:dyDescent="0.2">
      <c r="A31" s="39" t="s">
        <v>239</v>
      </c>
      <c r="B31" s="39" t="s">
        <v>56</v>
      </c>
      <c r="C31" s="55" t="s">
        <v>120</v>
      </c>
      <c r="D31" s="55" t="s">
        <v>121</v>
      </c>
      <c r="E31" s="55" t="s">
        <v>151</v>
      </c>
      <c r="F31" s="55" t="s">
        <v>240</v>
      </c>
      <c r="G31" s="55" t="s">
        <v>125</v>
      </c>
      <c r="H31" s="57" t="s">
        <v>162</v>
      </c>
      <c r="I31" s="57"/>
      <c r="J31" s="57"/>
      <c r="K31" s="57"/>
      <c r="L31" s="55" t="s">
        <v>241</v>
      </c>
      <c r="M31" s="84" t="s">
        <v>242</v>
      </c>
      <c r="N31" s="88"/>
      <c r="O31" s="39" t="s">
        <v>52</v>
      </c>
      <c r="P31" s="39" t="s">
        <v>127</v>
      </c>
      <c r="Q31" s="89">
        <v>50</v>
      </c>
      <c r="R31" s="40">
        <v>35.351051630202548</v>
      </c>
    </row>
    <row r="32" spans="1:18" s="39" customFormat="1" ht="31.25" customHeight="1" x14ac:dyDescent="0.2">
      <c r="A32" s="39" t="s">
        <v>244</v>
      </c>
      <c r="B32" s="39" t="s">
        <v>56</v>
      </c>
      <c r="C32" s="55" t="s">
        <v>120</v>
      </c>
      <c r="D32" s="55" t="s">
        <v>121</v>
      </c>
      <c r="E32" s="54" t="s">
        <v>166</v>
      </c>
      <c r="F32" s="55" t="s">
        <v>245</v>
      </c>
      <c r="G32" s="55" t="s">
        <v>153</v>
      </c>
      <c r="H32" s="57"/>
      <c r="I32" s="57"/>
      <c r="J32" s="57"/>
      <c r="K32" s="57"/>
      <c r="L32" s="55" t="s">
        <v>246</v>
      </c>
      <c r="M32" s="84" t="s">
        <v>247</v>
      </c>
      <c r="O32" s="39" t="s">
        <v>52</v>
      </c>
      <c r="P32" s="39" t="s">
        <v>127</v>
      </c>
      <c r="Q32" s="89">
        <v>2000</v>
      </c>
      <c r="R32" s="40">
        <v>1414.0420652081018</v>
      </c>
    </row>
    <row r="33" spans="1:18" s="39" customFormat="1" ht="31.25" customHeight="1" x14ac:dyDescent="0.2">
      <c r="A33" s="39" t="s">
        <v>248</v>
      </c>
      <c r="B33" s="39" t="s">
        <v>56</v>
      </c>
      <c r="C33" s="55" t="s">
        <v>177</v>
      </c>
      <c r="D33" s="55" t="s">
        <v>121</v>
      </c>
      <c r="E33" s="55" t="s">
        <v>133</v>
      </c>
      <c r="F33" s="55" t="s">
        <v>249</v>
      </c>
      <c r="G33" s="55" t="s">
        <v>158</v>
      </c>
      <c r="H33" s="57" t="s">
        <v>134</v>
      </c>
      <c r="I33" s="57"/>
      <c r="J33" s="57"/>
      <c r="K33" s="57"/>
      <c r="L33" s="55" t="s">
        <v>5349</v>
      </c>
      <c r="M33" s="90" t="s">
        <v>197</v>
      </c>
      <c r="O33" s="39" t="s">
        <v>55</v>
      </c>
      <c r="P33" s="39" t="s">
        <v>127</v>
      </c>
      <c r="Q33" s="89">
        <v>33.5</v>
      </c>
      <c r="R33" s="40">
        <v>23.685204592235706</v>
      </c>
    </row>
    <row r="34" spans="1:18" s="39" customFormat="1" ht="31.25" customHeight="1" x14ac:dyDescent="0.2">
      <c r="A34" s="70" t="s">
        <v>250</v>
      </c>
      <c r="B34" s="70" t="s">
        <v>56</v>
      </c>
      <c r="C34" s="91" t="s">
        <v>177</v>
      </c>
      <c r="D34" s="70" t="s">
        <v>160</v>
      </c>
      <c r="E34" s="70" t="s">
        <v>251</v>
      </c>
      <c r="F34" s="70" t="s">
        <v>243</v>
      </c>
      <c r="G34" s="50" t="s">
        <v>158</v>
      </c>
      <c r="H34" s="71"/>
      <c r="I34" s="71"/>
      <c r="J34" s="164"/>
      <c r="K34" s="164"/>
      <c r="L34" s="70" t="s">
        <v>252</v>
      </c>
      <c r="M34" s="92" t="s">
        <v>253</v>
      </c>
      <c r="N34" s="50"/>
      <c r="O34" s="50" t="s">
        <v>52</v>
      </c>
      <c r="P34" s="50" t="s">
        <v>127</v>
      </c>
      <c r="Q34" s="93">
        <v>200</v>
      </c>
      <c r="R34" s="40">
        <v>141.40420652081019</v>
      </c>
    </row>
    <row r="35" spans="1:18" s="39" customFormat="1" ht="31.25" customHeight="1" x14ac:dyDescent="0.2">
      <c r="A35" s="39" t="s">
        <v>257</v>
      </c>
      <c r="B35" s="54" t="s">
        <v>56</v>
      </c>
      <c r="C35" s="55" t="s">
        <v>177</v>
      </c>
      <c r="D35" s="39" t="s">
        <v>160</v>
      </c>
      <c r="E35" s="39" t="s">
        <v>151</v>
      </c>
      <c r="F35" s="39" t="s">
        <v>258</v>
      </c>
      <c r="G35" s="39" t="s">
        <v>125</v>
      </c>
      <c r="H35" s="39" t="s">
        <v>162</v>
      </c>
      <c r="J35" s="39" t="s">
        <v>124</v>
      </c>
      <c r="K35" s="39" t="s">
        <v>124</v>
      </c>
      <c r="L35" s="55" t="s">
        <v>259</v>
      </c>
      <c r="M35" s="39" t="s">
        <v>260</v>
      </c>
      <c r="O35" s="39" t="s">
        <v>54</v>
      </c>
      <c r="P35" s="94" t="s">
        <v>127</v>
      </c>
      <c r="Q35" s="39">
        <v>2.8</v>
      </c>
      <c r="R35" s="40">
        <v>1.9796588912913424</v>
      </c>
    </row>
    <row r="36" spans="1:18" s="39" customFormat="1" ht="31.25" customHeight="1" x14ac:dyDescent="0.2">
      <c r="A36" s="39" t="s">
        <v>261</v>
      </c>
      <c r="B36" s="54" t="s">
        <v>56</v>
      </c>
      <c r="C36" s="55" t="s">
        <v>177</v>
      </c>
      <c r="D36" s="39" t="s">
        <v>121</v>
      </c>
      <c r="E36" s="39" t="s">
        <v>151</v>
      </c>
      <c r="F36" s="39" t="s">
        <v>262</v>
      </c>
      <c r="G36" s="39" t="s">
        <v>125</v>
      </c>
      <c r="H36" s="39" t="s">
        <v>162</v>
      </c>
      <c r="J36" s="39" t="s">
        <v>124</v>
      </c>
      <c r="K36" s="39" t="s">
        <v>124</v>
      </c>
      <c r="L36" s="39" t="s">
        <v>263</v>
      </c>
      <c r="M36" s="76" t="s">
        <v>264</v>
      </c>
      <c r="O36" s="39" t="s">
        <v>52</v>
      </c>
      <c r="P36" s="94" t="s">
        <v>127</v>
      </c>
      <c r="Q36" s="39">
        <v>233</v>
      </c>
      <c r="R36" s="40">
        <v>164.73590059674385</v>
      </c>
    </row>
    <row r="37" spans="1:18" s="39" customFormat="1" ht="31.25" customHeight="1" x14ac:dyDescent="0.2">
      <c r="A37" s="39" t="s">
        <v>265</v>
      </c>
      <c r="B37" s="54" t="s">
        <v>56</v>
      </c>
      <c r="C37" s="39" t="s">
        <v>120</v>
      </c>
      <c r="D37" s="39" t="s">
        <v>121</v>
      </c>
      <c r="E37" s="39" t="s">
        <v>172</v>
      </c>
      <c r="F37" s="39" t="s">
        <v>266</v>
      </c>
      <c r="G37" s="39" t="s">
        <v>208</v>
      </c>
      <c r="H37" s="39" t="s">
        <v>153</v>
      </c>
      <c r="I37" s="39" t="s">
        <v>125</v>
      </c>
      <c r="J37" s="39" t="s">
        <v>124</v>
      </c>
      <c r="K37" s="39" t="s">
        <v>124</v>
      </c>
      <c r="L37" s="39" t="s">
        <v>267</v>
      </c>
      <c r="M37" s="76" t="s">
        <v>268</v>
      </c>
      <c r="O37" s="39" t="s">
        <v>52</v>
      </c>
      <c r="P37" s="94" t="s">
        <v>127</v>
      </c>
      <c r="Q37" s="39">
        <v>258</v>
      </c>
      <c r="R37" s="40">
        <v>182.41142641184513</v>
      </c>
    </row>
    <row r="38" spans="1:18" s="39" customFormat="1" ht="31.25" customHeight="1" x14ac:dyDescent="0.2">
      <c r="A38" s="39" t="s">
        <v>269</v>
      </c>
      <c r="B38" s="54" t="s">
        <v>56</v>
      </c>
      <c r="C38" s="55" t="s">
        <v>177</v>
      </c>
      <c r="D38" s="39" t="s">
        <v>121</v>
      </c>
      <c r="E38" s="39" t="s">
        <v>172</v>
      </c>
      <c r="F38" s="39" t="s">
        <v>270</v>
      </c>
      <c r="G38" s="39" t="s">
        <v>134</v>
      </c>
      <c r="J38" s="39" t="s">
        <v>124</v>
      </c>
      <c r="K38" s="39" t="s">
        <v>124</v>
      </c>
      <c r="L38" s="95" t="s">
        <v>271</v>
      </c>
      <c r="M38" s="76" t="s">
        <v>268</v>
      </c>
      <c r="O38" s="39" t="s">
        <v>55</v>
      </c>
      <c r="P38" s="94" t="s">
        <v>127</v>
      </c>
      <c r="Q38" s="39">
        <v>9</v>
      </c>
      <c r="R38" s="40">
        <v>6.3631892934364584</v>
      </c>
    </row>
    <row r="39" spans="1:18" s="39" customFormat="1" ht="31.25" customHeight="1" x14ac:dyDescent="0.2">
      <c r="A39" s="39" t="s">
        <v>272</v>
      </c>
      <c r="B39" s="54" t="s">
        <v>56</v>
      </c>
      <c r="C39" s="55" t="s">
        <v>171</v>
      </c>
      <c r="D39" s="39" t="s">
        <v>121</v>
      </c>
      <c r="E39" s="39" t="s">
        <v>151</v>
      </c>
      <c r="F39" s="39" t="s">
        <v>109</v>
      </c>
      <c r="G39" s="39" t="s">
        <v>125</v>
      </c>
      <c r="H39" s="39" t="s">
        <v>162</v>
      </c>
      <c r="J39" s="39" t="s">
        <v>5556</v>
      </c>
      <c r="K39" s="39" t="s">
        <v>124</v>
      </c>
      <c r="L39" s="95" t="s">
        <v>273</v>
      </c>
      <c r="M39" s="76" t="s">
        <v>274</v>
      </c>
      <c r="N39" s="39" t="s">
        <v>275</v>
      </c>
      <c r="O39" s="39" t="s">
        <v>52</v>
      </c>
      <c r="P39" s="94"/>
      <c r="R39" s="40"/>
    </row>
    <row r="40" spans="1:18" s="39" customFormat="1" ht="31.25" customHeight="1" x14ac:dyDescent="0.2">
      <c r="A40" s="51" t="s">
        <v>276</v>
      </c>
      <c r="B40" s="54" t="s">
        <v>56</v>
      </c>
      <c r="C40" s="55" t="s">
        <v>132</v>
      </c>
      <c r="D40" s="39" t="s">
        <v>121</v>
      </c>
      <c r="E40" s="39" t="s">
        <v>251</v>
      </c>
      <c r="F40" s="39" t="s">
        <v>5360</v>
      </c>
      <c r="G40" s="39" t="s">
        <v>125</v>
      </c>
      <c r="H40" s="39" t="s">
        <v>162</v>
      </c>
      <c r="J40" s="39" t="s">
        <v>5556</v>
      </c>
      <c r="K40" s="39" t="s">
        <v>5556</v>
      </c>
      <c r="L40" s="95" t="s">
        <v>277</v>
      </c>
      <c r="M40" s="76" t="s">
        <v>278</v>
      </c>
      <c r="O40" s="39" t="s">
        <v>52</v>
      </c>
      <c r="P40" s="94" t="s">
        <v>127</v>
      </c>
      <c r="Q40" s="39">
        <v>490</v>
      </c>
      <c r="R40" s="40">
        <v>346.44030597598493</v>
      </c>
    </row>
    <row r="41" spans="1:18" s="39" customFormat="1" ht="31.25" customHeight="1" x14ac:dyDescent="0.2">
      <c r="A41" s="51" t="s">
        <v>279</v>
      </c>
      <c r="B41" s="54" t="s">
        <v>56</v>
      </c>
      <c r="C41" s="55" t="s">
        <v>280</v>
      </c>
      <c r="D41" s="39" t="s">
        <v>137</v>
      </c>
      <c r="E41" s="39" t="s">
        <v>133</v>
      </c>
      <c r="F41" s="39" t="s">
        <v>281</v>
      </c>
      <c r="G41" s="39" t="s">
        <v>125</v>
      </c>
      <c r="H41" s="39" t="s">
        <v>162</v>
      </c>
      <c r="L41" s="95" t="s">
        <v>282</v>
      </c>
      <c r="M41" s="76" t="s">
        <v>283</v>
      </c>
      <c r="N41" s="39" t="s">
        <v>275</v>
      </c>
      <c r="O41" s="39" t="s">
        <v>52</v>
      </c>
      <c r="P41" s="94" t="s">
        <v>127</v>
      </c>
      <c r="Q41" s="39">
        <v>1200</v>
      </c>
      <c r="R41" s="40">
        <v>848.42523912486104</v>
      </c>
    </row>
    <row r="42" spans="1:18" s="39" customFormat="1" ht="31.25" customHeight="1" x14ac:dyDescent="0.2">
      <c r="A42" s="51" t="s">
        <v>5352</v>
      </c>
      <c r="B42" s="54" t="s">
        <v>56</v>
      </c>
      <c r="C42" s="39" t="s">
        <v>120</v>
      </c>
      <c r="D42" s="39" t="s">
        <v>121</v>
      </c>
      <c r="E42" s="39" t="s">
        <v>151</v>
      </c>
      <c r="F42" s="39" t="s">
        <v>5350</v>
      </c>
      <c r="G42" s="39" t="s">
        <v>125</v>
      </c>
      <c r="H42" s="39" t="s">
        <v>162</v>
      </c>
      <c r="L42" s="47" t="s">
        <v>5351</v>
      </c>
      <c r="M42" s="76" t="s">
        <v>242</v>
      </c>
      <c r="O42" s="39" t="s">
        <v>52</v>
      </c>
      <c r="P42" s="94" t="s">
        <v>127</v>
      </c>
      <c r="Q42" s="39">
        <v>1900</v>
      </c>
      <c r="R42" s="40">
        <v>1343.3399619476968</v>
      </c>
    </row>
    <row r="43" spans="1:18" s="39" customFormat="1" ht="31.25" customHeight="1" x14ac:dyDescent="0.2">
      <c r="A43" s="51" t="s">
        <v>5353</v>
      </c>
      <c r="B43" s="54" t="s">
        <v>56</v>
      </c>
      <c r="C43" s="55" t="s">
        <v>177</v>
      </c>
      <c r="D43" s="39" t="s">
        <v>121</v>
      </c>
      <c r="E43" s="39" t="s">
        <v>133</v>
      </c>
      <c r="F43" s="39" t="s">
        <v>222</v>
      </c>
      <c r="G43" s="39" t="s">
        <v>134</v>
      </c>
      <c r="H43" s="39" t="s">
        <v>153</v>
      </c>
      <c r="L43" s="55" t="s">
        <v>5361</v>
      </c>
      <c r="M43" s="46" t="s">
        <v>197</v>
      </c>
      <c r="O43" s="39" t="s">
        <v>52</v>
      </c>
      <c r="P43" s="94" t="s">
        <v>127</v>
      </c>
      <c r="Q43" s="39">
        <v>20</v>
      </c>
      <c r="R43" s="40">
        <v>14.140420652081017</v>
      </c>
    </row>
    <row r="44" spans="1:18" s="39" customFormat="1" ht="31.25" customHeight="1" x14ac:dyDescent="0.2">
      <c r="A44" s="51" t="s">
        <v>5354</v>
      </c>
      <c r="B44" s="54" t="s">
        <v>56</v>
      </c>
      <c r="C44" s="39" t="s">
        <v>120</v>
      </c>
      <c r="D44" s="39" t="s">
        <v>121</v>
      </c>
      <c r="E44" s="39" t="s">
        <v>122</v>
      </c>
      <c r="F44" s="39" t="s">
        <v>5362</v>
      </c>
      <c r="G44" s="39" t="s">
        <v>125</v>
      </c>
      <c r="H44" s="39" t="s">
        <v>162</v>
      </c>
      <c r="L44" s="47" t="s">
        <v>5363</v>
      </c>
      <c r="M44" s="67" t="s">
        <v>254</v>
      </c>
      <c r="N44" s="56"/>
      <c r="O44" s="56" t="s">
        <v>55</v>
      </c>
      <c r="P44" s="94" t="s">
        <v>127</v>
      </c>
      <c r="Q44" s="39">
        <v>1800</v>
      </c>
      <c r="R44" s="40">
        <v>1272.6378586872916</v>
      </c>
    </row>
    <row r="45" spans="1:18" s="39" customFormat="1" ht="31.25" customHeight="1" x14ac:dyDescent="0.2">
      <c r="A45" s="51" t="s">
        <v>5355</v>
      </c>
      <c r="B45" s="54" t="s">
        <v>56</v>
      </c>
      <c r="C45" s="39" t="s">
        <v>120</v>
      </c>
      <c r="D45" s="39" t="s">
        <v>121</v>
      </c>
      <c r="E45" s="39" t="s">
        <v>151</v>
      </c>
      <c r="F45" s="39" t="s">
        <v>5364</v>
      </c>
      <c r="G45" s="39" t="s">
        <v>125</v>
      </c>
      <c r="H45" s="39" t="s">
        <v>162</v>
      </c>
      <c r="I45" s="39" t="s">
        <v>134</v>
      </c>
      <c r="L45" s="56" t="s">
        <v>5365</v>
      </c>
      <c r="M45" s="67" t="s">
        <v>255</v>
      </c>
      <c r="N45" s="67" t="s">
        <v>256</v>
      </c>
      <c r="O45" s="39" t="s">
        <v>5140</v>
      </c>
      <c r="P45" s="94" t="s">
        <v>127</v>
      </c>
      <c r="Q45" s="39">
        <v>58.6</v>
      </c>
      <c r="R45" s="40">
        <v>41.431432510597382</v>
      </c>
    </row>
    <row r="46" spans="1:18" s="39" customFormat="1" ht="31.25" customHeight="1" x14ac:dyDescent="0.25">
      <c r="A46" s="51" t="s">
        <v>5356</v>
      </c>
      <c r="B46" s="54" t="s">
        <v>56</v>
      </c>
      <c r="C46" s="55" t="s">
        <v>177</v>
      </c>
      <c r="D46" s="39" t="s">
        <v>121</v>
      </c>
      <c r="E46" s="39" t="s">
        <v>172</v>
      </c>
      <c r="F46" s="39" t="s">
        <v>5366</v>
      </c>
      <c r="G46" s="39" t="s">
        <v>125</v>
      </c>
      <c r="H46" s="39" t="s">
        <v>134</v>
      </c>
      <c r="I46" s="39" t="s">
        <v>152</v>
      </c>
      <c r="L46" s="48" t="s">
        <v>5367</v>
      </c>
      <c r="M46" s="49" t="s">
        <v>268</v>
      </c>
      <c r="N46" s="48"/>
      <c r="O46" s="39" t="s">
        <v>55</v>
      </c>
      <c r="P46" s="94" t="s">
        <v>127</v>
      </c>
      <c r="Q46" s="39">
        <v>9</v>
      </c>
      <c r="R46" s="40">
        <v>6.3631892934364584</v>
      </c>
    </row>
    <row r="47" spans="1:18" s="39" customFormat="1" ht="31.25" customHeight="1" x14ac:dyDescent="0.25">
      <c r="A47" s="51" t="s">
        <v>5357</v>
      </c>
      <c r="B47" s="54" t="s">
        <v>56</v>
      </c>
      <c r="C47" s="55" t="s">
        <v>171</v>
      </c>
      <c r="D47" s="39" t="s">
        <v>121</v>
      </c>
      <c r="E47" s="39" t="s">
        <v>151</v>
      </c>
      <c r="F47" s="39" t="s">
        <v>240</v>
      </c>
      <c r="G47" s="39" t="s">
        <v>125</v>
      </c>
      <c r="H47" s="50" t="s">
        <v>158</v>
      </c>
      <c r="L47" s="52" t="s">
        <v>5368</v>
      </c>
      <c r="M47" s="49" t="s">
        <v>274</v>
      </c>
      <c r="N47" s="48"/>
      <c r="O47" s="53" t="s">
        <v>52</v>
      </c>
      <c r="P47" s="94" t="s">
        <v>127</v>
      </c>
      <c r="Q47" s="39">
        <v>50</v>
      </c>
      <c r="R47" s="40">
        <v>35.351051630202548</v>
      </c>
    </row>
    <row r="48" spans="1:18" s="39" customFormat="1" ht="31.25" customHeight="1" x14ac:dyDescent="0.25">
      <c r="A48" s="51" t="s">
        <v>5358</v>
      </c>
      <c r="B48" s="54" t="s">
        <v>56</v>
      </c>
      <c r="C48" s="55" t="s">
        <v>280</v>
      </c>
      <c r="D48" s="56" t="s">
        <v>137</v>
      </c>
      <c r="E48" s="56" t="s">
        <v>133</v>
      </c>
      <c r="F48" s="55" t="s">
        <v>5369</v>
      </c>
      <c r="G48" s="55" t="s">
        <v>1816</v>
      </c>
      <c r="H48" s="55" t="s">
        <v>162</v>
      </c>
      <c r="I48" s="55"/>
      <c r="J48" s="48"/>
      <c r="K48" s="48"/>
      <c r="L48" s="52" t="s">
        <v>5370</v>
      </c>
      <c r="M48" s="49" t="s">
        <v>283</v>
      </c>
      <c r="N48" s="48"/>
      <c r="O48" s="48" t="s">
        <v>624</v>
      </c>
      <c r="P48" s="94" t="s">
        <v>127</v>
      </c>
      <c r="Q48" s="39">
        <v>1600</v>
      </c>
      <c r="R48" s="40">
        <v>1131.2336521664815</v>
      </c>
    </row>
    <row r="49" spans="1:18" s="39" customFormat="1" ht="31.25" customHeight="1" x14ac:dyDescent="0.25">
      <c r="A49" s="51" t="s">
        <v>5359</v>
      </c>
      <c r="B49" s="55" t="s">
        <v>56</v>
      </c>
      <c r="C49" s="55" t="s">
        <v>177</v>
      </c>
      <c r="D49" s="55" t="s">
        <v>5343</v>
      </c>
      <c r="E49" s="55" t="s">
        <v>133</v>
      </c>
      <c r="F49" s="55" t="s">
        <v>5371</v>
      </c>
      <c r="G49" s="55" t="s">
        <v>153</v>
      </c>
      <c r="H49" s="55" t="s">
        <v>134</v>
      </c>
      <c r="I49" s="55" t="s">
        <v>1816</v>
      </c>
      <c r="J49" s="48"/>
      <c r="K49" s="48"/>
      <c r="L49" s="47" t="s">
        <v>5372</v>
      </c>
      <c r="M49" s="58" t="s">
        <v>5373</v>
      </c>
      <c r="N49" s="48"/>
      <c r="O49" s="48" t="s">
        <v>624</v>
      </c>
      <c r="P49" s="94" t="s">
        <v>127</v>
      </c>
      <c r="Q49" s="39">
        <v>100</v>
      </c>
      <c r="R49" s="40">
        <v>70.702103260405096</v>
      </c>
    </row>
    <row r="50" spans="1:18" s="39" customFormat="1" ht="31.25" customHeight="1" x14ac:dyDescent="0.25">
      <c r="A50" s="51" t="s">
        <v>5387</v>
      </c>
      <c r="B50" s="55" t="s">
        <v>56</v>
      </c>
      <c r="C50" s="55" t="s">
        <v>177</v>
      </c>
      <c r="D50" s="55" t="s">
        <v>160</v>
      </c>
      <c r="E50" s="55" t="s">
        <v>133</v>
      </c>
      <c r="F50" s="59" t="s">
        <v>5374</v>
      </c>
      <c r="G50" s="55" t="s">
        <v>153</v>
      </c>
      <c r="H50" s="55" t="s">
        <v>134</v>
      </c>
      <c r="I50" s="55" t="s">
        <v>158</v>
      </c>
      <c r="J50" s="48"/>
      <c r="K50" s="48"/>
      <c r="L50" s="47" t="s">
        <v>5375</v>
      </c>
      <c r="M50" s="49" t="s">
        <v>5376</v>
      </c>
      <c r="N50" s="48"/>
      <c r="O50" s="48" t="s">
        <v>624</v>
      </c>
      <c r="P50" s="94" t="s">
        <v>127</v>
      </c>
      <c r="Q50" s="39">
        <v>11.6</v>
      </c>
      <c r="R50" s="40">
        <v>8.2014439782069903</v>
      </c>
    </row>
    <row r="51" spans="1:18" s="39" customFormat="1" ht="31.25" customHeight="1" x14ac:dyDescent="0.25">
      <c r="A51" s="51" t="s">
        <v>5388</v>
      </c>
      <c r="B51" s="55" t="s">
        <v>56</v>
      </c>
      <c r="C51" s="55" t="s">
        <v>177</v>
      </c>
      <c r="D51" s="55" t="s">
        <v>5343</v>
      </c>
      <c r="E51" s="55" t="s">
        <v>172</v>
      </c>
      <c r="F51" s="55" t="s">
        <v>5377</v>
      </c>
      <c r="G51" s="55" t="s">
        <v>1816</v>
      </c>
      <c r="H51" s="55" t="s">
        <v>134</v>
      </c>
      <c r="I51" s="55" t="s">
        <v>158</v>
      </c>
      <c r="J51" s="48"/>
      <c r="K51" s="48"/>
      <c r="L51" s="47" t="s">
        <v>5378</v>
      </c>
      <c r="M51" s="49" t="s">
        <v>5379</v>
      </c>
      <c r="N51" s="48"/>
      <c r="O51" s="48" t="s">
        <v>624</v>
      </c>
      <c r="P51" s="94" t="s">
        <v>127</v>
      </c>
      <c r="Q51" s="39">
        <v>850</v>
      </c>
      <c r="R51" s="40">
        <v>600.96787771344327</v>
      </c>
    </row>
    <row r="52" spans="1:18" s="39" customFormat="1" ht="31.25" customHeight="1" x14ac:dyDescent="0.25">
      <c r="A52" s="51" t="s">
        <v>5389</v>
      </c>
      <c r="B52" s="55" t="s">
        <v>56</v>
      </c>
      <c r="C52" s="55" t="s">
        <v>171</v>
      </c>
      <c r="D52" s="55" t="s">
        <v>5343</v>
      </c>
      <c r="E52" s="55" t="s">
        <v>199</v>
      </c>
      <c r="F52" s="55" t="s">
        <v>195</v>
      </c>
      <c r="G52" s="55" t="s">
        <v>152</v>
      </c>
      <c r="H52" s="55" t="s">
        <v>323</v>
      </c>
      <c r="I52" s="55" t="s">
        <v>134</v>
      </c>
      <c r="J52" s="48"/>
      <c r="K52" s="48"/>
      <c r="L52" s="47" t="s">
        <v>5380</v>
      </c>
      <c r="M52" s="49" t="s">
        <v>5381</v>
      </c>
      <c r="N52" s="48"/>
      <c r="O52" s="48" t="s">
        <v>624</v>
      </c>
      <c r="P52" s="94" t="s">
        <v>127</v>
      </c>
      <c r="Q52" s="39">
        <v>5</v>
      </c>
      <c r="R52" s="40">
        <v>3.5351051630202543</v>
      </c>
    </row>
    <row r="53" spans="1:18" s="39" customFormat="1" ht="31.25" customHeight="1" x14ac:dyDescent="0.25">
      <c r="A53" s="51" t="s">
        <v>5390</v>
      </c>
      <c r="B53" s="55" t="s">
        <v>56</v>
      </c>
      <c r="C53" s="55" t="s">
        <v>171</v>
      </c>
      <c r="D53" s="55" t="s">
        <v>5343</v>
      </c>
      <c r="E53" s="55" t="s">
        <v>133</v>
      </c>
      <c r="F53" s="60" t="s">
        <v>5382</v>
      </c>
      <c r="G53" s="55" t="s">
        <v>134</v>
      </c>
      <c r="H53" s="55" t="s">
        <v>153</v>
      </c>
      <c r="I53" s="55" t="s">
        <v>158</v>
      </c>
      <c r="J53" s="48"/>
      <c r="K53" s="48"/>
      <c r="L53" s="47" t="s">
        <v>5383</v>
      </c>
      <c r="M53" s="49" t="s">
        <v>5384</v>
      </c>
      <c r="N53" s="48"/>
      <c r="O53" s="48" t="s">
        <v>624</v>
      </c>
      <c r="P53" s="94" t="s">
        <v>127</v>
      </c>
      <c r="Q53" s="39">
        <v>29.3</v>
      </c>
      <c r="R53" s="40">
        <v>20.715716255298691</v>
      </c>
    </row>
    <row r="54" spans="1:18" s="39" customFormat="1" ht="31.25" customHeight="1" x14ac:dyDescent="0.25">
      <c r="A54" s="51" t="s">
        <v>5391</v>
      </c>
      <c r="B54" s="55" t="s">
        <v>56</v>
      </c>
      <c r="C54" s="55" t="s">
        <v>177</v>
      </c>
      <c r="D54" s="55" t="s">
        <v>137</v>
      </c>
      <c r="E54" s="55" t="s">
        <v>133</v>
      </c>
      <c r="F54" s="55" t="s">
        <v>5385</v>
      </c>
      <c r="G54" s="57" t="s">
        <v>1816</v>
      </c>
      <c r="H54" s="57" t="s">
        <v>208</v>
      </c>
      <c r="I54" s="57" t="s">
        <v>158</v>
      </c>
      <c r="J54" s="62"/>
      <c r="K54" s="62"/>
      <c r="L54" s="47" t="s">
        <v>5386</v>
      </c>
      <c r="M54" s="49" t="s">
        <v>5384</v>
      </c>
      <c r="N54" s="62"/>
      <c r="O54" s="53" t="s">
        <v>637</v>
      </c>
      <c r="P54" s="94" t="s">
        <v>127</v>
      </c>
      <c r="Q54" s="39">
        <v>1200</v>
      </c>
      <c r="R54" s="40">
        <v>848.42523912486104</v>
      </c>
    </row>
    <row r="55" spans="1:18" s="39" customFormat="1" ht="31.25" customHeight="1" x14ac:dyDescent="0.25">
      <c r="A55" s="51" t="s">
        <v>5471</v>
      </c>
      <c r="B55" s="55" t="s">
        <v>56</v>
      </c>
      <c r="C55" s="55" t="s">
        <v>177</v>
      </c>
      <c r="D55" s="55" t="s">
        <v>5343</v>
      </c>
      <c r="E55" s="55" t="s">
        <v>172</v>
      </c>
      <c r="F55" s="55" t="s">
        <v>5398</v>
      </c>
      <c r="G55" s="57" t="s">
        <v>208</v>
      </c>
      <c r="H55" s="57" t="s">
        <v>134</v>
      </c>
      <c r="I55" s="61" t="s">
        <v>153</v>
      </c>
      <c r="J55" s="48"/>
      <c r="K55" s="48"/>
      <c r="L55" s="47" t="s">
        <v>5399</v>
      </c>
      <c r="M55" s="49" t="s">
        <v>5384</v>
      </c>
      <c r="N55" s="48"/>
      <c r="O55" s="39" t="s">
        <v>52</v>
      </c>
      <c r="P55" s="39" t="s">
        <v>127</v>
      </c>
      <c r="Q55" s="39">
        <v>212.2</v>
      </c>
      <c r="R55" s="40">
        <v>150.02986311857958</v>
      </c>
    </row>
    <row r="56" spans="1:18" s="39" customFormat="1" ht="31.25" customHeight="1" x14ac:dyDescent="0.25">
      <c r="A56" s="51" t="s">
        <v>5472</v>
      </c>
      <c r="B56" s="55" t="s">
        <v>56</v>
      </c>
      <c r="C56" s="56" t="s">
        <v>120</v>
      </c>
      <c r="D56" s="55" t="s">
        <v>5343</v>
      </c>
      <c r="E56" s="56" t="s">
        <v>133</v>
      </c>
      <c r="F56" s="55" t="s">
        <v>5400</v>
      </c>
      <c r="G56" s="57" t="s">
        <v>152</v>
      </c>
      <c r="H56" s="61" t="s">
        <v>323</v>
      </c>
      <c r="I56" s="61" t="s">
        <v>134</v>
      </c>
      <c r="J56" s="48"/>
      <c r="K56" s="48"/>
      <c r="L56" s="47" t="s">
        <v>5401</v>
      </c>
      <c r="M56" s="49" t="s">
        <v>5384</v>
      </c>
      <c r="N56" s="48"/>
      <c r="O56" s="39" t="s">
        <v>52</v>
      </c>
      <c r="P56" s="39" t="s">
        <v>127</v>
      </c>
      <c r="Q56" s="39">
        <v>5.9</v>
      </c>
      <c r="R56" s="40">
        <v>4.1714240923639005</v>
      </c>
    </row>
    <row r="57" spans="1:18" s="39" customFormat="1" ht="31.25" customHeight="1" x14ac:dyDescent="0.2">
      <c r="A57" s="51" t="s">
        <v>5473</v>
      </c>
      <c r="B57" s="55" t="s">
        <v>56</v>
      </c>
      <c r="C57" s="55" t="s">
        <v>177</v>
      </c>
      <c r="D57" s="55" t="s">
        <v>5343</v>
      </c>
      <c r="E57" s="55" t="s">
        <v>172</v>
      </c>
      <c r="F57" s="55" t="s">
        <v>5402</v>
      </c>
      <c r="G57" s="57" t="s">
        <v>208</v>
      </c>
      <c r="H57" s="57" t="s">
        <v>1441</v>
      </c>
      <c r="I57" s="61" t="s">
        <v>153</v>
      </c>
      <c r="J57" s="48"/>
      <c r="K57" s="48"/>
      <c r="L57" s="47" t="s">
        <v>5403</v>
      </c>
      <c r="M57" s="48" t="s">
        <v>5384</v>
      </c>
      <c r="N57" s="48"/>
      <c r="O57" s="39" t="s">
        <v>52</v>
      </c>
      <c r="P57" s="39" t="s">
        <v>127</v>
      </c>
      <c r="Q57" s="39">
        <v>1500</v>
      </c>
      <c r="R57" s="40">
        <v>1060.5315489060763</v>
      </c>
    </row>
    <row r="58" spans="1:18" s="39" customFormat="1" ht="31.25" customHeight="1" x14ac:dyDescent="0.2">
      <c r="A58" s="51" t="s">
        <v>5474</v>
      </c>
      <c r="B58" s="55" t="s">
        <v>56</v>
      </c>
      <c r="C58" s="55" t="s">
        <v>177</v>
      </c>
      <c r="D58" s="55" t="s">
        <v>5343</v>
      </c>
      <c r="E58" s="55" t="s">
        <v>151</v>
      </c>
      <c r="F58" s="55" t="s">
        <v>5404</v>
      </c>
      <c r="G58" s="61" t="s">
        <v>158</v>
      </c>
      <c r="H58" s="61"/>
      <c r="I58" s="61"/>
      <c r="J58" s="48"/>
      <c r="K58" s="48"/>
      <c r="L58" s="47" t="s">
        <v>5405</v>
      </c>
      <c r="M58" s="48" t="s">
        <v>5384</v>
      </c>
      <c r="N58" s="48"/>
      <c r="O58" s="39" t="s">
        <v>55</v>
      </c>
      <c r="P58" s="39" t="s">
        <v>127</v>
      </c>
      <c r="Q58" s="39">
        <v>20.100000000000001</v>
      </c>
      <c r="R58" s="40">
        <v>14.211122755341425</v>
      </c>
    </row>
    <row r="59" spans="1:18" s="39" customFormat="1" ht="31.25" customHeight="1" x14ac:dyDescent="0.2">
      <c r="A59" s="51" t="s">
        <v>5475</v>
      </c>
      <c r="B59" s="55" t="s">
        <v>56</v>
      </c>
      <c r="C59" s="55" t="s">
        <v>177</v>
      </c>
      <c r="D59" s="55" t="s">
        <v>5343</v>
      </c>
      <c r="E59" s="55" t="s">
        <v>151</v>
      </c>
      <c r="F59" s="55" t="s">
        <v>5406</v>
      </c>
      <c r="G59" s="61" t="s">
        <v>152</v>
      </c>
      <c r="H59" s="61" t="s">
        <v>1816</v>
      </c>
      <c r="I59" s="61" t="s">
        <v>162</v>
      </c>
      <c r="J59" s="48"/>
      <c r="K59" s="48"/>
      <c r="L59" s="47" t="s">
        <v>5407</v>
      </c>
      <c r="M59" s="48" t="s">
        <v>5384</v>
      </c>
      <c r="N59" s="48"/>
      <c r="O59" s="39" t="s">
        <v>52</v>
      </c>
      <c r="P59" s="39" t="s">
        <v>127</v>
      </c>
      <c r="Q59" s="39">
        <v>59.8</v>
      </c>
      <c r="R59" s="40">
        <v>42.27985774972224</v>
      </c>
    </row>
    <row r="60" spans="1:18" s="39" customFormat="1" ht="31.25" customHeight="1" x14ac:dyDescent="0.2">
      <c r="A60" s="51" t="s">
        <v>5476</v>
      </c>
      <c r="B60" s="55" t="s">
        <v>56</v>
      </c>
      <c r="C60" s="55" t="s">
        <v>177</v>
      </c>
      <c r="D60" s="55" t="s">
        <v>5343</v>
      </c>
      <c r="E60" s="55" t="s">
        <v>151</v>
      </c>
      <c r="F60" s="55" t="s">
        <v>5408</v>
      </c>
      <c r="G60" s="61" t="s">
        <v>152</v>
      </c>
      <c r="H60" s="61"/>
      <c r="I60" s="61"/>
      <c r="J60" s="48"/>
      <c r="K60" s="48"/>
      <c r="L60" s="47" t="s">
        <v>5409</v>
      </c>
      <c r="M60" s="48" t="s">
        <v>5384</v>
      </c>
      <c r="N60" s="48"/>
      <c r="O60" s="39" t="s">
        <v>55</v>
      </c>
      <c r="P60" s="39" t="s">
        <v>127</v>
      </c>
      <c r="Q60" s="39">
        <v>2.4</v>
      </c>
      <c r="R60" s="40">
        <v>1.696850478249722</v>
      </c>
    </row>
    <row r="61" spans="1:18" s="39" customFormat="1" ht="31.25" customHeight="1" x14ac:dyDescent="0.25">
      <c r="A61" s="51" t="s">
        <v>5477</v>
      </c>
      <c r="B61" s="55" t="s">
        <v>56</v>
      </c>
      <c r="C61" s="55" t="s">
        <v>177</v>
      </c>
      <c r="D61" s="55" t="s">
        <v>5343</v>
      </c>
      <c r="E61" s="55" t="s">
        <v>151</v>
      </c>
      <c r="F61" s="55" t="s">
        <v>5410</v>
      </c>
      <c r="G61" s="61" t="s">
        <v>1816</v>
      </c>
      <c r="H61" s="61" t="s">
        <v>162</v>
      </c>
      <c r="I61" s="61" t="s">
        <v>5411</v>
      </c>
      <c r="J61" s="48"/>
      <c r="K61" s="48"/>
      <c r="L61" s="47" t="s">
        <v>5412</v>
      </c>
      <c r="M61" s="49"/>
      <c r="N61" s="48"/>
      <c r="O61" s="48" t="s">
        <v>54</v>
      </c>
      <c r="P61" s="39" t="s">
        <v>127</v>
      </c>
      <c r="Q61" s="39">
        <v>50.7</v>
      </c>
      <c r="R61" s="40">
        <v>35.845966353025382</v>
      </c>
    </row>
    <row r="62" spans="1:18" s="39" customFormat="1" ht="31.25" customHeight="1" x14ac:dyDescent="0.2">
      <c r="A62" s="51" t="s">
        <v>5478</v>
      </c>
      <c r="B62" s="55" t="s">
        <v>56</v>
      </c>
      <c r="C62" s="55" t="s">
        <v>177</v>
      </c>
      <c r="D62" s="55" t="s">
        <v>5343</v>
      </c>
      <c r="E62" s="55" t="s">
        <v>151</v>
      </c>
      <c r="F62" s="55" t="s">
        <v>5413</v>
      </c>
      <c r="G62" s="61" t="s">
        <v>1816</v>
      </c>
      <c r="H62" s="61" t="s">
        <v>162</v>
      </c>
      <c r="I62" s="61" t="s">
        <v>5411</v>
      </c>
      <c r="J62" s="48"/>
      <c r="K62" s="48"/>
      <c r="L62" s="47" t="s">
        <v>5414</v>
      </c>
      <c r="M62" s="63" t="s">
        <v>5384</v>
      </c>
      <c r="N62" s="48"/>
      <c r="O62" s="48" t="s">
        <v>54</v>
      </c>
      <c r="P62" s="39" t="s">
        <v>127</v>
      </c>
      <c r="Q62" s="39">
        <v>15.7</v>
      </c>
      <c r="R62" s="40">
        <v>11.100230211883598</v>
      </c>
    </row>
    <row r="63" spans="1:18" s="39" customFormat="1" ht="31.25" customHeight="1" x14ac:dyDescent="0.25">
      <c r="A63" s="51" t="s">
        <v>5479</v>
      </c>
      <c r="B63" s="55" t="s">
        <v>56</v>
      </c>
      <c r="C63" s="55" t="s">
        <v>177</v>
      </c>
      <c r="D63" s="55" t="s">
        <v>160</v>
      </c>
      <c r="E63" s="55" t="s">
        <v>133</v>
      </c>
      <c r="F63" s="55" t="s">
        <v>5415</v>
      </c>
      <c r="G63" s="57" t="s">
        <v>1816</v>
      </c>
      <c r="H63" s="57" t="s">
        <v>158</v>
      </c>
      <c r="I63" s="57"/>
      <c r="J63" s="48"/>
      <c r="K63" s="48"/>
      <c r="L63" s="47" t="s">
        <v>5416</v>
      </c>
      <c r="M63" s="49" t="s">
        <v>5384</v>
      </c>
      <c r="N63" s="48"/>
      <c r="O63" s="39" t="s">
        <v>55</v>
      </c>
      <c r="P63" s="39" t="s">
        <v>127</v>
      </c>
      <c r="Q63" s="39">
        <v>55.5</v>
      </c>
      <c r="R63" s="40">
        <v>39.239667309524826</v>
      </c>
    </row>
    <row r="64" spans="1:18" s="39" customFormat="1" ht="31.25" customHeight="1" x14ac:dyDescent="0.25">
      <c r="A64" s="51" t="s">
        <v>5480</v>
      </c>
      <c r="B64" s="55" t="s">
        <v>56</v>
      </c>
      <c r="C64" s="55" t="s">
        <v>120</v>
      </c>
      <c r="D64" s="55" t="s">
        <v>160</v>
      </c>
      <c r="E64" s="55" t="s">
        <v>5417</v>
      </c>
      <c r="F64" s="55" t="s">
        <v>5418</v>
      </c>
      <c r="G64" s="57" t="s">
        <v>1816</v>
      </c>
      <c r="H64" s="57" t="s">
        <v>158</v>
      </c>
      <c r="I64" s="48"/>
      <c r="J64" s="48"/>
      <c r="K64" s="48"/>
      <c r="L64" s="47" t="s">
        <v>5419</v>
      </c>
      <c r="M64" s="49" t="s">
        <v>5384</v>
      </c>
      <c r="N64" s="48"/>
      <c r="O64" s="39" t="s">
        <v>55</v>
      </c>
      <c r="P64" s="39" t="s">
        <v>127</v>
      </c>
      <c r="Q64" s="39">
        <v>167.3</v>
      </c>
      <c r="R64" s="40">
        <v>118.28461875465773</v>
      </c>
    </row>
    <row r="65" spans="1:18" s="39" customFormat="1" ht="31.25" customHeight="1" x14ac:dyDescent="0.2">
      <c r="A65" s="51" t="s">
        <v>5481</v>
      </c>
      <c r="B65" s="55" t="s">
        <v>56</v>
      </c>
      <c r="C65" s="55" t="s">
        <v>120</v>
      </c>
      <c r="D65" s="55" t="s">
        <v>160</v>
      </c>
      <c r="E65" s="55" t="s">
        <v>5417</v>
      </c>
      <c r="F65" s="55" t="s">
        <v>5420</v>
      </c>
      <c r="G65" s="57" t="s">
        <v>1816</v>
      </c>
      <c r="H65" s="57" t="s">
        <v>158</v>
      </c>
      <c r="I65" s="48"/>
      <c r="J65" s="48"/>
      <c r="K65" s="48"/>
      <c r="L65" s="47" t="s">
        <v>5421</v>
      </c>
      <c r="M65" s="48" t="s">
        <v>5384</v>
      </c>
      <c r="N65" s="48"/>
      <c r="O65" s="39" t="s">
        <v>55</v>
      </c>
      <c r="P65" s="39" t="s">
        <v>127</v>
      </c>
      <c r="Q65" s="39">
        <v>3300</v>
      </c>
      <c r="R65" s="40">
        <v>2333.1694075933679</v>
      </c>
    </row>
    <row r="66" spans="1:18" s="39" customFormat="1" ht="31.25" customHeight="1" x14ac:dyDescent="0.2">
      <c r="A66" s="51" t="s">
        <v>5482</v>
      </c>
      <c r="B66" s="55" t="s">
        <v>56</v>
      </c>
      <c r="C66" s="55" t="s">
        <v>120</v>
      </c>
      <c r="D66" s="55" t="s">
        <v>160</v>
      </c>
      <c r="E66" s="55" t="s">
        <v>5417</v>
      </c>
      <c r="F66" s="55" t="s">
        <v>5422</v>
      </c>
      <c r="G66" s="57" t="s">
        <v>1816</v>
      </c>
      <c r="H66" s="57" t="s">
        <v>158</v>
      </c>
      <c r="I66" s="48"/>
      <c r="J66" s="48"/>
      <c r="K66" s="48"/>
      <c r="L66" s="47" t="s">
        <v>5423</v>
      </c>
      <c r="M66" s="48" t="s">
        <v>5384</v>
      </c>
      <c r="N66" s="48"/>
      <c r="O66" s="39" t="s">
        <v>55</v>
      </c>
      <c r="P66" s="39" t="s">
        <v>127</v>
      </c>
      <c r="Q66" s="39">
        <v>323.89999999999998</v>
      </c>
      <c r="R66" s="40">
        <v>229.00411246045206</v>
      </c>
    </row>
    <row r="67" spans="1:18" s="39" customFormat="1" ht="31.25" customHeight="1" x14ac:dyDescent="0.2">
      <c r="A67" s="51" t="s">
        <v>5483</v>
      </c>
      <c r="B67" s="55" t="s">
        <v>56</v>
      </c>
      <c r="C67" s="55" t="s">
        <v>120</v>
      </c>
      <c r="D67" s="55" t="s">
        <v>160</v>
      </c>
      <c r="E67" s="55" t="s">
        <v>5417</v>
      </c>
      <c r="F67" s="55" t="s">
        <v>5424</v>
      </c>
      <c r="G67" s="57" t="s">
        <v>1816</v>
      </c>
      <c r="H67" s="57" t="s">
        <v>158</v>
      </c>
      <c r="I67" s="48"/>
      <c r="J67" s="48"/>
      <c r="K67" s="48"/>
      <c r="L67" s="47" t="s">
        <v>5425</v>
      </c>
      <c r="M67" s="48" t="s">
        <v>5384</v>
      </c>
      <c r="N67" s="48"/>
      <c r="O67" s="39" t="s">
        <v>55</v>
      </c>
      <c r="P67" s="39" t="s">
        <v>127</v>
      </c>
      <c r="Q67" s="39">
        <v>1600</v>
      </c>
      <c r="R67" s="40">
        <v>1131.2336521664815</v>
      </c>
    </row>
    <row r="68" spans="1:18" s="39" customFormat="1" ht="31.25" customHeight="1" x14ac:dyDescent="0.2">
      <c r="A68" s="51" t="s">
        <v>5484</v>
      </c>
      <c r="B68" s="55" t="s">
        <v>56</v>
      </c>
      <c r="C68" s="55" t="s">
        <v>120</v>
      </c>
      <c r="D68" s="55" t="s">
        <v>160</v>
      </c>
      <c r="E68" s="55" t="s">
        <v>5417</v>
      </c>
      <c r="F68" s="55" t="s">
        <v>5426</v>
      </c>
      <c r="G68" s="57" t="s">
        <v>1816</v>
      </c>
      <c r="H68" s="57" t="s">
        <v>158</v>
      </c>
      <c r="I68" s="48"/>
      <c r="J68" s="48"/>
      <c r="K68" s="48"/>
      <c r="L68" s="47" t="s">
        <v>5427</v>
      </c>
      <c r="M68" s="48" t="s">
        <v>5384</v>
      </c>
      <c r="N68" s="48"/>
      <c r="O68" s="39" t="s">
        <v>55</v>
      </c>
      <c r="P68" s="39" t="s">
        <v>127</v>
      </c>
      <c r="Q68" s="39">
        <v>3200</v>
      </c>
      <c r="R68" s="40">
        <v>2262.4673043329631</v>
      </c>
    </row>
    <row r="69" spans="1:18" s="39" customFormat="1" ht="31.25" customHeight="1" x14ac:dyDescent="0.2">
      <c r="A69" s="51" t="s">
        <v>5485</v>
      </c>
      <c r="B69" s="55" t="s">
        <v>56</v>
      </c>
      <c r="C69" s="55" t="s">
        <v>120</v>
      </c>
      <c r="D69" s="55" t="s">
        <v>160</v>
      </c>
      <c r="E69" s="55" t="s">
        <v>5417</v>
      </c>
      <c r="F69" s="64" t="s">
        <v>5428</v>
      </c>
      <c r="G69" s="57" t="s">
        <v>1816</v>
      </c>
      <c r="H69" s="57" t="s">
        <v>158</v>
      </c>
      <c r="I69" s="48"/>
      <c r="J69" s="48"/>
      <c r="K69" s="48"/>
      <c r="L69" s="47" t="s">
        <v>5429</v>
      </c>
      <c r="M69" s="48" t="s">
        <v>5384</v>
      </c>
      <c r="N69" s="48"/>
      <c r="O69" s="39" t="s">
        <v>55</v>
      </c>
      <c r="P69" s="39" t="s">
        <v>127</v>
      </c>
      <c r="Q69" s="39">
        <v>322.60000000000002</v>
      </c>
      <c r="R69" s="40">
        <v>228.08498511806684</v>
      </c>
    </row>
    <row r="70" spans="1:18" s="39" customFormat="1" ht="31.25" customHeight="1" x14ac:dyDescent="0.2">
      <c r="A70" s="51" t="s">
        <v>5486</v>
      </c>
      <c r="B70" s="55" t="s">
        <v>56</v>
      </c>
      <c r="C70" s="55" t="s">
        <v>120</v>
      </c>
      <c r="D70" s="55" t="s">
        <v>160</v>
      </c>
      <c r="E70" s="55" t="s">
        <v>5417</v>
      </c>
      <c r="F70" s="55" t="s">
        <v>5430</v>
      </c>
      <c r="G70" s="57" t="s">
        <v>1816</v>
      </c>
      <c r="H70" s="57" t="s">
        <v>158</v>
      </c>
      <c r="I70" s="48"/>
      <c r="J70" s="48"/>
      <c r="K70" s="48"/>
      <c r="L70" s="47" t="s">
        <v>5431</v>
      </c>
      <c r="M70" s="48" t="s">
        <v>5384</v>
      </c>
      <c r="N70" s="48"/>
      <c r="O70" s="39" t="s">
        <v>55</v>
      </c>
      <c r="P70" s="39" t="s">
        <v>127</v>
      </c>
      <c r="Q70" s="39">
        <v>3000</v>
      </c>
      <c r="R70" s="40">
        <v>2121.0630978121526</v>
      </c>
    </row>
    <row r="71" spans="1:18" s="39" customFormat="1" ht="31.25" customHeight="1" x14ac:dyDescent="0.2">
      <c r="A71" s="51" t="s">
        <v>5487</v>
      </c>
      <c r="B71" s="55" t="s">
        <v>56</v>
      </c>
      <c r="C71" s="55" t="s">
        <v>120</v>
      </c>
      <c r="D71" s="55" t="s">
        <v>160</v>
      </c>
      <c r="E71" s="55" t="s">
        <v>5417</v>
      </c>
      <c r="F71" s="55" t="s">
        <v>5432</v>
      </c>
      <c r="G71" s="57" t="s">
        <v>1816</v>
      </c>
      <c r="H71" s="57" t="s">
        <v>158</v>
      </c>
      <c r="I71" s="48"/>
      <c r="J71" s="48"/>
      <c r="K71" s="48"/>
      <c r="L71" s="47" t="s">
        <v>5433</v>
      </c>
      <c r="M71" s="48" t="s">
        <v>5384</v>
      </c>
      <c r="N71" s="48"/>
      <c r="O71" s="39" t="s">
        <v>55</v>
      </c>
      <c r="P71" s="39" t="s">
        <v>127</v>
      </c>
      <c r="Q71" s="39">
        <v>1300</v>
      </c>
      <c r="R71" s="40">
        <v>919.12734238526616</v>
      </c>
    </row>
    <row r="72" spans="1:18" s="39" customFormat="1" ht="31.25" customHeight="1" x14ac:dyDescent="0.25">
      <c r="A72" s="51" t="s">
        <v>5488</v>
      </c>
      <c r="B72" s="55" t="s">
        <v>56</v>
      </c>
      <c r="C72" s="55" t="s">
        <v>120</v>
      </c>
      <c r="D72" s="55" t="s">
        <v>160</v>
      </c>
      <c r="E72" s="55" t="s">
        <v>251</v>
      </c>
      <c r="F72" s="55" t="s">
        <v>5434</v>
      </c>
      <c r="G72" s="57" t="s">
        <v>1816</v>
      </c>
      <c r="H72" s="57" t="s">
        <v>158</v>
      </c>
      <c r="I72" s="48"/>
      <c r="J72" s="48"/>
      <c r="K72" s="48"/>
      <c r="L72" s="47" t="s">
        <v>5435</v>
      </c>
      <c r="M72" s="49" t="s">
        <v>5384</v>
      </c>
      <c r="N72" s="48"/>
      <c r="O72" s="39" t="s">
        <v>55</v>
      </c>
      <c r="P72" s="39" t="s">
        <v>127</v>
      </c>
      <c r="Q72" s="39">
        <v>1000</v>
      </c>
      <c r="R72" s="40">
        <v>707.0210326040509</v>
      </c>
    </row>
    <row r="73" spans="1:18" s="39" customFormat="1" ht="31.25" customHeight="1" x14ac:dyDescent="0.25">
      <c r="A73" s="51" t="s">
        <v>5489</v>
      </c>
      <c r="B73" s="55" t="s">
        <v>56</v>
      </c>
      <c r="C73" s="55" t="s">
        <v>120</v>
      </c>
      <c r="D73" s="55" t="s">
        <v>160</v>
      </c>
      <c r="E73" s="55" t="s">
        <v>251</v>
      </c>
      <c r="F73" s="55" t="s">
        <v>5436</v>
      </c>
      <c r="G73" s="57" t="s">
        <v>1816</v>
      </c>
      <c r="H73" s="57" t="s">
        <v>158</v>
      </c>
      <c r="I73" s="48"/>
      <c r="J73" s="48"/>
      <c r="K73" s="48"/>
      <c r="L73" s="47" t="s">
        <v>5437</v>
      </c>
      <c r="M73" s="49" t="s">
        <v>5384</v>
      </c>
      <c r="N73" s="48"/>
      <c r="O73" s="39" t="s">
        <v>55</v>
      </c>
      <c r="P73" s="39" t="s">
        <v>127</v>
      </c>
      <c r="Q73" s="39">
        <v>348</v>
      </c>
      <c r="R73" s="40">
        <v>246.0433193462097</v>
      </c>
    </row>
    <row r="74" spans="1:18" s="39" customFormat="1" ht="31.25" customHeight="1" x14ac:dyDescent="0.25">
      <c r="A74" s="51" t="s">
        <v>5490</v>
      </c>
      <c r="B74" s="55" t="s">
        <v>56</v>
      </c>
      <c r="C74" s="55" t="s">
        <v>5438</v>
      </c>
      <c r="D74" s="55" t="s">
        <v>5343</v>
      </c>
      <c r="E74" s="55" t="s">
        <v>166</v>
      </c>
      <c r="F74" s="55" t="s">
        <v>5439</v>
      </c>
      <c r="G74" s="57" t="s">
        <v>1816</v>
      </c>
      <c r="H74" s="57" t="s">
        <v>158</v>
      </c>
      <c r="I74" s="48"/>
      <c r="J74" s="48"/>
      <c r="K74" s="48"/>
      <c r="L74" s="47" t="s">
        <v>5440</v>
      </c>
      <c r="M74" s="49" t="s">
        <v>5384</v>
      </c>
      <c r="N74" s="48"/>
      <c r="O74" s="39" t="s">
        <v>55</v>
      </c>
      <c r="P74" s="39" t="s">
        <v>127</v>
      </c>
      <c r="Q74" s="39">
        <v>782.1</v>
      </c>
      <c r="R74" s="40">
        <v>552.96114959962824</v>
      </c>
    </row>
    <row r="75" spans="1:18" s="39" customFormat="1" ht="31.25" customHeight="1" x14ac:dyDescent="0.25">
      <c r="A75" s="51" t="s">
        <v>5491</v>
      </c>
      <c r="B75" s="55" t="s">
        <v>56</v>
      </c>
      <c r="C75" s="55" t="s">
        <v>120</v>
      </c>
      <c r="D75" s="55" t="s">
        <v>121</v>
      </c>
      <c r="E75" s="55" t="s">
        <v>166</v>
      </c>
      <c r="F75" s="55" t="s">
        <v>5441</v>
      </c>
      <c r="G75" s="57" t="s">
        <v>134</v>
      </c>
      <c r="H75" s="57" t="s">
        <v>158</v>
      </c>
      <c r="I75" s="57"/>
      <c r="J75" s="48"/>
      <c r="K75" s="48"/>
      <c r="L75" s="47" t="s">
        <v>5442</v>
      </c>
      <c r="M75" s="49" t="s">
        <v>169</v>
      </c>
      <c r="N75" s="48"/>
      <c r="O75" s="48" t="s">
        <v>52</v>
      </c>
      <c r="P75" s="39" t="s">
        <v>127</v>
      </c>
      <c r="Q75" s="39">
        <v>774.8</v>
      </c>
      <c r="R75" s="40">
        <v>547.7998960616186</v>
      </c>
    </row>
    <row r="76" spans="1:18" s="39" customFormat="1" ht="31.25" customHeight="1" x14ac:dyDescent="0.25">
      <c r="A76" s="51" t="s">
        <v>5492</v>
      </c>
      <c r="B76" s="55" t="s">
        <v>56</v>
      </c>
      <c r="C76" s="55" t="s">
        <v>120</v>
      </c>
      <c r="D76" s="55" t="s">
        <v>121</v>
      </c>
      <c r="E76" s="55" t="s">
        <v>199</v>
      </c>
      <c r="F76" s="60" t="s">
        <v>5406</v>
      </c>
      <c r="G76" s="61" t="s">
        <v>152</v>
      </c>
      <c r="H76" s="61" t="s">
        <v>134</v>
      </c>
      <c r="I76" s="61" t="s">
        <v>158</v>
      </c>
      <c r="J76" s="48"/>
      <c r="K76" s="48"/>
      <c r="L76" s="47" t="s">
        <v>5443</v>
      </c>
      <c r="M76" s="49" t="s">
        <v>5384</v>
      </c>
      <c r="N76" s="48"/>
      <c r="O76" s="48" t="s">
        <v>52</v>
      </c>
      <c r="P76" s="39" t="s">
        <v>127</v>
      </c>
      <c r="Q76" s="39">
        <v>59.8</v>
      </c>
      <c r="R76" s="40">
        <v>42.27985774972224</v>
      </c>
    </row>
    <row r="77" spans="1:18" s="39" customFormat="1" ht="31.25" customHeight="1" x14ac:dyDescent="0.2">
      <c r="A77" s="51" t="s">
        <v>5493</v>
      </c>
      <c r="B77" s="55" t="s">
        <v>56</v>
      </c>
      <c r="C77" s="55" t="s">
        <v>120</v>
      </c>
      <c r="D77" s="55" t="s">
        <v>121</v>
      </c>
      <c r="E77" s="96" t="s">
        <v>133</v>
      </c>
      <c r="F77" s="55" t="s">
        <v>5444</v>
      </c>
      <c r="G77" s="57" t="s">
        <v>153</v>
      </c>
      <c r="H77" s="57" t="s">
        <v>1816</v>
      </c>
      <c r="I77" s="61"/>
      <c r="J77" s="48"/>
      <c r="K77" s="48"/>
      <c r="L77" s="65" t="s">
        <v>5445</v>
      </c>
      <c r="M77" s="48" t="s">
        <v>5384</v>
      </c>
      <c r="N77" s="48"/>
      <c r="O77" s="48" t="s">
        <v>52</v>
      </c>
      <c r="P77" s="39" t="s">
        <v>127</v>
      </c>
      <c r="Q77" s="39">
        <v>160</v>
      </c>
      <c r="R77" s="40">
        <v>113.12336521664814</v>
      </c>
    </row>
    <row r="78" spans="1:18" s="39" customFormat="1" ht="31.25" customHeight="1" x14ac:dyDescent="0.25">
      <c r="A78" s="51" t="s">
        <v>5494</v>
      </c>
      <c r="B78" s="55" t="s">
        <v>56</v>
      </c>
      <c r="C78" s="55" t="s">
        <v>177</v>
      </c>
      <c r="D78" s="55" t="s">
        <v>121</v>
      </c>
      <c r="E78" s="55" t="s">
        <v>251</v>
      </c>
      <c r="F78" s="55" t="s">
        <v>5434</v>
      </c>
      <c r="G78" s="57" t="s">
        <v>1816</v>
      </c>
      <c r="H78" s="57" t="s">
        <v>162</v>
      </c>
      <c r="I78" s="61" t="s">
        <v>158</v>
      </c>
      <c r="J78" s="48"/>
      <c r="K78" s="48"/>
      <c r="L78" s="66" t="s">
        <v>5446</v>
      </c>
      <c r="M78" s="49" t="s">
        <v>5384</v>
      </c>
      <c r="N78" s="48"/>
      <c r="O78" s="48" t="s">
        <v>55</v>
      </c>
      <c r="P78" s="39" t="s">
        <v>127</v>
      </c>
      <c r="Q78" s="39">
        <v>1000</v>
      </c>
      <c r="R78" s="40">
        <v>707.0210326040509</v>
      </c>
    </row>
    <row r="79" spans="1:18" s="39" customFormat="1" ht="31.25" customHeight="1" x14ac:dyDescent="0.2">
      <c r="A79" s="51" t="s">
        <v>5495</v>
      </c>
      <c r="B79" s="55" t="s">
        <v>56</v>
      </c>
      <c r="C79" s="55" t="s">
        <v>177</v>
      </c>
      <c r="D79" s="55" t="s">
        <v>121</v>
      </c>
      <c r="E79" s="96" t="s">
        <v>133</v>
      </c>
      <c r="F79" s="55" t="s">
        <v>5447</v>
      </c>
      <c r="G79" s="61" t="s">
        <v>1816</v>
      </c>
      <c r="H79" s="61" t="s">
        <v>162</v>
      </c>
      <c r="I79" s="61" t="s">
        <v>158</v>
      </c>
      <c r="J79" s="48"/>
      <c r="K79" s="48"/>
      <c r="L79" s="47" t="s">
        <v>5448</v>
      </c>
      <c r="M79" s="48" t="s">
        <v>5384</v>
      </c>
      <c r="N79" s="48"/>
      <c r="O79" s="48" t="s">
        <v>55</v>
      </c>
      <c r="P79" s="39" t="s">
        <v>127</v>
      </c>
      <c r="Q79" s="39">
        <v>141.6</v>
      </c>
      <c r="R79" s="40">
        <v>100.11417821673361</v>
      </c>
    </row>
    <row r="80" spans="1:18" s="39" customFormat="1" ht="31.25" customHeight="1" x14ac:dyDescent="0.2">
      <c r="A80" s="51" t="s">
        <v>5496</v>
      </c>
      <c r="B80" s="55" t="s">
        <v>56</v>
      </c>
      <c r="C80" s="55" t="s">
        <v>177</v>
      </c>
      <c r="D80" s="55" t="s">
        <v>121</v>
      </c>
      <c r="E80" s="96" t="s">
        <v>133</v>
      </c>
      <c r="F80" s="55" t="s">
        <v>5449</v>
      </c>
      <c r="G80" s="61" t="s">
        <v>1816</v>
      </c>
      <c r="H80" s="61" t="s">
        <v>158</v>
      </c>
      <c r="I80" s="61"/>
      <c r="J80" s="48"/>
      <c r="K80" s="48"/>
      <c r="L80" s="47" t="s">
        <v>5450</v>
      </c>
      <c r="M80" s="48" t="s">
        <v>5384</v>
      </c>
      <c r="N80" s="48"/>
      <c r="O80" s="48" t="s">
        <v>55</v>
      </c>
      <c r="P80" s="39" t="s">
        <v>127</v>
      </c>
      <c r="Q80" s="39">
        <v>89.3</v>
      </c>
      <c r="R80" s="40">
        <v>63.136978211541745</v>
      </c>
    </row>
    <row r="81" spans="1:18" s="39" customFormat="1" ht="31.25" customHeight="1" x14ac:dyDescent="0.25">
      <c r="A81" s="51" t="s">
        <v>5497</v>
      </c>
      <c r="B81" s="39" t="s">
        <v>56</v>
      </c>
      <c r="C81" s="55" t="s">
        <v>120</v>
      </c>
      <c r="D81" s="55" t="s">
        <v>121</v>
      </c>
      <c r="E81" s="55" t="s">
        <v>166</v>
      </c>
      <c r="F81" s="54" t="s">
        <v>5441</v>
      </c>
      <c r="G81" s="57" t="s">
        <v>134</v>
      </c>
      <c r="H81" s="57"/>
      <c r="I81" s="57"/>
      <c r="J81" s="48"/>
      <c r="K81" s="48"/>
      <c r="L81" s="47" t="s">
        <v>167</v>
      </c>
      <c r="M81" s="49" t="s">
        <v>168</v>
      </c>
      <c r="N81" s="48"/>
      <c r="O81" s="48" t="s">
        <v>52</v>
      </c>
      <c r="P81" s="39" t="s">
        <v>127</v>
      </c>
      <c r="Q81" s="39">
        <v>774.8</v>
      </c>
      <c r="R81" s="40">
        <v>547.7998960616186</v>
      </c>
    </row>
    <row r="82" spans="1:18" s="39" customFormat="1" ht="31.25" customHeight="1" x14ac:dyDescent="0.2">
      <c r="A82" s="51" t="s">
        <v>5498</v>
      </c>
      <c r="B82" s="56" t="s">
        <v>56</v>
      </c>
      <c r="C82" s="55" t="s">
        <v>177</v>
      </c>
      <c r="D82" s="55" t="s">
        <v>121</v>
      </c>
      <c r="E82" s="55" t="s">
        <v>133</v>
      </c>
      <c r="F82" s="55" t="s">
        <v>5374</v>
      </c>
      <c r="G82" s="57" t="s">
        <v>153</v>
      </c>
      <c r="H82" s="57" t="s">
        <v>134</v>
      </c>
      <c r="I82" s="57" t="s">
        <v>1816</v>
      </c>
      <c r="J82" s="48"/>
      <c r="K82" s="48"/>
      <c r="L82" s="47" t="s">
        <v>5451</v>
      </c>
      <c r="M82" s="67" t="s">
        <v>5452</v>
      </c>
      <c r="N82" s="48"/>
      <c r="O82" s="48" t="s">
        <v>52</v>
      </c>
      <c r="P82" s="39" t="s">
        <v>127</v>
      </c>
      <c r="Q82" s="39">
        <v>11.6</v>
      </c>
      <c r="R82" s="40">
        <v>8.2014439782069903</v>
      </c>
    </row>
    <row r="83" spans="1:18" s="39" customFormat="1" ht="31.25" customHeight="1" x14ac:dyDescent="0.2">
      <c r="A83" s="51" t="s">
        <v>5499</v>
      </c>
      <c r="B83" s="56" t="s">
        <v>56</v>
      </c>
      <c r="C83" s="55" t="s">
        <v>177</v>
      </c>
      <c r="D83" s="55" t="s">
        <v>121</v>
      </c>
      <c r="E83" s="96" t="s">
        <v>133</v>
      </c>
      <c r="F83" s="55" t="s">
        <v>5453</v>
      </c>
      <c r="G83" s="57" t="s">
        <v>162</v>
      </c>
      <c r="H83" s="57" t="s">
        <v>1816</v>
      </c>
      <c r="I83" s="57" t="s">
        <v>134</v>
      </c>
      <c r="J83" s="48"/>
      <c r="K83" s="48"/>
      <c r="L83" s="47" t="s">
        <v>5454</v>
      </c>
      <c r="M83" s="56" t="s">
        <v>5452</v>
      </c>
      <c r="N83" s="48"/>
      <c r="O83" s="48" t="s">
        <v>55</v>
      </c>
      <c r="P83" s="39" t="s">
        <v>127</v>
      </c>
      <c r="Q83" s="39">
        <v>184.7</v>
      </c>
      <c r="R83" s="40">
        <v>130.5867847219682</v>
      </c>
    </row>
    <row r="84" spans="1:18" s="39" customFormat="1" ht="31.25" customHeight="1" x14ac:dyDescent="0.2">
      <c r="A84" s="51" t="s">
        <v>5500</v>
      </c>
      <c r="B84" s="56" t="s">
        <v>56</v>
      </c>
      <c r="C84" s="55" t="s">
        <v>177</v>
      </c>
      <c r="D84" s="55" t="s">
        <v>121</v>
      </c>
      <c r="E84" s="55" t="s">
        <v>133</v>
      </c>
      <c r="F84" s="55" t="s">
        <v>5455</v>
      </c>
      <c r="G84" s="57" t="s">
        <v>153</v>
      </c>
      <c r="H84" s="57" t="s">
        <v>1816</v>
      </c>
      <c r="I84" s="57"/>
      <c r="J84" s="48"/>
      <c r="K84" s="48"/>
      <c r="L84" s="47" t="s">
        <v>5456</v>
      </c>
      <c r="M84" s="67" t="s">
        <v>5452</v>
      </c>
      <c r="N84" s="48"/>
      <c r="O84" s="48" t="s">
        <v>52</v>
      </c>
      <c r="P84" s="39" t="s">
        <v>127</v>
      </c>
      <c r="Q84" s="39">
        <v>2000</v>
      </c>
      <c r="R84" s="40">
        <v>1414.0420652081018</v>
      </c>
    </row>
    <row r="85" spans="1:18" s="39" customFormat="1" ht="31.25" customHeight="1" x14ac:dyDescent="0.2">
      <c r="A85" s="51" t="s">
        <v>5501</v>
      </c>
      <c r="B85" s="56" t="s">
        <v>56</v>
      </c>
      <c r="C85" s="55" t="s">
        <v>177</v>
      </c>
      <c r="D85" s="55" t="s">
        <v>121</v>
      </c>
      <c r="E85" s="55" t="s">
        <v>251</v>
      </c>
      <c r="F85" s="55" t="s">
        <v>5457</v>
      </c>
      <c r="G85" s="57" t="s">
        <v>1816</v>
      </c>
      <c r="H85" s="57" t="s">
        <v>158</v>
      </c>
      <c r="I85" s="57"/>
      <c r="J85" s="48"/>
      <c r="K85" s="48"/>
      <c r="L85" s="47" t="s">
        <v>5458</v>
      </c>
      <c r="M85" s="56" t="s">
        <v>5452</v>
      </c>
      <c r="N85" s="48"/>
      <c r="O85" s="48" t="s">
        <v>5140</v>
      </c>
      <c r="P85" s="39" t="s">
        <v>127</v>
      </c>
      <c r="Q85" s="39">
        <v>1000</v>
      </c>
      <c r="R85" s="40">
        <v>707.0210326040509</v>
      </c>
    </row>
    <row r="86" spans="1:18" s="39" customFormat="1" ht="31.25" customHeight="1" x14ac:dyDescent="0.2">
      <c r="A86" s="51" t="s">
        <v>5502</v>
      </c>
      <c r="B86" s="56" t="s">
        <v>56</v>
      </c>
      <c r="C86" s="55" t="s">
        <v>177</v>
      </c>
      <c r="D86" s="55" t="s">
        <v>121</v>
      </c>
      <c r="E86" s="55" t="s">
        <v>251</v>
      </c>
      <c r="F86" s="55" t="s">
        <v>5459</v>
      </c>
      <c r="G86" s="57" t="s">
        <v>1816</v>
      </c>
      <c r="H86" s="57" t="s">
        <v>158</v>
      </c>
      <c r="I86" s="57"/>
      <c r="J86" s="48"/>
      <c r="K86" s="48"/>
      <c r="L86" s="47" t="s">
        <v>5460</v>
      </c>
      <c r="M86" s="56" t="s">
        <v>5452</v>
      </c>
      <c r="N86" s="48"/>
      <c r="O86" s="48" t="s">
        <v>637</v>
      </c>
      <c r="P86" s="39" t="s">
        <v>127</v>
      </c>
      <c r="Q86" s="39">
        <v>1100</v>
      </c>
      <c r="R86" s="40">
        <v>777.72313586445603</v>
      </c>
    </row>
    <row r="87" spans="1:18" s="39" customFormat="1" ht="31.25" customHeight="1" x14ac:dyDescent="0.2">
      <c r="A87" s="51" t="s">
        <v>5503</v>
      </c>
      <c r="B87" s="56" t="s">
        <v>56</v>
      </c>
      <c r="C87" s="55" t="s">
        <v>177</v>
      </c>
      <c r="D87" s="55" t="s">
        <v>121</v>
      </c>
      <c r="E87" s="55" t="s">
        <v>251</v>
      </c>
      <c r="F87" s="55" t="s">
        <v>5459</v>
      </c>
      <c r="G87" s="57" t="s">
        <v>1816</v>
      </c>
      <c r="H87" s="57" t="s">
        <v>158</v>
      </c>
      <c r="I87" s="57"/>
      <c r="J87" s="48"/>
      <c r="K87" s="48"/>
      <c r="L87" s="47" t="s">
        <v>5461</v>
      </c>
      <c r="M87" s="56" t="s">
        <v>5452</v>
      </c>
      <c r="N87" s="48"/>
      <c r="O87" s="48" t="s">
        <v>54</v>
      </c>
      <c r="P87" s="39" t="s">
        <v>127</v>
      </c>
      <c r="Q87" s="39">
        <v>1100</v>
      </c>
      <c r="R87" s="40">
        <v>777.72313586445603</v>
      </c>
    </row>
    <row r="88" spans="1:18" s="39" customFormat="1" ht="31.25" customHeight="1" x14ac:dyDescent="0.2">
      <c r="A88" s="51" t="s">
        <v>5504</v>
      </c>
      <c r="B88" s="56" t="s">
        <v>56</v>
      </c>
      <c r="C88" s="55" t="s">
        <v>177</v>
      </c>
      <c r="D88" s="55" t="s">
        <v>121</v>
      </c>
      <c r="E88" s="55" t="s">
        <v>251</v>
      </c>
      <c r="F88" s="55" t="s">
        <v>5462</v>
      </c>
      <c r="G88" s="57" t="s">
        <v>1816</v>
      </c>
      <c r="H88" s="57" t="s">
        <v>158</v>
      </c>
      <c r="I88" s="57"/>
      <c r="J88" s="48"/>
      <c r="K88" s="48"/>
      <c r="L88" s="47" t="s">
        <v>5463</v>
      </c>
      <c r="M88" s="56" t="s">
        <v>5452</v>
      </c>
      <c r="N88" s="48"/>
      <c r="O88" s="48" t="s">
        <v>54</v>
      </c>
      <c r="P88" s="39" t="s">
        <v>127</v>
      </c>
      <c r="Q88" s="39">
        <v>359.6</v>
      </c>
      <c r="R88" s="40">
        <v>254.24476332441671</v>
      </c>
    </row>
    <row r="89" spans="1:18" s="39" customFormat="1" ht="31.25" customHeight="1" x14ac:dyDescent="0.2">
      <c r="A89" s="51" t="s">
        <v>5505</v>
      </c>
      <c r="B89" s="56" t="s">
        <v>56</v>
      </c>
      <c r="C89" s="55" t="s">
        <v>177</v>
      </c>
      <c r="D89" s="55" t="s">
        <v>121</v>
      </c>
      <c r="E89" s="55" t="s">
        <v>251</v>
      </c>
      <c r="F89" s="55" t="s">
        <v>5464</v>
      </c>
      <c r="G89" s="57" t="s">
        <v>1816</v>
      </c>
      <c r="H89" s="57" t="s">
        <v>158</v>
      </c>
      <c r="I89" s="57"/>
      <c r="J89" s="48"/>
      <c r="K89" s="48"/>
      <c r="L89" s="47" t="s">
        <v>5465</v>
      </c>
      <c r="M89" s="56" t="s">
        <v>5452</v>
      </c>
      <c r="N89" s="48"/>
      <c r="O89" s="48" t="s">
        <v>54</v>
      </c>
      <c r="P89" s="39" t="s">
        <v>127</v>
      </c>
      <c r="Q89" s="39">
        <v>155.30000000000001</v>
      </c>
      <c r="R89" s="40">
        <v>109.80036636340911</v>
      </c>
    </row>
    <row r="90" spans="1:18" s="39" customFormat="1" ht="31.25" customHeight="1" x14ac:dyDescent="0.2">
      <c r="A90" s="51" t="s">
        <v>5506</v>
      </c>
      <c r="B90" s="56" t="s">
        <v>56</v>
      </c>
      <c r="C90" s="55" t="s">
        <v>177</v>
      </c>
      <c r="D90" s="55" t="s">
        <v>121</v>
      </c>
      <c r="E90" s="55" t="s">
        <v>251</v>
      </c>
      <c r="F90" s="55" t="s">
        <v>5466</v>
      </c>
      <c r="G90" s="57" t="s">
        <v>1816</v>
      </c>
      <c r="H90" s="57" t="s">
        <v>158</v>
      </c>
      <c r="I90" s="57"/>
      <c r="J90" s="48"/>
      <c r="K90" s="48"/>
      <c r="L90" s="47" t="s">
        <v>5467</v>
      </c>
      <c r="M90" s="56" t="s">
        <v>5452</v>
      </c>
      <c r="N90" s="48"/>
      <c r="O90" s="48" t="s">
        <v>54</v>
      </c>
      <c r="P90" s="39" t="s">
        <v>127</v>
      </c>
      <c r="Q90" s="39">
        <v>2000</v>
      </c>
      <c r="R90" s="40">
        <v>1414.0420652081018</v>
      </c>
    </row>
    <row r="91" spans="1:18" s="39" customFormat="1" ht="31.25" customHeight="1" x14ac:dyDescent="0.2">
      <c r="A91" s="51" t="s">
        <v>5507</v>
      </c>
      <c r="B91" s="56" t="s">
        <v>56</v>
      </c>
      <c r="C91" s="55" t="s">
        <v>177</v>
      </c>
      <c r="D91" s="55" t="s">
        <v>121</v>
      </c>
      <c r="E91" s="55" t="s">
        <v>251</v>
      </c>
      <c r="F91" s="55" t="s">
        <v>5432</v>
      </c>
      <c r="G91" s="57" t="s">
        <v>1816</v>
      </c>
      <c r="H91" s="57" t="s">
        <v>158</v>
      </c>
      <c r="I91" s="57"/>
      <c r="J91" s="48"/>
      <c r="K91" s="48"/>
      <c r="L91" s="47" t="s">
        <v>5468</v>
      </c>
      <c r="M91" s="56" t="s">
        <v>5452</v>
      </c>
      <c r="N91" s="48"/>
      <c r="O91" s="48" t="s">
        <v>637</v>
      </c>
      <c r="P91" s="39" t="s">
        <v>127</v>
      </c>
      <c r="Q91" s="39">
        <v>1300</v>
      </c>
      <c r="R91" s="40">
        <v>919.12734238526616</v>
      </c>
    </row>
    <row r="92" spans="1:18" s="39" customFormat="1" ht="31.25" customHeight="1" x14ac:dyDescent="0.2">
      <c r="A92" s="51" t="s">
        <v>5508</v>
      </c>
      <c r="B92" s="56" t="s">
        <v>56</v>
      </c>
      <c r="C92" s="55" t="s">
        <v>177</v>
      </c>
      <c r="D92" s="55" t="s">
        <v>121</v>
      </c>
      <c r="E92" s="55" t="s">
        <v>251</v>
      </c>
      <c r="F92" s="55" t="s">
        <v>5469</v>
      </c>
      <c r="G92" s="57" t="s">
        <v>1816</v>
      </c>
      <c r="H92" s="57" t="s">
        <v>158</v>
      </c>
      <c r="I92" s="57"/>
      <c r="J92" s="48"/>
      <c r="K92" s="48"/>
      <c r="L92" s="47" t="s">
        <v>5470</v>
      </c>
      <c r="M92" s="56" t="s">
        <v>5452</v>
      </c>
      <c r="N92" s="48"/>
      <c r="O92" s="48" t="s">
        <v>54</v>
      </c>
      <c r="P92" s="39" t="s">
        <v>127</v>
      </c>
      <c r="Q92" s="39">
        <v>189.5</v>
      </c>
      <c r="R92" s="40">
        <v>133.98048567846766</v>
      </c>
    </row>
    <row r="93" spans="1:18" s="39" customFormat="1" ht="31.25" customHeight="1" x14ac:dyDescent="0.2">
      <c r="A93" s="51" t="s">
        <v>5538</v>
      </c>
      <c r="B93" s="56" t="s">
        <v>56</v>
      </c>
      <c r="C93" s="55" t="s">
        <v>177</v>
      </c>
      <c r="D93" s="55" t="s">
        <v>121</v>
      </c>
      <c r="E93" s="55" t="s">
        <v>251</v>
      </c>
      <c r="F93" s="55" t="s">
        <v>5509</v>
      </c>
      <c r="G93" s="57" t="s">
        <v>1816</v>
      </c>
      <c r="H93" s="57" t="s">
        <v>158</v>
      </c>
      <c r="I93" s="57"/>
      <c r="J93" s="48"/>
      <c r="K93" s="48"/>
      <c r="L93" s="47" t="s">
        <v>5510</v>
      </c>
      <c r="M93" s="56" t="s">
        <v>5452</v>
      </c>
      <c r="N93" s="48"/>
      <c r="O93" s="48" t="s">
        <v>637</v>
      </c>
      <c r="P93" s="39" t="s">
        <v>127</v>
      </c>
      <c r="Q93" s="39">
        <v>2700</v>
      </c>
      <c r="R93" s="40">
        <v>1908.9567880309373</v>
      </c>
    </row>
    <row r="94" spans="1:18" s="39" customFormat="1" ht="31.25" customHeight="1" x14ac:dyDescent="0.2">
      <c r="A94" s="51" t="s">
        <v>5539</v>
      </c>
      <c r="B94" s="56" t="s">
        <v>56</v>
      </c>
      <c r="C94" s="55" t="s">
        <v>177</v>
      </c>
      <c r="D94" s="55" t="s">
        <v>121</v>
      </c>
      <c r="E94" s="55" t="s">
        <v>251</v>
      </c>
      <c r="F94" s="55" t="s">
        <v>5464</v>
      </c>
      <c r="G94" s="57" t="s">
        <v>1816</v>
      </c>
      <c r="H94" s="57" t="s">
        <v>158</v>
      </c>
      <c r="I94" s="57"/>
      <c r="J94" s="48"/>
      <c r="K94" s="48"/>
      <c r="L94" s="47" t="s">
        <v>5511</v>
      </c>
      <c r="M94" s="56" t="s">
        <v>5452</v>
      </c>
      <c r="N94" s="48"/>
      <c r="O94" s="48" t="s">
        <v>54</v>
      </c>
      <c r="P94" s="39" t="s">
        <v>127</v>
      </c>
      <c r="Q94" s="39">
        <v>155.30000000000001</v>
      </c>
      <c r="R94" s="40">
        <v>109.80036636340911</v>
      </c>
    </row>
    <row r="95" spans="1:18" s="39" customFormat="1" ht="31.25" customHeight="1" x14ac:dyDescent="0.2">
      <c r="A95" s="51" t="s">
        <v>5540</v>
      </c>
      <c r="B95" s="56" t="s">
        <v>56</v>
      </c>
      <c r="C95" s="55" t="s">
        <v>177</v>
      </c>
      <c r="D95" s="55" t="s">
        <v>121</v>
      </c>
      <c r="E95" s="55" t="s">
        <v>297</v>
      </c>
      <c r="F95" s="55" t="s">
        <v>5512</v>
      </c>
      <c r="G95" s="57" t="s">
        <v>1816</v>
      </c>
      <c r="H95" s="57" t="s">
        <v>162</v>
      </c>
      <c r="I95" s="57"/>
      <c r="J95" s="48"/>
      <c r="K95" s="48"/>
      <c r="L95" s="47" t="s">
        <v>5513</v>
      </c>
      <c r="M95" s="56" t="s">
        <v>5452</v>
      </c>
      <c r="N95" s="48"/>
      <c r="O95" s="48" t="s">
        <v>54</v>
      </c>
      <c r="P95" s="39" t="s">
        <v>127</v>
      </c>
      <c r="Q95" s="39">
        <v>355.9</v>
      </c>
      <c r="R95" s="40">
        <v>251.6287855037817</v>
      </c>
    </row>
    <row r="96" spans="1:18" s="39" customFormat="1" ht="31.25" customHeight="1" x14ac:dyDescent="0.2">
      <c r="A96" s="51" t="s">
        <v>5541</v>
      </c>
      <c r="B96" s="56" t="s">
        <v>56</v>
      </c>
      <c r="C96" s="55" t="s">
        <v>177</v>
      </c>
      <c r="D96" s="55" t="s">
        <v>121</v>
      </c>
      <c r="E96" s="55" t="s">
        <v>151</v>
      </c>
      <c r="F96" s="55" t="s">
        <v>5514</v>
      </c>
      <c r="G96" s="57" t="s">
        <v>1816</v>
      </c>
      <c r="H96" s="57" t="s">
        <v>134</v>
      </c>
      <c r="I96" s="57"/>
      <c r="J96" s="48"/>
      <c r="K96" s="48"/>
      <c r="L96" s="47" t="s">
        <v>5515</v>
      </c>
      <c r="M96" s="56" t="s">
        <v>5452</v>
      </c>
      <c r="N96" s="48"/>
      <c r="O96" s="48" t="s">
        <v>54</v>
      </c>
      <c r="P96" s="39" t="s">
        <v>127</v>
      </c>
      <c r="Q96" s="39">
        <v>250.7</v>
      </c>
      <c r="R96" s="40">
        <v>177.25017287383557</v>
      </c>
    </row>
    <row r="97" spans="1:18" s="39" customFormat="1" ht="31.25" customHeight="1" x14ac:dyDescent="0.2">
      <c r="A97" s="51" t="s">
        <v>5542</v>
      </c>
      <c r="B97" s="56" t="s">
        <v>56</v>
      </c>
      <c r="C97" s="55" t="s">
        <v>177</v>
      </c>
      <c r="D97" s="55" t="s">
        <v>121</v>
      </c>
      <c r="E97" s="55" t="s">
        <v>151</v>
      </c>
      <c r="F97" s="55" t="s">
        <v>5516</v>
      </c>
      <c r="G97" s="57" t="s">
        <v>1816</v>
      </c>
      <c r="H97" s="57" t="s">
        <v>162</v>
      </c>
      <c r="I97" s="57"/>
      <c r="J97" s="48"/>
      <c r="K97" s="48"/>
      <c r="L97" s="60" t="s">
        <v>5517</v>
      </c>
      <c r="M97" s="56" t="s">
        <v>5452</v>
      </c>
      <c r="N97" s="48"/>
      <c r="O97" s="48" t="s">
        <v>624</v>
      </c>
      <c r="P97" s="39" t="s">
        <v>127</v>
      </c>
      <c r="Q97" s="39">
        <v>1900</v>
      </c>
      <c r="R97" s="40">
        <v>1343.3399619476968</v>
      </c>
    </row>
    <row r="98" spans="1:18" s="39" customFormat="1" ht="31.25" customHeight="1" x14ac:dyDescent="0.2">
      <c r="A98" s="51" t="s">
        <v>5543</v>
      </c>
      <c r="B98" s="56" t="s">
        <v>56</v>
      </c>
      <c r="C98" s="55" t="s">
        <v>177</v>
      </c>
      <c r="D98" s="55" t="s">
        <v>121</v>
      </c>
      <c r="E98" s="55" t="s">
        <v>151</v>
      </c>
      <c r="F98" s="55" t="s">
        <v>5518</v>
      </c>
      <c r="G98" s="57" t="s">
        <v>1816</v>
      </c>
      <c r="H98" s="57" t="s">
        <v>162</v>
      </c>
      <c r="I98" s="57"/>
      <c r="J98" s="48"/>
      <c r="K98" s="48"/>
      <c r="L98" s="68" t="s">
        <v>5519</v>
      </c>
      <c r="M98" s="56" t="s">
        <v>5452</v>
      </c>
      <c r="N98" s="48"/>
      <c r="O98" s="48" t="s">
        <v>55</v>
      </c>
      <c r="P98" s="39" t="s">
        <v>127</v>
      </c>
      <c r="Q98" s="94">
        <v>134.69999999999999</v>
      </c>
      <c r="R98" s="40">
        <v>95.235733091765653</v>
      </c>
    </row>
    <row r="99" spans="1:18" s="39" customFormat="1" ht="31.25" customHeight="1" x14ac:dyDescent="0.2">
      <c r="A99" s="51" t="s">
        <v>5544</v>
      </c>
      <c r="B99" s="56" t="s">
        <v>56</v>
      </c>
      <c r="C99" s="55" t="s">
        <v>120</v>
      </c>
      <c r="D99" s="55" t="s">
        <v>121</v>
      </c>
      <c r="E99" s="55" t="s">
        <v>151</v>
      </c>
      <c r="F99" s="55" t="s">
        <v>5520</v>
      </c>
      <c r="G99" s="57" t="s">
        <v>1816</v>
      </c>
      <c r="H99" s="57" t="s">
        <v>162</v>
      </c>
      <c r="I99" s="57" t="s">
        <v>134</v>
      </c>
      <c r="J99" s="48"/>
      <c r="K99" s="48"/>
      <c r="L99" s="47" t="s">
        <v>5521</v>
      </c>
      <c r="M99" s="56" t="s">
        <v>5452</v>
      </c>
      <c r="N99" s="48"/>
      <c r="O99" s="48" t="s">
        <v>637</v>
      </c>
      <c r="P99" s="39" t="s">
        <v>127</v>
      </c>
      <c r="Q99" s="39">
        <v>52.9</v>
      </c>
      <c r="R99" s="40">
        <v>37.401412624754293</v>
      </c>
    </row>
    <row r="100" spans="1:18" s="39" customFormat="1" ht="31.25" customHeight="1" x14ac:dyDescent="0.2">
      <c r="A100" s="51" t="s">
        <v>5545</v>
      </c>
      <c r="B100" s="56" t="s">
        <v>56</v>
      </c>
      <c r="C100" s="55" t="s">
        <v>120</v>
      </c>
      <c r="D100" s="55" t="s">
        <v>121</v>
      </c>
      <c r="E100" s="55" t="s">
        <v>151</v>
      </c>
      <c r="F100" s="55" t="s">
        <v>5522</v>
      </c>
      <c r="G100" s="57" t="s">
        <v>152</v>
      </c>
      <c r="H100" s="57" t="s">
        <v>323</v>
      </c>
      <c r="I100" s="57" t="s">
        <v>134</v>
      </c>
      <c r="J100" s="48"/>
      <c r="K100" s="48"/>
      <c r="L100" s="47" t="s">
        <v>5523</v>
      </c>
      <c r="M100" s="67" t="s">
        <v>5452</v>
      </c>
      <c r="N100" s="48"/>
      <c r="O100" s="48" t="s">
        <v>52</v>
      </c>
      <c r="P100" s="39" t="s">
        <v>127</v>
      </c>
      <c r="Q100" s="39">
        <v>103.6</v>
      </c>
      <c r="R100" s="40">
        <v>73.247378977779675</v>
      </c>
    </row>
    <row r="101" spans="1:18" s="39" customFormat="1" ht="31.25" customHeight="1" x14ac:dyDescent="0.2">
      <c r="A101" s="51" t="s">
        <v>5546</v>
      </c>
      <c r="B101" s="56" t="s">
        <v>56</v>
      </c>
      <c r="C101" s="55" t="s">
        <v>120</v>
      </c>
      <c r="D101" s="55" t="s">
        <v>121</v>
      </c>
      <c r="E101" s="55" t="s">
        <v>199</v>
      </c>
      <c r="F101" s="55" t="s">
        <v>5524</v>
      </c>
      <c r="G101" s="57" t="s">
        <v>152</v>
      </c>
      <c r="H101" s="57" t="s">
        <v>323</v>
      </c>
      <c r="I101" s="57" t="s">
        <v>134</v>
      </c>
      <c r="J101" s="48"/>
      <c r="K101" s="48"/>
      <c r="L101" s="47" t="s">
        <v>5525</v>
      </c>
      <c r="M101" s="56" t="s">
        <v>5452</v>
      </c>
      <c r="N101" s="48"/>
      <c r="O101" s="48" t="s">
        <v>52</v>
      </c>
      <c r="P101" s="39" t="s">
        <v>127</v>
      </c>
      <c r="Q101" s="39">
        <v>10</v>
      </c>
      <c r="R101" s="40">
        <v>7.0702103260405087</v>
      </c>
    </row>
    <row r="102" spans="1:18" s="39" customFormat="1" ht="31.25" customHeight="1" x14ac:dyDescent="0.2">
      <c r="A102" s="51" t="s">
        <v>5547</v>
      </c>
      <c r="B102" s="56" t="s">
        <v>56</v>
      </c>
      <c r="C102" s="55" t="s">
        <v>177</v>
      </c>
      <c r="D102" s="55" t="s">
        <v>121</v>
      </c>
      <c r="E102" s="55" t="s">
        <v>151</v>
      </c>
      <c r="F102" s="55" t="s">
        <v>5526</v>
      </c>
      <c r="G102" s="57" t="s">
        <v>1816</v>
      </c>
      <c r="H102" s="57" t="s">
        <v>162</v>
      </c>
      <c r="I102" s="57"/>
      <c r="J102" s="48"/>
      <c r="K102" s="48"/>
      <c r="L102" s="47" t="s">
        <v>5527</v>
      </c>
      <c r="M102" s="56" t="s">
        <v>5452</v>
      </c>
      <c r="N102" s="48"/>
      <c r="O102" s="48" t="s">
        <v>55</v>
      </c>
      <c r="P102" s="39" t="s">
        <v>127</v>
      </c>
      <c r="Q102" s="39">
        <v>5.4</v>
      </c>
      <c r="R102" s="40">
        <v>3.817913576061875</v>
      </c>
    </row>
    <row r="103" spans="1:18" s="39" customFormat="1" ht="31.25" customHeight="1" x14ac:dyDescent="0.2">
      <c r="A103" s="51" t="s">
        <v>5548</v>
      </c>
      <c r="B103" s="56" t="s">
        <v>56</v>
      </c>
      <c r="C103" s="55" t="s">
        <v>177</v>
      </c>
      <c r="D103" s="55" t="s">
        <v>158</v>
      </c>
      <c r="E103" s="55" t="s">
        <v>133</v>
      </c>
      <c r="F103" s="55" t="s">
        <v>5528</v>
      </c>
      <c r="G103" s="57" t="s">
        <v>153</v>
      </c>
      <c r="H103" s="57" t="s">
        <v>134</v>
      </c>
      <c r="I103" s="57" t="s">
        <v>1816</v>
      </c>
      <c r="J103" s="48"/>
      <c r="K103" s="48"/>
      <c r="L103" s="47" t="s">
        <v>5529</v>
      </c>
      <c r="M103" s="56" t="s">
        <v>5452</v>
      </c>
      <c r="N103" s="48"/>
      <c r="O103" s="48" t="s">
        <v>52</v>
      </c>
      <c r="P103" s="39" t="s">
        <v>127</v>
      </c>
      <c r="Q103" s="39">
        <v>47.4</v>
      </c>
      <c r="R103" s="40">
        <v>33.512796945432015</v>
      </c>
    </row>
    <row r="104" spans="1:18" s="39" customFormat="1" ht="31.25" customHeight="1" x14ac:dyDescent="0.2">
      <c r="A104" s="51" t="s">
        <v>5549</v>
      </c>
      <c r="B104" s="56" t="s">
        <v>56</v>
      </c>
      <c r="C104" s="55" t="s">
        <v>177</v>
      </c>
      <c r="D104" s="55" t="s">
        <v>121</v>
      </c>
      <c r="E104" s="55" t="s">
        <v>172</v>
      </c>
      <c r="F104" s="55" t="s">
        <v>5530</v>
      </c>
      <c r="G104" s="57" t="s">
        <v>208</v>
      </c>
      <c r="H104" s="57" t="s">
        <v>153</v>
      </c>
      <c r="I104" s="57" t="s">
        <v>134</v>
      </c>
      <c r="J104" s="48"/>
      <c r="K104" s="48"/>
      <c r="L104" s="47" t="s">
        <v>5531</v>
      </c>
      <c r="M104" s="56" t="s">
        <v>5452</v>
      </c>
      <c r="N104" s="48"/>
      <c r="O104" s="48" t="s">
        <v>52</v>
      </c>
      <c r="P104" s="39" t="s">
        <v>127</v>
      </c>
      <c r="Q104" s="39">
        <v>269.60000000000002</v>
      </c>
      <c r="R104" s="40">
        <v>190.61287039005214</v>
      </c>
    </row>
    <row r="105" spans="1:18" s="39" customFormat="1" ht="31.25" customHeight="1" x14ac:dyDescent="0.2">
      <c r="A105" s="51" t="s">
        <v>5550</v>
      </c>
      <c r="B105" s="56" t="s">
        <v>56</v>
      </c>
      <c r="C105" s="55" t="s">
        <v>177</v>
      </c>
      <c r="D105" s="55" t="s">
        <v>137</v>
      </c>
      <c r="E105" s="55" t="s">
        <v>133</v>
      </c>
      <c r="F105" s="55" t="s">
        <v>5532</v>
      </c>
      <c r="G105" s="57" t="s">
        <v>134</v>
      </c>
      <c r="H105" s="57" t="s">
        <v>1816</v>
      </c>
      <c r="I105" s="57" t="s">
        <v>158</v>
      </c>
      <c r="J105" s="48"/>
      <c r="K105" s="48"/>
      <c r="L105" s="47" t="s">
        <v>5533</v>
      </c>
      <c r="M105" s="56" t="s">
        <v>5452</v>
      </c>
      <c r="N105" s="48"/>
      <c r="O105" s="48" t="s">
        <v>55</v>
      </c>
      <c r="P105" s="39" t="s">
        <v>127</v>
      </c>
      <c r="Q105" s="39">
        <v>36.6</v>
      </c>
      <c r="R105" s="40">
        <v>25.876969793308263</v>
      </c>
    </row>
    <row r="106" spans="1:18" s="39" customFormat="1" ht="31.25" customHeight="1" x14ac:dyDescent="0.2">
      <c r="A106" s="51" t="s">
        <v>5551</v>
      </c>
      <c r="B106" s="56" t="s">
        <v>56</v>
      </c>
      <c r="C106" s="55" t="s">
        <v>177</v>
      </c>
      <c r="D106" s="54" t="s">
        <v>121</v>
      </c>
      <c r="E106" s="54" t="s">
        <v>172</v>
      </c>
      <c r="F106" s="54" t="s">
        <v>5534</v>
      </c>
      <c r="G106" s="57" t="s">
        <v>153</v>
      </c>
      <c r="H106" s="57" t="s">
        <v>134</v>
      </c>
      <c r="I106" s="57" t="s">
        <v>1816</v>
      </c>
      <c r="J106" s="48"/>
      <c r="K106" s="48"/>
      <c r="L106" s="47" t="s">
        <v>5535</v>
      </c>
      <c r="M106" s="56" t="s">
        <v>5452</v>
      </c>
      <c r="N106" s="48"/>
      <c r="O106" s="48" t="s">
        <v>55</v>
      </c>
      <c r="P106" s="39" t="s">
        <v>127</v>
      </c>
      <c r="Q106" s="39">
        <v>328.4</v>
      </c>
      <c r="R106" s="40">
        <v>232.18570710717029</v>
      </c>
    </row>
    <row r="107" spans="1:18" s="50" customFormat="1" ht="31.25" customHeight="1" x14ac:dyDescent="0.25">
      <c r="A107" s="50" t="s">
        <v>5552</v>
      </c>
      <c r="B107" s="69" t="s">
        <v>56</v>
      </c>
      <c r="C107" s="55" t="s">
        <v>177</v>
      </c>
      <c r="D107" s="70" t="s">
        <v>121</v>
      </c>
      <c r="E107" s="70" t="s">
        <v>172</v>
      </c>
      <c r="F107" s="70" t="s">
        <v>5536</v>
      </c>
      <c r="G107" s="71" t="s">
        <v>208</v>
      </c>
      <c r="H107" s="71" t="s">
        <v>134</v>
      </c>
      <c r="I107" s="71" t="s">
        <v>153</v>
      </c>
      <c r="J107" s="72"/>
      <c r="K107" s="72"/>
      <c r="L107" s="73" t="s">
        <v>5537</v>
      </c>
      <c r="M107" s="74" t="s">
        <v>5452</v>
      </c>
      <c r="N107" s="72"/>
      <c r="O107" s="72" t="s">
        <v>52</v>
      </c>
      <c r="P107" s="50" t="s">
        <v>127</v>
      </c>
      <c r="Q107" s="50">
        <v>155.6</v>
      </c>
      <c r="R107" s="97">
        <v>110.01247267319032</v>
      </c>
    </row>
    <row r="108" spans="1:18" s="39" customFormat="1" ht="31.25" customHeight="1" x14ac:dyDescent="0.2">
      <c r="A108" s="39" t="s">
        <v>285</v>
      </c>
      <c r="B108" s="39" t="s">
        <v>57</v>
      </c>
      <c r="C108" s="39" t="s">
        <v>120</v>
      </c>
      <c r="D108" s="39" t="s">
        <v>121</v>
      </c>
      <c r="E108" s="39" t="s">
        <v>151</v>
      </c>
      <c r="F108" s="39" t="s">
        <v>286</v>
      </c>
      <c r="G108" s="39" t="s">
        <v>125</v>
      </c>
      <c r="H108" s="39" t="s">
        <v>162</v>
      </c>
      <c r="L108" s="39" t="s">
        <v>287</v>
      </c>
      <c r="O108" s="39" t="s">
        <v>52</v>
      </c>
      <c r="P108" s="39" t="s">
        <v>65</v>
      </c>
      <c r="Q108" s="40">
        <v>260</v>
      </c>
      <c r="R108" s="40">
        <v>286.69392467928895</v>
      </c>
    </row>
    <row r="109" spans="1:18" s="39" customFormat="1" ht="31.25" customHeight="1" x14ac:dyDescent="0.2">
      <c r="A109" s="39" t="s">
        <v>289</v>
      </c>
      <c r="B109" s="39" t="s">
        <v>57</v>
      </c>
      <c r="C109" s="39" t="s">
        <v>120</v>
      </c>
      <c r="D109" s="39" t="s">
        <v>121</v>
      </c>
      <c r="E109" s="39" t="s">
        <v>133</v>
      </c>
      <c r="F109" s="39" t="s">
        <v>284</v>
      </c>
      <c r="G109" s="39" t="s">
        <v>125</v>
      </c>
      <c r="L109" s="39" t="s">
        <v>290</v>
      </c>
      <c r="O109" s="39" t="s">
        <v>52</v>
      </c>
      <c r="P109" s="39" t="s">
        <v>65</v>
      </c>
      <c r="Q109" s="40">
        <v>750</v>
      </c>
      <c r="R109" s="40">
        <v>827.00170580564122</v>
      </c>
    </row>
    <row r="110" spans="1:18" s="39" customFormat="1" ht="31.25" customHeight="1" x14ac:dyDescent="0.2">
      <c r="A110" s="39" t="s">
        <v>291</v>
      </c>
      <c r="B110" s="39" t="s">
        <v>57</v>
      </c>
      <c r="C110" s="39" t="s">
        <v>280</v>
      </c>
      <c r="D110" s="39" t="s">
        <v>121</v>
      </c>
      <c r="E110" s="39" t="s">
        <v>292</v>
      </c>
      <c r="F110" s="39" t="s">
        <v>293</v>
      </c>
      <c r="G110" s="39" t="s">
        <v>125</v>
      </c>
      <c r="H110" s="39" t="s">
        <v>162</v>
      </c>
      <c r="L110" s="39" t="s">
        <v>294</v>
      </c>
      <c r="O110" s="39" t="s">
        <v>52</v>
      </c>
      <c r="P110" s="39" t="s">
        <v>65</v>
      </c>
      <c r="Q110" s="40">
        <v>350</v>
      </c>
      <c r="R110" s="40">
        <v>385.93412937596588</v>
      </c>
    </row>
    <row r="111" spans="1:18" s="39" customFormat="1" ht="31.25" customHeight="1" x14ac:dyDescent="0.2">
      <c r="A111" s="50" t="s">
        <v>296</v>
      </c>
      <c r="B111" s="50" t="s">
        <v>57</v>
      </c>
      <c r="C111" s="50" t="s">
        <v>120</v>
      </c>
      <c r="D111" s="50" t="s">
        <v>121</v>
      </c>
      <c r="E111" s="50" t="s">
        <v>297</v>
      </c>
      <c r="F111" s="50" t="s">
        <v>298</v>
      </c>
      <c r="G111" s="50" t="s">
        <v>125</v>
      </c>
      <c r="H111" s="50"/>
      <c r="I111" s="50"/>
      <c r="J111" s="50"/>
      <c r="K111" s="50"/>
      <c r="L111" s="50" t="s">
        <v>299</v>
      </c>
      <c r="M111" s="50" t="s">
        <v>300</v>
      </c>
      <c r="N111" s="50"/>
      <c r="O111" s="50" t="s">
        <v>53</v>
      </c>
      <c r="P111" s="50" t="s">
        <v>65</v>
      </c>
      <c r="Q111" s="97">
        <v>600</v>
      </c>
      <c r="R111" s="40">
        <v>661.60136464451296</v>
      </c>
    </row>
    <row r="112" spans="1:18" s="39" customFormat="1" ht="31.25" customHeight="1" x14ac:dyDescent="0.2">
      <c r="A112" s="39" t="s">
        <v>301</v>
      </c>
      <c r="B112" s="39" t="s">
        <v>57</v>
      </c>
      <c r="C112" s="39" t="s">
        <v>120</v>
      </c>
      <c r="D112" s="39" t="s">
        <v>121</v>
      </c>
      <c r="E112" s="39" t="s">
        <v>151</v>
      </c>
      <c r="F112" s="39" t="s">
        <v>302</v>
      </c>
      <c r="G112" s="39" t="s">
        <v>125</v>
      </c>
      <c r="H112" s="39" t="s">
        <v>162</v>
      </c>
      <c r="J112" s="39" t="s">
        <v>124</v>
      </c>
      <c r="K112" s="39" t="s">
        <v>5557</v>
      </c>
      <c r="L112" s="39" t="s">
        <v>303</v>
      </c>
      <c r="M112" s="39" t="s">
        <v>304</v>
      </c>
      <c r="O112" s="39" t="s">
        <v>52</v>
      </c>
      <c r="P112" s="39" t="s">
        <v>65</v>
      </c>
      <c r="Q112" s="98">
        <v>158.9</v>
      </c>
      <c r="R112" s="40">
        <v>175.21409473668854</v>
      </c>
    </row>
    <row r="113" spans="1:18" s="39" customFormat="1" ht="31.25" customHeight="1" x14ac:dyDescent="0.2">
      <c r="A113" s="39" t="s">
        <v>305</v>
      </c>
      <c r="B113" s="39" t="s">
        <v>57</v>
      </c>
      <c r="C113" s="39" t="s">
        <v>171</v>
      </c>
      <c r="D113" s="39" t="s">
        <v>121</v>
      </c>
      <c r="E113" s="39" t="s">
        <v>151</v>
      </c>
      <c r="F113" s="39">
        <v>0</v>
      </c>
      <c r="G113" s="39" t="s">
        <v>125</v>
      </c>
      <c r="H113" s="39" t="s">
        <v>162</v>
      </c>
      <c r="J113" s="39" t="s">
        <v>124</v>
      </c>
      <c r="K113" s="39" t="s">
        <v>5557</v>
      </c>
      <c r="L113" s="62" t="s">
        <v>306</v>
      </c>
      <c r="M113" s="39" t="s">
        <v>304</v>
      </c>
      <c r="O113" s="39" t="s">
        <v>52</v>
      </c>
      <c r="P113" s="39" t="s">
        <v>65</v>
      </c>
      <c r="Q113" s="39">
        <v>0</v>
      </c>
      <c r="R113" s="40">
        <v>0</v>
      </c>
    </row>
    <row r="114" spans="1:18" s="39" customFormat="1" ht="31.25" customHeight="1" x14ac:dyDescent="0.2">
      <c r="A114" s="39" t="s">
        <v>307</v>
      </c>
      <c r="B114" s="39" t="s">
        <v>57</v>
      </c>
      <c r="C114" s="39" t="s">
        <v>120</v>
      </c>
      <c r="D114" s="39" t="s">
        <v>121</v>
      </c>
      <c r="E114" s="39" t="s">
        <v>151</v>
      </c>
      <c r="F114" s="39" t="s">
        <v>308</v>
      </c>
      <c r="G114" s="39" t="s">
        <v>125</v>
      </c>
      <c r="H114" s="39" t="s">
        <v>162</v>
      </c>
      <c r="J114" s="39" t="s">
        <v>124</v>
      </c>
      <c r="K114" s="39" t="s">
        <v>5557</v>
      </c>
      <c r="L114" s="39" t="s">
        <v>309</v>
      </c>
      <c r="M114" s="39" t="s">
        <v>304</v>
      </c>
      <c r="O114" s="39" t="s">
        <v>52</v>
      </c>
      <c r="P114" s="39" t="s">
        <v>65</v>
      </c>
      <c r="Q114" s="39">
        <v>50</v>
      </c>
      <c r="R114" s="40">
        <v>55.133447053709418</v>
      </c>
    </row>
    <row r="115" spans="1:18" s="39" customFormat="1" ht="31.25" customHeight="1" x14ac:dyDescent="0.2">
      <c r="A115" s="39" t="s">
        <v>310</v>
      </c>
      <c r="B115" s="39" t="s">
        <v>57</v>
      </c>
      <c r="C115" s="39" t="s">
        <v>171</v>
      </c>
      <c r="D115" s="39" t="s">
        <v>121</v>
      </c>
      <c r="E115" s="39" t="s">
        <v>251</v>
      </c>
      <c r="F115" s="39">
        <v>0</v>
      </c>
      <c r="G115" s="39" t="s">
        <v>125</v>
      </c>
      <c r="H115" s="39" t="s">
        <v>162</v>
      </c>
      <c r="J115" s="39" t="s">
        <v>124</v>
      </c>
      <c r="K115" s="39" t="s">
        <v>5557</v>
      </c>
      <c r="L115" s="39" t="s">
        <v>311</v>
      </c>
      <c r="M115" s="39" t="s">
        <v>304</v>
      </c>
      <c r="O115" s="39" t="s">
        <v>52</v>
      </c>
      <c r="P115" s="39" t="s">
        <v>65</v>
      </c>
      <c r="Q115" s="39">
        <v>0</v>
      </c>
      <c r="R115" s="40">
        <v>0</v>
      </c>
    </row>
    <row r="116" spans="1:18" s="39" customFormat="1" ht="31.25" customHeight="1" x14ac:dyDescent="0.2">
      <c r="A116" s="39" t="s">
        <v>312</v>
      </c>
      <c r="B116" s="39" t="s">
        <v>57</v>
      </c>
      <c r="C116" s="39" t="s">
        <v>171</v>
      </c>
      <c r="D116" s="39" t="s">
        <v>121</v>
      </c>
      <c r="E116" s="39" t="s">
        <v>251</v>
      </c>
      <c r="F116" s="39">
        <v>0</v>
      </c>
      <c r="G116" s="39" t="s">
        <v>125</v>
      </c>
      <c r="H116" s="39" t="s">
        <v>162</v>
      </c>
      <c r="J116" s="39" t="s">
        <v>124</v>
      </c>
      <c r="K116" s="39" t="s">
        <v>5557</v>
      </c>
      <c r="L116" s="39" t="s">
        <v>313</v>
      </c>
      <c r="M116" s="39" t="s">
        <v>304</v>
      </c>
      <c r="O116" s="39" t="s">
        <v>52</v>
      </c>
      <c r="P116" s="39" t="s">
        <v>65</v>
      </c>
      <c r="Q116" s="39">
        <v>0</v>
      </c>
      <c r="R116" s="40">
        <v>0</v>
      </c>
    </row>
    <row r="117" spans="1:18" s="39" customFormat="1" ht="31.25" customHeight="1" x14ac:dyDescent="0.2">
      <c r="A117" s="39" t="s">
        <v>314</v>
      </c>
      <c r="B117" s="39" t="s">
        <v>57</v>
      </c>
      <c r="C117" s="39" t="s">
        <v>120</v>
      </c>
      <c r="D117" s="39" t="s">
        <v>121</v>
      </c>
      <c r="E117" s="39" t="s">
        <v>251</v>
      </c>
      <c r="F117" s="39" t="s">
        <v>315</v>
      </c>
      <c r="G117" s="39" t="s">
        <v>125</v>
      </c>
      <c r="H117" s="39" t="s">
        <v>162</v>
      </c>
      <c r="J117" s="39" t="s">
        <v>124</v>
      </c>
      <c r="K117" s="39" t="s">
        <v>5557</v>
      </c>
      <c r="L117" s="62" t="s">
        <v>316</v>
      </c>
      <c r="M117" s="39" t="s">
        <v>304</v>
      </c>
      <c r="O117" s="39" t="s">
        <v>52</v>
      </c>
      <c r="P117" s="39" t="s">
        <v>65</v>
      </c>
      <c r="Q117" s="39">
        <v>256</v>
      </c>
      <c r="R117" s="40">
        <v>282.28324891499221</v>
      </c>
    </row>
    <row r="118" spans="1:18" s="39" customFormat="1" ht="31.25" customHeight="1" x14ac:dyDescent="0.2">
      <c r="A118" s="39" t="s">
        <v>317</v>
      </c>
      <c r="B118" s="39" t="s">
        <v>57</v>
      </c>
      <c r="C118" s="39" t="s">
        <v>120</v>
      </c>
      <c r="D118" s="39" t="s">
        <v>121</v>
      </c>
      <c r="E118" s="39" t="s">
        <v>251</v>
      </c>
      <c r="F118" s="39" t="s">
        <v>308</v>
      </c>
      <c r="G118" s="39" t="s">
        <v>125</v>
      </c>
      <c r="H118" s="39" t="s">
        <v>162</v>
      </c>
      <c r="J118" s="39" t="s">
        <v>124</v>
      </c>
      <c r="K118" s="39" t="s">
        <v>5557</v>
      </c>
      <c r="L118" s="62" t="s">
        <v>318</v>
      </c>
      <c r="M118" s="39" t="s">
        <v>304</v>
      </c>
      <c r="O118" s="39" t="s">
        <v>52</v>
      </c>
      <c r="P118" s="39" t="s">
        <v>65</v>
      </c>
      <c r="Q118" s="39">
        <v>50</v>
      </c>
      <c r="R118" s="40">
        <v>55.133447053709418</v>
      </c>
    </row>
    <row r="119" spans="1:18" s="39" customFormat="1" ht="31.25" customHeight="1" x14ac:dyDescent="0.2">
      <c r="A119" s="39" t="s">
        <v>319</v>
      </c>
      <c r="B119" s="39" t="s">
        <v>57</v>
      </c>
      <c r="C119" s="39" t="s">
        <v>120</v>
      </c>
      <c r="D119" s="39" t="s">
        <v>121</v>
      </c>
      <c r="E119" s="39" t="s">
        <v>251</v>
      </c>
      <c r="F119" s="39" t="s">
        <v>320</v>
      </c>
      <c r="G119" s="39" t="s">
        <v>125</v>
      </c>
      <c r="H119" s="39" t="s">
        <v>162</v>
      </c>
      <c r="J119" s="39" t="s">
        <v>124</v>
      </c>
      <c r="K119" s="39" t="s">
        <v>5557</v>
      </c>
      <c r="L119" s="62" t="s">
        <v>321</v>
      </c>
      <c r="M119" s="39" t="s">
        <v>304</v>
      </c>
      <c r="O119" s="39" t="s">
        <v>52</v>
      </c>
      <c r="P119" s="39" t="s">
        <v>65</v>
      </c>
      <c r="Q119" s="39">
        <v>542.6</v>
      </c>
      <c r="R119" s="40">
        <v>598.30816742685454</v>
      </c>
    </row>
    <row r="120" spans="1:18" s="39" customFormat="1" ht="31.25" customHeight="1" x14ac:dyDescent="0.2">
      <c r="A120" s="39" t="s">
        <v>322</v>
      </c>
      <c r="B120" s="39" t="s">
        <v>57</v>
      </c>
      <c r="C120" s="39" t="s">
        <v>171</v>
      </c>
      <c r="D120" s="39" t="s">
        <v>121</v>
      </c>
      <c r="E120" s="39" t="s">
        <v>199</v>
      </c>
      <c r="F120" s="39">
        <v>0</v>
      </c>
      <c r="G120" s="39" t="s">
        <v>125</v>
      </c>
      <c r="H120" s="39" t="s">
        <v>152</v>
      </c>
      <c r="I120" s="39" t="s">
        <v>323</v>
      </c>
      <c r="J120" s="39" t="s">
        <v>124</v>
      </c>
      <c r="K120" s="39" t="s">
        <v>5557</v>
      </c>
      <c r="L120" s="39" t="s">
        <v>324</v>
      </c>
      <c r="M120" s="39" t="s">
        <v>304</v>
      </c>
      <c r="O120" s="39" t="s">
        <v>52</v>
      </c>
      <c r="P120" s="39" t="s">
        <v>65</v>
      </c>
      <c r="Q120" s="39">
        <v>0</v>
      </c>
      <c r="R120" s="40">
        <v>0</v>
      </c>
    </row>
    <row r="121" spans="1:18" s="39" customFormat="1" ht="31.25" customHeight="1" x14ac:dyDescent="0.2">
      <c r="A121" s="39" t="s">
        <v>325</v>
      </c>
      <c r="B121" s="39" t="s">
        <v>57</v>
      </c>
      <c r="C121" s="39" t="s">
        <v>120</v>
      </c>
      <c r="D121" s="39" t="s">
        <v>137</v>
      </c>
      <c r="E121" s="39" t="s">
        <v>133</v>
      </c>
      <c r="F121" s="39" t="s">
        <v>308</v>
      </c>
      <c r="G121" s="39" t="s">
        <v>134</v>
      </c>
      <c r="J121" s="39" t="s">
        <v>124</v>
      </c>
      <c r="K121" s="39" t="s">
        <v>5557</v>
      </c>
      <c r="L121" s="62" t="s">
        <v>326</v>
      </c>
      <c r="M121" s="39" t="s">
        <v>304</v>
      </c>
      <c r="O121" s="39" t="s">
        <v>52</v>
      </c>
      <c r="P121" s="39" t="s">
        <v>65</v>
      </c>
      <c r="Q121" s="39">
        <v>50</v>
      </c>
      <c r="R121" s="40">
        <v>55.133447053709418</v>
      </c>
    </row>
    <row r="122" spans="1:18" s="39" customFormat="1" ht="31.25" customHeight="1" x14ac:dyDescent="0.2">
      <c r="A122" s="39" t="s">
        <v>327</v>
      </c>
      <c r="B122" s="39" t="s">
        <v>57</v>
      </c>
      <c r="C122" s="39" t="s">
        <v>120</v>
      </c>
      <c r="D122" s="39" t="s">
        <v>137</v>
      </c>
      <c r="E122" s="39" t="s">
        <v>133</v>
      </c>
      <c r="F122" s="39" t="s">
        <v>328</v>
      </c>
      <c r="G122" s="39" t="s">
        <v>125</v>
      </c>
      <c r="H122" s="39" t="s">
        <v>152</v>
      </c>
      <c r="I122" s="39" t="s">
        <v>323</v>
      </c>
      <c r="J122" s="39" t="s">
        <v>124</v>
      </c>
      <c r="K122" s="39" t="s">
        <v>5557</v>
      </c>
      <c r="L122" s="62" t="s">
        <v>329</v>
      </c>
      <c r="M122" s="39" t="s">
        <v>304</v>
      </c>
      <c r="O122" s="39" t="s">
        <v>52</v>
      </c>
      <c r="P122" s="39" t="s">
        <v>65</v>
      </c>
      <c r="Q122" s="39">
        <v>110</v>
      </c>
      <c r="R122" s="40">
        <v>121.29358351816072</v>
      </c>
    </row>
    <row r="123" spans="1:18" s="39" customFormat="1" ht="31.25" customHeight="1" x14ac:dyDescent="0.2">
      <c r="A123" s="39" t="s">
        <v>330</v>
      </c>
      <c r="B123" s="39" t="s">
        <v>57</v>
      </c>
      <c r="C123" s="39" t="s">
        <v>120</v>
      </c>
      <c r="D123" s="39" t="s">
        <v>137</v>
      </c>
      <c r="E123" s="39" t="s">
        <v>133</v>
      </c>
      <c r="F123" s="39" t="s">
        <v>331</v>
      </c>
      <c r="G123" s="39" t="s">
        <v>125</v>
      </c>
      <c r="H123" s="39" t="s">
        <v>152</v>
      </c>
      <c r="I123" s="39" t="s">
        <v>323</v>
      </c>
      <c r="J123" s="39" t="s">
        <v>124</v>
      </c>
      <c r="K123" s="39" t="s">
        <v>5557</v>
      </c>
      <c r="L123" s="62" t="s">
        <v>332</v>
      </c>
      <c r="M123" s="39" t="s">
        <v>304</v>
      </c>
      <c r="O123" s="39" t="s">
        <v>52</v>
      </c>
      <c r="P123" s="39" t="s">
        <v>65</v>
      </c>
      <c r="Q123" s="39">
        <v>60</v>
      </c>
      <c r="R123" s="40">
        <v>66.160136464451298</v>
      </c>
    </row>
    <row r="124" spans="1:18" s="39" customFormat="1" ht="31.25" customHeight="1" x14ac:dyDescent="0.2">
      <c r="A124" s="39" t="s">
        <v>333</v>
      </c>
      <c r="B124" s="39" t="s">
        <v>57</v>
      </c>
      <c r="C124" s="39" t="s">
        <v>120</v>
      </c>
      <c r="D124" s="39" t="s">
        <v>137</v>
      </c>
      <c r="E124" s="39" t="s">
        <v>133</v>
      </c>
      <c r="F124" s="39" t="s">
        <v>334</v>
      </c>
      <c r="G124" s="39" t="s">
        <v>125</v>
      </c>
      <c r="H124" s="39" t="s">
        <v>152</v>
      </c>
      <c r="I124" s="39" t="s">
        <v>323</v>
      </c>
      <c r="J124" s="39" t="s">
        <v>124</v>
      </c>
      <c r="K124" s="39" t="s">
        <v>5557</v>
      </c>
      <c r="L124" s="62" t="s">
        <v>335</v>
      </c>
      <c r="M124" s="39" t="s">
        <v>304</v>
      </c>
      <c r="O124" s="39" t="s">
        <v>52</v>
      </c>
      <c r="P124" s="39" t="s">
        <v>65</v>
      </c>
      <c r="Q124" s="39">
        <v>130</v>
      </c>
      <c r="R124" s="40">
        <v>143.34696233964448</v>
      </c>
    </row>
    <row r="125" spans="1:18" s="39" customFormat="1" ht="31.25" customHeight="1" x14ac:dyDescent="0.2">
      <c r="A125" s="39" t="s">
        <v>336</v>
      </c>
      <c r="B125" s="39" t="s">
        <v>57</v>
      </c>
      <c r="C125" s="39" t="s">
        <v>171</v>
      </c>
      <c r="D125" s="39" t="s">
        <v>121</v>
      </c>
      <c r="E125" s="39" t="s">
        <v>151</v>
      </c>
      <c r="F125" s="39">
        <v>0</v>
      </c>
      <c r="G125" s="39" t="s">
        <v>125</v>
      </c>
      <c r="H125" s="39" t="s">
        <v>162</v>
      </c>
      <c r="J125" s="39" t="s">
        <v>124</v>
      </c>
      <c r="K125" s="39" t="s">
        <v>5557</v>
      </c>
      <c r="L125" s="39" t="s">
        <v>337</v>
      </c>
      <c r="M125" s="39" t="s">
        <v>304</v>
      </c>
      <c r="O125" s="39" t="s">
        <v>52</v>
      </c>
      <c r="P125" s="39" t="s">
        <v>65</v>
      </c>
      <c r="Q125" s="39">
        <v>0</v>
      </c>
      <c r="R125" s="40">
        <v>0</v>
      </c>
    </row>
    <row r="126" spans="1:18" s="39" customFormat="1" ht="31.25" customHeight="1" x14ac:dyDescent="0.2">
      <c r="A126" s="39" t="s">
        <v>338</v>
      </c>
      <c r="B126" s="39" t="s">
        <v>57</v>
      </c>
      <c r="C126" s="39" t="s">
        <v>120</v>
      </c>
      <c r="D126" s="39" t="s">
        <v>121</v>
      </c>
      <c r="E126" s="39" t="s">
        <v>147</v>
      </c>
      <c r="F126" s="39" t="s">
        <v>339</v>
      </c>
      <c r="G126" s="39" t="s">
        <v>125</v>
      </c>
      <c r="H126" s="39" t="s">
        <v>162</v>
      </c>
      <c r="J126" s="39" t="s">
        <v>124</v>
      </c>
      <c r="K126" s="39" t="s">
        <v>5557</v>
      </c>
      <c r="L126" s="62" t="s">
        <v>340</v>
      </c>
      <c r="M126" s="39" t="s">
        <v>304</v>
      </c>
      <c r="O126" s="39" t="s">
        <v>52</v>
      </c>
      <c r="P126" s="39" t="s">
        <v>65</v>
      </c>
      <c r="Q126" s="39">
        <v>100</v>
      </c>
      <c r="R126" s="40">
        <v>110.26689410741884</v>
      </c>
    </row>
    <row r="127" spans="1:18" s="39" customFormat="1" ht="31.25" customHeight="1" x14ac:dyDescent="0.2">
      <c r="A127" s="39" t="s">
        <v>341</v>
      </c>
      <c r="B127" s="39" t="s">
        <v>57</v>
      </c>
      <c r="C127" s="39" t="s">
        <v>120</v>
      </c>
      <c r="D127" s="39" t="s">
        <v>137</v>
      </c>
      <c r="E127" s="39" t="s">
        <v>133</v>
      </c>
      <c r="F127" s="39" t="s">
        <v>342</v>
      </c>
      <c r="G127" s="39" t="s">
        <v>125</v>
      </c>
      <c r="H127" s="39" t="s">
        <v>162</v>
      </c>
      <c r="J127" s="39" t="s">
        <v>124</v>
      </c>
      <c r="K127" s="39" t="s">
        <v>5557</v>
      </c>
      <c r="L127" s="62" t="s">
        <v>343</v>
      </c>
      <c r="M127" s="39" t="s">
        <v>304</v>
      </c>
      <c r="O127" s="39" t="s">
        <v>52</v>
      </c>
      <c r="P127" s="39" t="s">
        <v>65</v>
      </c>
      <c r="Q127" s="39">
        <v>504</v>
      </c>
      <c r="R127" s="40">
        <v>555.74514630139095</v>
      </c>
    </row>
    <row r="128" spans="1:18" s="39" customFormat="1" ht="31.25" customHeight="1" x14ac:dyDescent="0.2">
      <c r="A128" s="39" t="s">
        <v>344</v>
      </c>
      <c r="B128" s="39" t="s">
        <v>57</v>
      </c>
      <c r="C128" s="39" t="s">
        <v>280</v>
      </c>
      <c r="D128" s="39" t="s">
        <v>137</v>
      </c>
      <c r="E128" s="39" t="s">
        <v>133</v>
      </c>
      <c r="F128" s="39" t="s">
        <v>345</v>
      </c>
      <c r="G128" s="39" t="s">
        <v>125</v>
      </c>
      <c r="H128" s="39" t="s">
        <v>162</v>
      </c>
      <c r="J128" s="39" t="s">
        <v>124</v>
      </c>
      <c r="K128" s="39" t="s">
        <v>5557</v>
      </c>
      <c r="L128" s="62" t="s">
        <v>346</v>
      </c>
      <c r="M128" s="39" t="s">
        <v>304</v>
      </c>
      <c r="O128" s="39" t="s">
        <v>52</v>
      </c>
      <c r="P128" s="39" t="s">
        <v>65</v>
      </c>
      <c r="Q128" s="39">
        <v>125</v>
      </c>
      <c r="R128" s="40">
        <v>137.83361763427354</v>
      </c>
    </row>
    <row r="129" spans="1:18" s="39" customFormat="1" ht="31.25" customHeight="1" x14ac:dyDescent="0.2">
      <c r="A129" s="39" t="s">
        <v>347</v>
      </c>
      <c r="B129" s="39" t="s">
        <v>57</v>
      </c>
      <c r="C129" s="39" t="s">
        <v>280</v>
      </c>
      <c r="D129" s="39" t="s">
        <v>137</v>
      </c>
      <c r="E129" s="39" t="s">
        <v>133</v>
      </c>
      <c r="F129" s="39" t="s">
        <v>345</v>
      </c>
      <c r="G129" s="39" t="s">
        <v>125</v>
      </c>
      <c r="H129" s="39" t="s">
        <v>162</v>
      </c>
      <c r="J129" s="39" t="s">
        <v>124</v>
      </c>
      <c r="K129" s="39" t="s">
        <v>5557</v>
      </c>
      <c r="L129" s="62" t="s">
        <v>348</v>
      </c>
      <c r="M129" s="39" t="s">
        <v>304</v>
      </c>
      <c r="O129" s="39" t="s">
        <v>52</v>
      </c>
      <c r="P129" s="39" t="s">
        <v>65</v>
      </c>
      <c r="Q129" s="39">
        <v>125</v>
      </c>
      <c r="R129" s="40">
        <v>137.83361763427354</v>
      </c>
    </row>
    <row r="130" spans="1:18" s="39" customFormat="1" ht="31.25" customHeight="1" x14ac:dyDescent="0.2">
      <c r="A130" s="39" t="s">
        <v>349</v>
      </c>
      <c r="B130" s="39" t="s">
        <v>57</v>
      </c>
      <c r="C130" s="39" t="s">
        <v>120</v>
      </c>
      <c r="D130" s="39" t="s">
        <v>137</v>
      </c>
      <c r="E130" s="39" t="s">
        <v>133</v>
      </c>
      <c r="F130" s="39" t="s">
        <v>308</v>
      </c>
      <c r="G130" s="39" t="s">
        <v>125</v>
      </c>
      <c r="H130" s="39" t="s">
        <v>162</v>
      </c>
      <c r="I130" s="39" t="s">
        <v>208</v>
      </c>
      <c r="J130" s="39" t="s">
        <v>124</v>
      </c>
      <c r="K130" s="39" t="s">
        <v>5557</v>
      </c>
      <c r="L130" s="62" t="s">
        <v>350</v>
      </c>
      <c r="M130" s="39" t="s">
        <v>304</v>
      </c>
      <c r="O130" s="39" t="s">
        <v>52</v>
      </c>
      <c r="P130" s="39" t="s">
        <v>65</v>
      </c>
      <c r="Q130" s="39">
        <v>50</v>
      </c>
      <c r="R130" s="40">
        <v>55.133447053709418</v>
      </c>
    </row>
    <row r="131" spans="1:18" s="39" customFormat="1" ht="31.25" customHeight="1" x14ac:dyDescent="0.2">
      <c r="A131" s="39" t="s">
        <v>351</v>
      </c>
      <c r="B131" s="39" t="s">
        <v>57</v>
      </c>
      <c r="C131" s="39" t="s">
        <v>120</v>
      </c>
      <c r="D131" s="39" t="s">
        <v>121</v>
      </c>
      <c r="E131" s="39" t="s">
        <v>166</v>
      </c>
      <c r="F131" s="39" t="s">
        <v>352</v>
      </c>
      <c r="G131" s="39" t="s">
        <v>125</v>
      </c>
      <c r="H131" s="39" t="s">
        <v>162</v>
      </c>
      <c r="J131" s="39" t="s">
        <v>124</v>
      </c>
      <c r="K131" s="39" t="s">
        <v>5557</v>
      </c>
      <c r="L131" s="62" t="s">
        <v>353</v>
      </c>
      <c r="M131" s="39" t="s">
        <v>304</v>
      </c>
      <c r="O131" s="39" t="s">
        <v>52</v>
      </c>
      <c r="P131" s="39" t="s">
        <v>65</v>
      </c>
      <c r="Q131" s="39">
        <v>35</v>
      </c>
      <c r="R131" s="40">
        <v>38.59341293759659</v>
      </c>
    </row>
    <row r="132" spans="1:18" s="39" customFormat="1" ht="31.25" customHeight="1" x14ac:dyDescent="0.2">
      <c r="A132" s="39" t="s">
        <v>354</v>
      </c>
      <c r="B132" s="39" t="s">
        <v>57</v>
      </c>
      <c r="C132" s="39" t="s">
        <v>120</v>
      </c>
      <c r="D132" s="39" t="s">
        <v>121</v>
      </c>
      <c r="E132" s="39" t="s">
        <v>133</v>
      </c>
      <c r="F132" s="39" t="s">
        <v>355</v>
      </c>
      <c r="G132" s="39" t="s">
        <v>125</v>
      </c>
      <c r="H132" s="39" t="s">
        <v>162</v>
      </c>
      <c r="J132" s="39" t="s">
        <v>124</v>
      </c>
      <c r="K132" s="39" t="s">
        <v>5557</v>
      </c>
      <c r="L132" s="62" t="s">
        <v>356</v>
      </c>
      <c r="M132" s="39" t="s">
        <v>304</v>
      </c>
      <c r="O132" s="39" t="s">
        <v>52</v>
      </c>
      <c r="P132" s="39" t="s">
        <v>65</v>
      </c>
      <c r="Q132" s="39">
        <v>15</v>
      </c>
      <c r="R132" s="40">
        <v>16.540034116112825</v>
      </c>
    </row>
    <row r="133" spans="1:18" s="39" customFormat="1" ht="31.25" customHeight="1" x14ac:dyDescent="0.2">
      <c r="A133" s="75" t="s">
        <v>357</v>
      </c>
      <c r="B133" s="75" t="s">
        <v>58</v>
      </c>
      <c r="C133" s="75" t="s">
        <v>177</v>
      </c>
      <c r="D133" s="75" t="s">
        <v>160</v>
      </c>
      <c r="E133" s="75" t="s">
        <v>133</v>
      </c>
      <c r="F133" s="75" t="s">
        <v>358</v>
      </c>
      <c r="G133" s="75" t="s">
        <v>125</v>
      </c>
      <c r="H133" s="75" t="s">
        <v>152</v>
      </c>
      <c r="I133" s="75" t="s">
        <v>158</v>
      </c>
      <c r="J133" s="75"/>
      <c r="K133" s="75"/>
      <c r="L133" s="75" t="s">
        <v>359</v>
      </c>
      <c r="M133" s="75" t="s">
        <v>360</v>
      </c>
      <c r="N133" s="75" t="s">
        <v>361</v>
      </c>
      <c r="O133" s="75" t="s">
        <v>53</v>
      </c>
      <c r="P133" s="75" t="s">
        <v>65</v>
      </c>
      <c r="Q133" s="75">
        <v>700</v>
      </c>
      <c r="R133" s="40">
        <v>771.86825875193176</v>
      </c>
    </row>
    <row r="134" spans="1:18" s="39" customFormat="1" ht="31.25" customHeight="1" x14ac:dyDescent="0.2">
      <c r="A134" s="39" t="s">
        <v>362</v>
      </c>
      <c r="B134" s="39" t="s">
        <v>58</v>
      </c>
      <c r="C134" s="39" t="s">
        <v>177</v>
      </c>
      <c r="D134" s="39" t="s">
        <v>160</v>
      </c>
      <c r="E134" s="39" t="s">
        <v>133</v>
      </c>
      <c r="G134" s="39" t="s">
        <v>125</v>
      </c>
      <c r="H134" s="39" t="s">
        <v>134</v>
      </c>
      <c r="L134" s="39" t="s">
        <v>363</v>
      </c>
      <c r="M134" s="39" t="s">
        <v>364</v>
      </c>
      <c r="N134" s="39" t="s">
        <v>365</v>
      </c>
      <c r="O134" s="39" t="s">
        <v>53</v>
      </c>
      <c r="R134" s="40" t="s">
        <v>1604</v>
      </c>
    </row>
    <row r="135" spans="1:18" s="39" customFormat="1" ht="31.25" customHeight="1" x14ac:dyDescent="0.2">
      <c r="A135" s="39" t="s">
        <v>366</v>
      </c>
      <c r="B135" s="39" t="s">
        <v>58</v>
      </c>
      <c r="C135" s="39" t="s">
        <v>120</v>
      </c>
      <c r="D135" s="39" t="s">
        <v>160</v>
      </c>
      <c r="E135" s="39" t="s">
        <v>166</v>
      </c>
      <c r="F135" s="39" t="s">
        <v>367</v>
      </c>
      <c r="G135" s="39" t="s">
        <v>125</v>
      </c>
      <c r="L135" s="39" t="s">
        <v>368</v>
      </c>
      <c r="M135" s="39" t="s">
        <v>365</v>
      </c>
      <c r="O135" s="39" t="s">
        <v>52</v>
      </c>
      <c r="P135" s="39" t="s">
        <v>65</v>
      </c>
      <c r="Q135" s="39">
        <v>12</v>
      </c>
      <c r="R135" s="40">
        <v>13.23202729289026</v>
      </c>
    </row>
    <row r="136" spans="1:18" s="39" customFormat="1" ht="31.25" customHeight="1" x14ac:dyDescent="0.2">
      <c r="A136" s="39" t="s">
        <v>369</v>
      </c>
      <c r="B136" s="39" t="s">
        <v>58</v>
      </c>
      <c r="C136" s="39" t="s">
        <v>177</v>
      </c>
      <c r="D136" s="39" t="s">
        <v>160</v>
      </c>
      <c r="E136" s="39" t="s">
        <v>133</v>
      </c>
      <c r="G136" s="39" t="s">
        <v>125</v>
      </c>
      <c r="H136" s="39" t="s">
        <v>134</v>
      </c>
      <c r="I136" s="39" t="s">
        <v>152</v>
      </c>
      <c r="L136" s="39" t="s">
        <v>370</v>
      </c>
      <c r="M136" s="39" t="s">
        <v>371</v>
      </c>
      <c r="N136" s="39" t="s">
        <v>372</v>
      </c>
      <c r="O136" s="39" t="s">
        <v>52</v>
      </c>
      <c r="R136" s="40" t="s">
        <v>1604</v>
      </c>
    </row>
    <row r="137" spans="1:18" s="39" customFormat="1" ht="31.25" customHeight="1" x14ac:dyDescent="0.2">
      <c r="A137" s="39" t="s">
        <v>373</v>
      </c>
      <c r="B137" s="39" t="s">
        <v>58</v>
      </c>
      <c r="C137" s="39" t="s">
        <v>177</v>
      </c>
      <c r="D137" s="39" t="s">
        <v>137</v>
      </c>
      <c r="E137" s="39" t="s">
        <v>133</v>
      </c>
      <c r="G137" s="39" t="s">
        <v>125</v>
      </c>
      <c r="H137" s="39" t="s">
        <v>152</v>
      </c>
      <c r="I137" s="39" t="s">
        <v>134</v>
      </c>
      <c r="L137" s="39" t="s">
        <v>374</v>
      </c>
      <c r="M137" s="39" t="s">
        <v>375</v>
      </c>
      <c r="O137" s="39" t="s">
        <v>55</v>
      </c>
      <c r="R137" s="40" t="s">
        <v>1604</v>
      </c>
    </row>
    <row r="138" spans="1:18" s="39" customFormat="1" ht="31.25" customHeight="1" x14ac:dyDescent="0.2">
      <c r="A138" s="39" t="s">
        <v>376</v>
      </c>
      <c r="B138" s="39" t="s">
        <v>58</v>
      </c>
      <c r="C138" s="39" t="s">
        <v>132</v>
      </c>
      <c r="D138" s="39" t="s">
        <v>121</v>
      </c>
      <c r="E138" s="39" t="s">
        <v>166</v>
      </c>
      <c r="F138" s="39" t="s">
        <v>377</v>
      </c>
      <c r="G138" s="39" t="s">
        <v>125</v>
      </c>
      <c r="L138" s="39" t="s">
        <v>378</v>
      </c>
      <c r="M138" s="39" t="s">
        <v>375</v>
      </c>
      <c r="N138" s="39" t="s">
        <v>379</v>
      </c>
      <c r="O138" s="39" t="s">
        <v>53</v>
      </c>
      <c r="P138" s="39" t="s">
        <v>65</v>
      </c>
      <c r="Q138" s="39">
        <v>191</v>
      </c>
      <c r="R138" s="40">
        <v>210.60976774516996</v>
      </c>
    </row>
    <row r="139" spans="1:18" s="39" customFormat="1" ht="31.25" customHeight="1" x14ac:dyDescent="0.2">
      <c r="A139" s="39" t="s">
        <v>380</v>
      </c>
      <c r="B139" s="39" t="s">
        <v>58</v>
      </c>
      <c r="C139" s="39" t="s">
        <v>132</v>
      </c>
      <c r="D139" s="55" t="s">
        <v>121</v>
      </c>
      <c r="E139" s="39" t="s">
        <v>292</v>
      </c>
      <c r="F139" s="39" t="s">
        <v>381</v>
      </c>
      <c r="G139" s="39" t="s">
        <v>134</v>
      </c>
      <c r="L139" s="39" t="s">
        <v>382</v>
      </c>
      <c r="M139" s="39" t="s">
        <v>383</v>
      </c>
      <c r="O139" s="39" t="s">
        <v>52</v>
      </c>
      <c r="P139" s="39" t="s">
        <v>65</v>
      </c>
      <c r="Q139" s="39">
        <v>23</v>
      </c>
      <c r="R139" s="40">
        <v>25.361385644706331</v>
      </c>
    </row>
    <row r="140" spans="1:18" s="39" customFormat="1" ht="31.25" customHeight="1" x14ac:dyDescent="0.2">
      <c r="A140" s="39" t="s">
        <v>384</v>
      </c>
      <c r="B140" s="39" t="s">
        <v>58</v>
      </c>
      <c r="C140" s="39" t="s">
        <v>188</v>
      </c>
      <c r="D140" s="39" t="s">
        <v>137</v>
      </c>
      <c r="E140" s="39" t="s">
        <v>133</v>
      </c>
      <c r="F140" s="39" t="s">
        <v>385</v>
      </c>
      <c r="L140" s="39" t="s">
        <v>386</v>
      </c>
      <c r="M140" s="39" t="s">
        <v>387</v>
      </c>
      <c r="O140" s="39" t="s">
        <v>55</v>
      </c>
      <c r="P140" s="39" t="s">
        <v>65</v>
      </c>
      <c r="Q140" s="39">
        <v>203</v>
      </c>
      <c r="R140" s="40">
        <v>223.84179503806021</v>
      </c>
    </row>
    <row r="141" spans="1:18" s="39" customFormat="1" ht="31.25" customHeight="1" x14ac:dyDescent="0.2">
      <c r="A141" s="39" t="s">
        <v>388</v>
      </c>
      <c r="B141" s="39" t="s">
        <v>58</v>
      </c>
      <c r="C141" s="39" t="s">
        <v>132</v>
      </c>
      <c r="D141" s="39" t="s">
        <v>160</v>
      </c>
      <c r="E141" s="39" t="s">
        <v>199</v>
      </c>
      <c r="F141" s="55" t="s">
        <v>389</v>
      </c>
      <c r="G141" s="39" t="s">
        <v>152</v>
      </c>
      <c r="L141" s="62" t="s">
        <v>390</v>
      </c>
      <c r="O141" s="39" t="s">
        <v>52</v>
      </c>
      <c r="P141" s="39" t="s">
        <v>65</v>
      </c>
      <c r="Q141" s="39">
        <v>40</v>
      </c>
      <c r="R141" s="40">
        <v>44.10675764296753</v>
      </c>
    </row>
    <row r="142" spans="1:18" s="39" customFormat="1" ht="31.25" customHeight="1" x14ac:dyDescent="0.2">
      <c r="A142" s="39" t="s">
        <v>391</v>
      </c>
      <c r="B142" s="39" t="s">
        <v>58</v>
      </c>
      <c r="C142" s="39" t="s">
        <v>177</v>
      </c>
      <c r="D142" s="39" t="s">
        <v>160</v>
      </c>
      <c r="E142" s="39" t="s">
        <v>199</v>
      </c>
      <c r="F142" s="55" t="s">
        <v>392</v>
      </c>
      <c r="G142" s="39" t="s">
        <v>152</v>
      </c>
      <c r="L142" s="62" t="s">
        <v>393</v>
      </c>
      <c r="O142" s="39" t="s">
        <v>55</v>
      </c>
      <c r="P142" s="39" t="s">
        <v>65</v>
      </c>
      <c r="Q142" s="98" t="s">
        <v>394</v>
      </c>
      <c r="R142" s="40">
        <v>2.150204435094667</v>
      </c>
    </row>
    <row r="143" spans="1:18" s="39" customFormat="1" ht="31.25" customHeight="1" x14ac:dyDescent="0.2">
      <c r="A143" s="39" t="s">
        <v>395</v>
      </c>
      <c r="B143" s="39" t="s">
        <v>58</v>
      </c>
      <c r="C143" s="39" t="s">
        <v>188</v>
      </c>
      <c r="D143" s="39" t="s">
        <v>160</v>
      </c>
      <c r="E143" s="39" t="s">
        <v>151</v>
      </c>
      <c r="F143" s="39" t="s">
        <v>396</v>
      </c>
      <c r="G143" s="39" t="s">
        <v>125</v>
      </c>
      <c r="H143" s="39" t="s">
        <v>162</v>
      </c>
      <c r="J143" s="39" t="s">
        <v>124</v>
      </c>
      <c r="K143" s="39" t="s">
        <v>5557</v>
      </c>
      <c r="L143" s="48" t="s">
        <v>397</v>
      </c>
      <c r="M143" s="39" t="s">
        <v>398</v>
      </c>
      <c r="O143" s="39" t="s">
        <v>52</v>
      </c>
      <c r="P143" s="39" t="s">
        <v>65</v>
      </c>
      <c r="Q143" s="39">
        <v>20.350000000000001</v>
      </c>
      <c r="R143" s="40">
        <v>22.439312950859733</v>
      </c>
    </row>
    <row r="144" spans="1:18" s="39" customFormat="1" ht="31.25" customHeight="1" x14ac:dyDescent="0.2">
      <c r="A144" s="39" t="s">
        <v>399</v>
      </c>
      <c r="B144" s="39" t="s">
        <v>58</v>
      </c>
      <c r="C144" s="39" t="s">
        <v>188</v>
      </c>
      <c r="D144" s="39" t="s">
        <v>160</v>
      </c>
      <c r="E144" s="39" t="s">
        <v>151</v>
      </c>
      <c r="F144" s="39" t="s">
        <v>400</v>
      </c>
      <c r="G144" s="39" t="s">
        <v>125</v>
      </c>
      <c r="H144" s="39" t="s">
        <v>162</v>
      </c>
      <c r="J144" s="39" t="s">
        <v>124</v>
      </c>
      <c r="K144" s="39" t="s">
        <v>5557</v>
      </c>
      <c r="L144" s="48" t="s">
        <v>401</v>
      </c>
      <c r="M144" s="39" t="s">
        <v>398</v>
      </c>
      <c r="O144" s="39" t="s">
        <v>52</v>
      </c>
      <c r="P144" s="39" t="s">
        <v>65</v>
      </c>
      <c r="Q144" s="39">
        <v>212.97</v>
      </c>
      <c r="R144" s="40">
        <v>234.83540438056988</v>
      </c>
    </row>
    <row r="145" spans="1:18" s="39" customFormat="1" ht="31.25" customHeight="1" x14ac:dyDescent="0.2">
      <c r="A145" s="39" t="s">
        <v>402</v>
      </c>
      <c r="B145" s="39" t="s">
        <v>58</v>
      </c>
      <c r="C145" s="39" t="s">
        <v>188</v>
      </c>
      <c r="D145" s="39" t="s">
        <v>160</v>
      </c>
      <c r="E145" s="39" t="s">
        <v>151</v>
      </c>
      <c r="F145" s="39" t="s">
        <v>403</v>
      </c>
      <c r="G145" s="39" t="s">
        <v>125</v>
      </c>
      <c r="H145" s="39" t="s">
        <v>162</v>
      </c>
      <c r="J145" s="39" t="s">
        <v>124</v>
      </c>
      <c r="K145" s="39" t="s">
        <v>5557</v>
      </c>
      <c r="L145" s="48" t="s">
        <v>404</v>
      </c>
      <c r="M145" s="39" t="s">
        <v>398</v>
      </c>
      <c r="O145" s="39" t="s">
        <v>52</v>
      </c>
      <c r="P145" s="39" t="s">
        <v>65</v>
      </c>
      <c r="Q145" s="39">
        <v>16</v>
      </c>
      <c r="R145" s="40">
        <v>17.642703057187013</v>
      </c>
    </row>
    <row r="146" spans="1:18" s="39" customFormat="1" ht="31.25" customHeight="1" x14ac:dyDescent="0.2">
      <c r="A146" s="39" t="s">
        <v>405</v>
      </c>
      <c r="B146" s="39" t="s">
        <v>58</v>
      </c>
      <c r="C146" s="39" t="s">
        <v>188</v>
      </c>
      <c r="D146" s="39" t="s">
        <v>160</v>
      </c>
      <c r="E146" s="39" t="s">
        <v>151</v>
      </c>
      <c r="F146" s="39" t="s">
        <v>406</v>
      </c>
      <c r="G146" s="39" t="s">
        <v>125</v>
      </c>
      <c r="H146" s="39" t="s">
        <v>162</v>
      </c>
      <c r="J146" s="39" t="s">
        <v>124</v>
      </c>
      <c r="K146" s="39" t="s">
        <v>5557</v>
      </c>
      <c r="L146" s="48" t="s">
        <v>407</v>
      </c>
      <c r="M146" s="39" t="s">
        <v>398</v>
      </c>
      <c r="O146" s="39" t="s">
        <v>52</v>
      </c>
      <c r="P146" s="39" t="s">
        <v>65</v>
      </c>
      <c r="Q146" s="39">
        <v>5</v>
      </c>
      <c r="R146" s="40">
        <v>5.5133447053709412</v>
      </c>
    </row>
    <row r="147" spans="1:18" s="39" customFormat="1" ht="31.25" customHeight="1" x14ac:dyDescent="0.2">
      <c r="A147" s="39" t="s">
        <v>408</v>
      </c>
      <c r="B147" s="39" t="s">
        <v>58</v>
      </c>
      <c r="C147" s="39" t="s">
        <v>188</v>
      </c>
      <c r="D147" s="39" t="s">
        <v>160</v>
      </c>
      <c r="E147" s="39" t="s">
        <v>166</v>
      </c>
      <c r="F147" s="39" t="s">
        <v>409</v>
      </c>
      <c r="G147" s="39" t="s">
        <v>125</v>
      </c>
      <c r="H147" s="39" t="s">
        <v>162</v>
      </c>
      <c r="J147" s="39" t="s">
        <v>124</v>
      </c>
      <c r="K147" s="39" t="s">
        <v>5557</v>
      </c>
      <c r="L147" s="48" t="s">
        <v>410</v>
      </c>
      <c r="M147" s="39" t="s">
        <v>398</v>
      </c>
      <c r="O147" s="39" t="s">
        <v>52</v>
      </c>
      <c r="P147" s="39" t="s">
        <v>65</v>
      </c>
      <c r="Q147" s="39">
        <v>30</v>
      </c>
      <c r="R147" s="40">
        <v>33.080068232225649</v>
      </c>
    </row>
    <row r="148" spans="1:18" s="39" customFormat="1" ht="31.25" customHeight="1" x14ac:dyDescent="0.2">
      <c r="A148" s="39" t="s">
        <v>411</v>
      </c>
      <c r="B148" s="39" t="s">
        <v>58</v>
      </c>
      <c r="C148" s="39" t="s">
        <v>120</v>
      </c>
      <c r="D148" s="39" t="s">
        <v>160</v>
      </c>
      <c r="E148" s="39" t="s">
        <v>166</v>
      </c>
      <c r="F148" s="39" t="s">
        <v>406</v>
      </c>
      <c r="G148" s="39" t="s">
        <v>125</v>
      </c>
      <c r="H148" s="39" t="s">
        <v>162</v>
      </c>
      <c r="J148" s="39" t="s">
        <v>124</v>
      </c>
      <c r="K148" s="39" t="s">
        <v>5557</v>
      </c>
      <c r="L148" s="48" t="s">
        <v>410</v>
      </c>
      <c r="M148" s="39" t="s">
        <v>398</v>
      </c>
      <c r="O148" s="39" t="s">
        <v>52</v>
      </c>
      <c r="P148" s="39" t="s">
        <v>65</v>
      </c>
      <c r="Q148" s="39">
        <v>5</v>
      </c>
      <c r="R148" s="40">
        <v>5.5133447053709412</v>
      </c>
    </row>
    <row r="149" spans="1:18" s="39" customFormat="1" ht="31.25" customHeight="1" x14ac:dyDescent="0.2">
      <c r="A149" s="39" t="s">
        <v>412</v>
      </c>
      <c r="B149" s="39" t="s">
        <v>58</v>
      </c>
      <c r="C149" s="39" t="s">
        <v>188</v>
      </c>
      <c r="D149" s="39" t="s">
        <v>160</v>
      </c>
      <c r="E149" s="39" t="s">
        <v>166</v>
      </c>
      <c r="F149" s="39" t="s">
        <v>413</v>
      </c>
      <c r="G149" s="39" t="s">
        <v>125</v>
      </c>
      <c r="H149" s="39" t="s">
        <v>162</v>
      </c>
      <c r="J149" s="39" t="s">
        <v>124</v>
      </c>
      <c r="K149" s="39" t="s">
        <v>5557</v>
      </c>
      <c r="L149" s="48" t="s">
        <v>414</v>
      </c>
      <c r="M149" s="39" t="s">
        <v>398</v>
      </c>
      <c r="O149" s="39" t="s">
        <v>52</v>
      </c>
      <c r="P149" s="39" t="s">
        <v>65</v>
      </c>
      <c r="Q149" s="39">
        <v>43.44</v>
      </c>
      <c r="R149" s="40">
        <v>47.899938800262738</v>
      </c>
    </row>
    <row r="150" spans="1:18" s="39" customFormat="1" ht="31.25" customHeight="1" x14ac:dyDescent="0.2">
      <c r="A150" s="39" t="s">
        <v>415</v>
      </c>
      <c r="B150" s="39" t="s">
        <v>58</v>
      </c>
      <c r="C150" s="39" t="s">
        <v>188</v>
      </c>
      <c r="D150" s="39" t="s">
        <v>160</v>
      </c>
      <c r="E150" s="39" t="s">
        <v>166</v>
      </c>
      <c r="F150" s="39" t="s">
        <v>416</v>
      </c>
      <c r="G150" s="39" t="s">
        <v>125</v>
      </c>
      <c r="H150" s="39" t="s">
        <v>162</v>
      </c>
      <c r="J150" s="39" t="s">
        <v>124</v>
      </c>
      <c r="K150" s="39" t="s">
        <v>5557</v>
      </c>
      <c r="L150" s="48" t="s">
        <v>417</v>
      </c>
      <c r="M150" s="39" t="s">
        <v>398</v>
      </c>
      <c r="O150" s="39" t="s">
        <v>52</v>
      </c>
      <c r="P150" s="39" t="s">
        <v>65</v>
      </c>
      <c r="Q150" s="39">
        <v>20</v>
      </c>
      <c r="R150" s="40">
        <v>22.053378821483765</v>
      </c>
    </row>
    <row r="151" spans="1:18" s="39" customFormat="1" ht="31.25" customHeight="1" x14ac:dyDescent="0.2">
      <c r="A151" s="39" t="s">
        <v>418</v>
      </c>
      <c r="B151" s="39" t="s">
        <v>58</v>
      </c>
      <c r="C151" s="39" t="s">
        <v>188</v>
      </c>
      <c r="D151" s="39" t="s">
        <v>160</v>
      </c>
      <c r="E151" s="39" t="s">
        <v>166</v>
      </c>
      <c r="F151" s="39" t="s">
        <v>419</v>
      </c>
      <c r="G151" s="39" t="s">
        <v>125</v>
      </c>
      <c r="H151" s="39" t="s">
        <v>162</v>
      </c>
      <c r="J151" s="39" t="s">
        <v>124</v>
      </c>
      <c r="K151" s="39" t="s">
        <v>5557</v>
      </c>
      <c r="L151" s="48" t="s">
        <v>420</v>
      </c>
      <c r="M151" s="39" t="s">
        <v>398</v>
      </c>
      <c r="O151" s="39" t="s">
        <v>52</v>
      </c>
      <c r="P151" s="39" t="s">
        <v>65</v>
      </c>
      <c r="Q151" s="39">
        <v>6.32</v>
      </c>
      <c r="R151" s="40">
        <v>6.9688677075888705</v>
      </c>
    </row>
    <row r="152" spans="1:18" s="39" customFormat="1" ht="31.25" customHeight="1" x14ac:dyDescent="0.2">
      <c r="A152" s="39" t="s">
        <v>421</v>
      </c>
      <c r="B152" s="39" t="s">
        <v>58</v>
      </c>
      <c r="C152" s="39" t="s">
        <v>188</v>
      </c>
      <c r="D152" s="39" t="s">
        <v>160</v>
      </c>
      <c r="E152" s="39" t="s">
        <v>166</v>
      </c>
      <c r="F152" s="39" t="s">
        <v>416</v>
      </c>
      <c r="G152" s="39" t="s">
        <v>125</v>
      </c>
      <c r="H152" s="39" t="s">
        <v>162</v>
      </c>
      <c r="J152" s="39" t="s">
        <v>124</v>
      </c>
      <c r="K152" s="39" t="s">
        <v>5557</v>
      </c>
      <c r="L152" s="48" t="s">
        <v>422</v>
      </c>
      <c r="M152" s="39" t="s">
        <v>398</v>
      </c>
      <c r="O152" s="39" t="s">
        <v>52</v>
      </c>
      <c r="P152" s="39" t="s">
        <v>65</v>
      </c>
      <c r="Q152" s="39">
        <v>20</v>
      </c>
      <c r="R152" s="40">
        <v>22.053378821483765</v>
      </c>
    </row>
    <row r="153" spans="1:18" s="39" customFormat="1" ht="31.25" customHeight="1" x14ac:dyDescent="0.2">
      <c r="A153" s="39" t="s">
        <v>423</v>
      </c>
      <c r="B153" s="39" t="s">
        <v>58</v>
      </c>
      <c r="C153" s="39" t="s">
        <v>188</v>
      </c>
      <c r="D153" s="39" t="s">
        <v>160</v>
      </c>
      <c r="E153" s="39" t="s">
        <v>166</v>
      </c>
      <c r="F153" s="39" t="s">
        <v>424</v>
      </c>
      <c r="G153" s="39" t="s">
        <v>125</v>
      </c>
      <c r="H153" s="39" t="s">
        <v>162</v>
      </c>
      <c r="J153" s="39" t="s">
        <v>124</v>
      </c>
      <c r="K153" s="39" t="s">
        <v>5557</v>
      </c>
      <c r="L153" s="48" t="s">
        <v>425</v>
      </c>
      <c r="M153" s="39" t="s">
        <v>398</v>
      </c>
      <c r="O153" s="39" t="s">
        <v>52</v>
      </c>
      <c r="P153" s="39" t="s">
        <v>65</v>
      </c>
      <c r="Q153" s="39">
        <v>59.54</v>
      </c>
      <c r="R153" s="40">
        <v>65.652908751557163</v>
      </c>
    </row>
    <row r="154" spans="1:18" s="39" customFormat="1" ht="31.25" customHeight="1" x14ac:dyDescent="0.2">
      <c r="A154" s="39" t="s">
        <v>426</v>
      </c>
      <c r="B154" s="39" t="s">
        <v>58</v>
      </c>
      <c r="C154" s="39" t="s">
        <v>188</v>
      </c>
      <c r="D154" s="39" t="s">
        <v>160</v>
      </c>
      <c r="E154" s="39" t="s">
        <v>166</v>
      </c>
      <c r="F154" s="39" t="s">
        <v>427</v>
      </c>
      <c r="G154" s="39" t="s">
        <v>125</v>
      </c>
      <c r="H154" s="39" t="s">
        <v>162</v>
      </c>
      <c r="J154" s="39" t="s">
        <v>124</v>
      </c>
      <c r="K154" s="39" t="s">
        <v>5557</v>
      </c>
      <c r="L154" s="48" t="s">
        <v>428</v>
      </c>
      <c r="M154" s="39" t="s">
        <v>398</v>
      </c>
      <c r="O154" s="39" t="s">
        <v>52</v>
      </c>
      <c r="P154" s="39" t="s">
        <v>65</v>
      </c>
      <c r="Q154" s="39">
        <v>73</v>
      </c>
      <c r="R154" s="40">
        <v>80.494832698415749</v>
      </c>
    </row>
    <row r="155" spans="1:18" s="39" customFormat="1" ht="31.25" customHeight="1" x14ac:dyDescent="0.2">
      <c r="A155" s="39" t="s">
        <v>429</v>
      </c>
      <c r="B155" s="39" t="s">
        <v>58</v>
      </c>
      <c r="C155" s="39" t="s">
        <v>188</v>
      </c>
      <c r="D155" s="39" t="s">
        <v>160</v>
      </c>
      <c r="E155" s="39" t="s">
        <v>166</v>
      </c>
      <c r="F155" s="39" t="s">
        <v>430</v>
      </c>
      <c r="G155" s="39" t="s">
        <v>125</v>
      </c>
      <c r="H155" s="39" t="s">
        <v>162</v>
      </c>
      <c r="J155" s="39" t="s">
        <v>124</v>
      </c>
      <c r="K155" s="39" t="s">
        <v>5557</v>
      </c>
      <c r="L155" s="48" t="s">
        <v>431</v>
      </c>
      <c r="M155" s="39" t="s">
        <v>398</v>
      </c>
      <c r="O155" s="39" t="s">
        <v>52</v>
      </c>
      <c r="P155" s="39" t="s">
        <v>65</v>
      </c>
      <c r="Q155" s="39">
        <v>55.18</v>
      </c>
      <c r="R155" s="40">
        <v>60.845272168473706</v>
      </c>
    </row>
    <row r="156" spans="1:18" s="39" customFormat="1" ht="31.25" customHeight="1" x14ac:dyDescent="0.2">
      <c r="A156" s="39" t="s">
        <v>432</v>
      </c>
      <c r="B156" s="39" t="s">
        <v>58</v>
      </c>
      <c r="C156" s="39" t="s">
        <v>188</v>
      </c>
      <c r="D156" s="39" t="s">
        <v>160</v>
      </c>
      <c r="E156" s="39" t="s">
        <v>166</v>
      </c>
      <c r="F156" s="39" t="s">
        <v>433</v>
      </c>
      <c r="G156" s="39" t="s">
        <v>125</v>
      </c>
      <c r="H156" s="39" t="s">
        <v>162</v>
      </c>
      <c r="J156" s="39" t="s">
        <v>124</v>
      </c>
      <c r="K156" s="39" t="s">
        <v>5557</v>
      </c>
      <c r="L156" s="48" t="s">
        <v>434</v>
      </c>
      <c r="M156" s="39" t="s">
        <v>398</v>
      </c>
      <c r="O156" s="39" t="s">
        <v>52</v>
      </c>
      <c r="P156" s="39" t="s">
        <v>65</v>
      </c>
      <c r="Q156" s="39">
        <v>32</v>
      </c>
      <c r="R156" s="40">
        <v>35.285406114374027</v>
      </c>
    </row>
    <row r="157" spans="1:18" s="39" customFormat="1" ht="31.25" customHeight="1" x14ac:dyDescent="0.2">
      <c r="A157" s="39" t="s">
        <v>435</v>
      </c>
      <c r="B157" s="39" t="s">
        <v>58</v>
      </c>
      <c r="C157" s="39" t="s">
        <v>188</v>
      </c>
      <c r="D157" s="39" t="s">
        <v>160</v>
      </c>
      <c r="E157" s="39" t="s">
        <v>166</v>
      </c>
      <c r="F157" s="39" t="s">
        <v>436</v>
      </c>
      <c r="G157" s="39" t="s">
        <v>125</v>
      </c>
      <c r="H157" s="39" t="s">
        <v>162</v>
      </c>
      <c r="J157" s="39" t="s">
        <v>124</v>
      </c>
      <c r="K157" s="39" t="s">
        <v>5557</v>
      </c>
      <c r="L157" s="48" t="s">
        <v>437</v>
      </c>
      <c r="M157" s="39" t="s">
        <v>398</v>
      </c>
      <c r="O157" s="39" t="s">
        <v>52</v>
      </c>
      <c r="P157" s="39" t="s">
        <v>65</v>
      </c>
      <c r="Q157" s="39">
        <v>71.66</v>
      </c>
      <c r="R157" s="40">
        <v>79.017256317376322</v>
      </c>
    </row>
    <row r="158" spans="1:18" s="39" customFormat="1" ht="31.25" customHeight="1" x14ac:dyDescent="0.2">
      <c r="A158" s="39" t="s">
        <v>438</v>
      </c>
      <c r="B158" s="39" t="s">
        <v>58</v>
      </c>
      <c r="C158" s="39" t="s">
        <v>188</v>
      </c>
      <c r="D158" s="39" t="s">
        <v>160</v>
      </c>
      <c r="E158" s="39" t="s">
        <v>166</v>
      </c>
      <c r="F158" s="39" t="s">
        <v>439</v>
      </c>
      <c r="G158" s="39" t="s">
        <v>125</v>
      </c>
      <c r="H158" s="39" t="s">
        <v>162</v>
      </c>
      <c r="J158" s="39" t="s">
        <v>124</v>
      </c>
      <c r="K158" s="39" t="s">
        <v>5557</v>
      </c>
      <c r="L158" s="48" t="s">
        <v>440</v>
      </c>
      <c r="M158" s="39" t="s">
        <v>398</v>
      </c>
      <c r="O158" s="39" t="s">
        <v>52</v>
      </c>
      <c r="P158" s="39" t="s">
        <v>65</v>
      </c>
      <c r="Q158" s="39">
        <v>23.6</v>
      </c>
      <c r="R158" s="40">
        <v>26.022987009350846</v>
      </c>
    </row>
    <row r="159" spans="1:18" s="39" customFormat="1" ht="31.25" customHeight="1" x14ac:dyDescent="0.2">
      <c r="A159" s="39" t="s">
        <v>441</v>
      </c>
      <c r="B159" s="39" t="s">
        <v>58</v>
      </c>
      <c r="C159" s="39" t="s">
        <v>188</v>
      </c>
      <c r="D159" s="39" t="s">
        <v>160</v>
      </c>
      <c r="E159" s="39" t="s">
        <v>166</v>
      </c>
      <c r="F159" s="39" t="s">
        <v>442</v>
      </c>
      <c r="G159" s="39" t="s">
        <v>125</v>
      </c>
      <c r="H159" s="39" t="s">
        <v>162</v>
      </c>
      <c r="J159" s="39" t="s">
        <v>124</v>
      </c>
      <c r="K159" s="39" t="s">
        <v>5557</v>
      </c>
      <c r="L159" s="48" t="s">
        <v>443</v>
      </c>
      <c r="M159" s="39" t="s">
        <v>398</v>
      </c>
      <c r="O159" s="39" t="s">
        <v>52</v>
      </c>
      <c r="P159" s="39" t="s">
        <v>65</v>
      </c>
      <c r="Q159" s="39">
        <v>21.07</v>
      </c>
      <c r="R159" s="40">
        <v>23.233234588433149</v>
      </c>
    </row>
    <row r="160" spans="1:18" s="39" customFormat="1" ht="31.25" customHeight="1" x14ac:dyDescent="0.2">
      <c r="A160" s="39" t="s">
        <v>444</v>
      </c>
      <c r="B160" s="39" t="s">
        <v>58</v>
      </c>
      <c r="C160" s="39" t="s">
        <v>188</v>
      </c>
      <c r="D160" s="39" t="s">
        <v>160</v>
      </c>
      <c r="E160" s="39" t="s">
        <v>166</v>
      </c>
      <c r="F160" s="39" t="s">
        <v>355</v>
      </c>
      <c r="G160" s="39" t="s">
        <v>125</v>
      </c>
      <c r="H160" s="39" t="s">
        <v>162</v>
      </c>
      <c r="J160" s="39" t="s">
        <v>124</v>
      </c>
      <c r="K160" s="39" t="s">
        <v>5557</v>
      </c>
      <c r="L160" s="48" t="s">
        <v>445</v>
      </c>
      <c r="M160" s="39" t="s">
        <v>398</v>
      </c>
      <c r="O160" s="39" t="s">
        <v>52</v>
      </c>
      <c r="P160" s="39" t="s">
        <v>65</v>
      </c>
      <c r="Q160" s="39">
        <v>15</v>
      </c>
      <c r="R160" s="40">
        <v>16.540034116112825</v>
      </c>
    </row>
    <row r="161" spans="1:18" s="39" customFormat="1" ht="31.25" customHeight="1" x14ac:dyDescent="0.2">
      <c r="A161" s="39" t="s">
        <v>446</v>
      </c>
      <c r="B161" s="39" t="s">
        <v>58</v>
      </c>
      <c r="C161" s="39" t="s">
        <v>188</v>
      </c>
      <c r="D161" s="39" t="s">
        <v>160</v>
      </c>
      <c r="E161" s="39" t="s">
        <v>166</v>
      </c>
      <c r="F161" s="39" t="s">
        <v>447</v>
      </c>
      <c r="G161" s="39" t="s">
        <v>125</v>
      </c>
      <c r="H161" s="39" t="s">
        <v>162</v>
      </c>
      <c r="J161" s="39" t="s">
        <v>124</v>
      </c>
      <c r="K161" s="39" t="s">
        <v>5557</v>
      </c>
      <c r="L161" s="48" t="s">
        <v>448</v>
      </c>
      <c r="M161" s="39" t="s">
        <v>398</v>
      </c>
      <c r="O161" s="39" t="s">
        <v>52</v>
      </c>
      <c r="P161" s="39" t="s">
        <v>65</v>
      </c>
      <c r="Q161" s="39">
        <v>25</v>
      </c>
      <c r="R161" s="40">
        <v>27.566723526854709</v>
      </c>
    </row>
    <row r="162" spans="1:18" s="39" customFormat="1" ht="31.25" customHeight="1" x14ac:dyDescent="0.2">
      <c r="A162" s="39" t="s">
        <v>449</v>
      </c>
      <c r="B162" s="39" t="s">
        <v>58</v>
      </c>
      <c r="C162" s="39" t="s">
        <v>188</v>
      </c>
      <c r="D162" s="39" t="s">
        <v>160</v>
      </c>
      <c r="E162" s="39" t="s">
        <v>166</v>
      </c>
      <c r="F162" s="39" t="s">
        <v>450</v>
      </c>
      <c r="G162" s="39" t="s">
        <v>125</v>
      </c>
      <c r="H162" s="39" t="s">
        <v>162</v>
      </c>
      <c r="J162" s="39" t="s">
        <v>124</v>
      </c>
      <c r="K162" s="39" t="s">
        <v>5557</v>
      </c>
      <c r="L162" s="48" t="s">
        <v>451</v>
      </c>
      <c r="M162" s="39" t="s">
        <v>398</v>
      </c>
      <c r="O162" s="39" t="s">
        <v>52</v>
      </c>
      <c r="P162" s="39" t="s">
        <v>65</v>
      </c>
      <c r="Q162" s="39">
        <v>20.68</v>
      </c>
      <c r="R162" s="40">
        <v>22.803193701414212</v>
      </c>
    </row>
    <row r="163" spans="1:18" s="39" customFormat="1" ht="31.25" customHeight="1" x14ac:dyDescent="0.2">
      <c r="A163" s="39" t="s">
        <v>452</v>
      </c>
      <c r="B163" s="39" t="s">
        <v>58</v>
      </c>
      <c r="C163" s="39" t="s">
        <v>188</v>
      </c>
      <c r="D163" s="39" t="s">
        <v>160</v>
      </c>
      <c r="E163" s="39" t="s">
        <v>166</v>
      </c>
      <c r="F163" s="39" t="s">
        <v>453</v>
      </c>
      <c r="G163" s="39" t="s">
        <v>125</v>
      </c>
      <c r="H163" s="39" t="s">
        <v>162</v>
      </c>
      <c r="J163" s="39" t="s">
        <v>124</v>
      </c>
      <c r="K163" s="39" t="s">
        <v>5557</v>
      </c>
      <c r="L163" s="48" t="s">
        <v>454</v>
      </c>
      <c r="M163" s="39" t="s">
        <v>398</v>
      </c>
      <c r="O163" s="39" t="s">
        <v>52</v>
      </c>
      <c r="P163" s="39" t="s">
        <v>65</v>
      </c>
      <c r="Q163" s="39">
        <v>18.64</v>
      </c>
      <c r="R163" s="40">
        <v>20.55374906162287</v>
      </c>
    </row>
    <row r="164" spans="1:18" s="39" customFormat="1" ht="31.25" customHeight="1" x14ac:dyDescent="0.2">
      <c r="A164" s="39" t="s">
        <v>455</v>
      </c>
      <c r="B164" s="39" t="s">
        <v>58</v>
      </c>
      <c r="C164" s="39" t="s">
        <v>188</v>
      </c>
      <c r="D164" s="39" t="s">
        <v>121</v>
      </c>
      <c r="E164" s="39" t="s">
        <v>166</v>
      </c>
      <c r="F164" s="39" t="s">
        <v>456</v>
      </c>
      <c r="G164" s="39" t="s">
        <v>125</v>
      </c>
      <c r="H164" s="39" t="s">
        <v>162</v>
      </c>
      <c r="J164" s="39" t="s">
        <v>124</v>
      </c>
      <c r="K164" s="39" t="s">
        <v>5557</v>
      </c>
      <c r="L164" s="48" t="s">
        <v>457</v>
      </c>
      <c r="M164" s="39" t="s">
        <v>398</v>
      </c>
      <c r="O164" s="39" t="s">
        <v>52</v>
      </c>
      <c r="P164" s="39" t="s">
        <v>65</v>
      </c>
      <c r="Q164" s="39">
        <v>13.43</v>
      </c>
      <c r="R164" s="40">
        <v>14.808843878626348</v>
      </c>
    </row>
    <row r="165" spans="1:18" s="39" customFormat="1" ht="31.25" customHeight="1" x14ac:dyDescent="0.2">
      <c r="A165" s="39" t="s">
        <v>458</v>
      </c>
      <c r="B165" s="39" t="s">
        <v>58</v>
      </c>
      <c r="C165" s="39" t="s">
        <v>188</v>
      </c>
      <c r="D165" s="39" t="s">
        <v>121</v>
      </c>
      <c r="E165" s="39" t="s">
        <v>151</v>
      </c>
      <c r="F165" s="39" t="s">
        <v>459</v>
      </c>
      <c r="G165" s="39" t="s">
        <v>125</v>
      </c>
      <c r="H165" s="39" t="s">
        <v>162</v>
      </c>
      <c r="J165" s="39" t="s">
        <v>124</v>
      </c>
      <c r="K165" s="39" t="s">
        <v>5557</v>
      </c>
      <c r="L165" s="39" t="s">
        <v>460</v>
      </c>
      <c r="M165" s="39" t="s">
        <v>398</v>
      </c>
      <c r="O165" s="39" t="s">
        <v>52</v>
      </c>
      <c r="P165" s="39" t="s">
        <v>65</v>
      </c>
      <c r="Q165" s="39">
        <v>95</v>
      </c>
      <c r="R165" s="40">
        <v>104.75354940204788</v>
      </c>
    </row>
    <row r="166" spans="1:18" s="39" customFormat="1" ht="31.25" customHeight="1" x14ac:dyDescent="0.2">
      <c r="A166" s="39" t="s">
        <v>461</v>
      </c>
      <c r="B166" s="39" t="s">
        <v>58</v>
      </c>
      <c r="C166" s="39" t="s">
        <v>188</v>
      </c>
      <c r="D166" s="39" t="s">
        <v>137</v>
      </c>
      <c r="E166" s="39" t="s">
        <v>151</v>
      </c>
      <c r="F166" s="39" t="s">
        <v>308</v>
      </c>
      <c r="G166" s="39" t="s">
        <v>125</v>
      </c>
      <c r="H166" s="39" t="s">
        <v>162</v>
      </c>
      <c r="J166" s="39" t="s">
        <v>124</v>
      </c>
      <c r="K166" s="39" t="s">
        <v>5557</v>
      </c>
      <c r="L166" s="48" t="s">
        <v>462</v>
      </c>
      <c r="M166" s="39" t="s">
        <v>398</v>
      </c>
      <c r="O166" s="39" t="s">
        <v>52</v>
      </c>
      <c r="P166" s="39" t="s">
        <v>65</v>
      </c>
      <c r="Q166" s="39">
        <v>50</v>
      </c>
      <c r="R166" s="40">
        <v>55.133447053709418</v>
      </c>
    </row>
    <row r="167" spans="1:18" s="39" customFormat="1" ht="31.25" customHeight="1" x14ac:dyDescent="0.2">
      <c r="A167" s="39" t="s">
        <v>463</v>
      </c>
      <c r="B167" s="39" t="s">
        <v>58</v>
      </c>
      <c r="C167" s="39" t="s">
        <v>280</v>
      </c>
      <c r="D167" s="39" t="s">
        <v>160</v>
      </c>
      <c r="E167" s="39" t="s">
        <v>151</v>
      </c>
      <c r="F167" s="39" t="s">
        <v>464</v>
      </c>
      <c r="G167" s="39" t="s">
        <v>125</v>
      </c>
      <c r="H167" s="39" t="s">
        <v>162</v>
      </c>
      <c r="J167" s="39" t="s">
        <v>124</v>
      </c>
      <c r="K167" s="39" t="s">
        <v>5557</v>
      </c>
      <c r="L167" s="48" t="s">
        <v>465</v>
      </c>
      <c r="M167" s="39" t="s">
        <v>398</v>
      </c>
      <c r="O167" s="39" t="s">
        <v>52</v>
      </c>
      <c r="P167" s="39" t="s">
        <v>65</v>
      </c>
      <c r="Q167" s="39">
        <v>47.86</v>
      </c>
      <c r="R167" s="40">
        <v>52.77373551981065</v>
      </c>
    </row>
    <row r="168" spans="1:18" s="39" customFormat="1" ht="31.25" customHeight="1" x14ac:dyDescent="0.2">
      <c r="A168" s="39" t="s">
        <v>466</v>
      </c>
      <c r="B168" s="39" t="s">
        <v>58</v>
      </c>
      <c r="C168" s="39" t="s">
        <v>188</v>
      </c>
      <c r="D168" s="39" t="s">
        <v>160</v>
      </c>
      <c r="E168" s="39" t="s">
        <v>151</v>
      </c>
      <c r="F168" s="39" t="s">
        <v>467</v>
      </c>
      <c r="G168" s="39" t="s">
        <v>125</v>
      </c>
      <c r="H168" s="39" t="s">
        <v>162</v>
      </c>
      <c r="J168" s="39" t="s">
        <v>124</v>
      </c>
      <c r="K168" s="39" t="s">
        <v>5557</v>
      </c>
      <c r="L168" s="48" t="s">
        <v>468</v>
      </c>
      <c r="M168" s="39" t="s">
        <v>398</v>
      </c>
      <c r="O168" s="39" t="s">
        <v>52</v>
      </c>
      <c r="P168" s="39" t="s">
        <v>65</v>
      </c>
      <c r="Q168" s="39">
        <v>27.39</v>
      </c>
      <c r="R168" s="40">
        <v>30.202102296022019</v>
      </c>
    </row>
    <row r="169" spans="1:18" s="39" customFormat="1" ht="31.25" customHeight="1" x14ac:dyDescent="0.2">
      <c r="A169" s="39" t="s">
        <v>469</v>
      </c>
      <c r="B169" s="39" t="s">
        <v>58</v>
      </c>
      <c r="C169" s="39" t="s">
        <v>188</v>
      </c>
      <c r="D169" s="39" t="s">
        <v>160</v>
      </c>
      <c r="E169" s="39" t="s">
        <v>151</v>
      </c>
      <c r="F169" s="39" t="s">
        <v>470</v>
      </c>
      <c r="G169" s="39" t="s">
        <v>125</v>
      </c>
      <c r="H169" s="39" t="s">
        <v>162</v>
      </c>
      <c r="J169" s="39" t="s">
        <v>124</v>
      </c>
      <c r="K169" s="39" t="s">
        <v>5557</v>
      </c>
      <c r="L169" s="48" t="s">
        <v>471</v>
      </c>
      <c r="M169" s="39" t="s">
        <v>398</v>
      </c>
      <c r="O169" s="39" t="s">
        <v>52</v>
      </c>
      <c r="P169" s="39" t="s">
        <v>65</v>
      </c>
      <c r="Q169" s="39">
        <v>36.54</v>
      </c>
      <c r="R169" s="40">
        <v>40.291523106850839</v>
      </c>
    </row>
    <row r="170" spans="1:18" s="39" customFormat="1" ht="31.25" customHeight="1" x14ac:dyDescent="0.2">
      <c r="A170" s="39" t="s">
        <v>472</v>
      </c>
      <c r="B170" s="39" t="s">
        <v>58</v>
      </c>
      <c r="C170" s="39" t="s">
        <v>188</v>
      </c>
      <c r="D170" s="39" t="s">
        <v>160</v>
      </c>
      <c r="E170" s="39" t="s">
        <v>151</v>
      </c>
      <c r="F170" s="39" t="s">
        <v>473</v>
      </c>
      <c r="G170" s="39" t="s">
        <v>125</v>
      </c>
      <c r="H170" s="39" t="s">
        <v>162</v>
      </c>
      <c r="J170" s="39" t="s">
        <v>124</v>
      </c>
      <c r="K170" s="39" t="s">
        <v>5557</v>
      </c>
      <c r="L170" s="48" t="s">
        <v>474</v>
      </c>
      <c r="M170" s="39" t="s">
        <v>398</v>
      </c>
      <c r="O170" s="39" t="s">
        <v>52</v>
      </c>
      <c r="P170" s="39" t="s">
        <v>65</v>
      </c>
      <c r="Q170" s="39">
        <v>8.07</v>
      </c>
      <c r="R170" s="40">
        <v>8.8985383544687</v>
      </c>
    </row>
    <row r="171" spans="1:18" s="39" customFormat="1" ht="31.25" customHeight="1" x14ac:dyDescent="0.2">
      <c r="A171" s="39" t="s">
        <v>475</v>
      </c>
      <c r="B171" s="39" t="s">
        <v>58</v>
      </c>
      <c r="C171" s="39" t="s">
        <v>188</v>
      </c>
      <c r="D171" s="39" t="s">
        <v>160</v>
      </c>
      <c r="E171" s="39" t="s">
        <v>151</v>
      </c>
      <c r="F171" s="39" t="s">
        <v>476</v>
      </c>
      <c r="G171" s="39" t="s">
        <v>125</v>
      </c>
      <c r="H171" s="39" t="s">
        <v>162</v>
      </c>
      <c r="J171" s="39" t="s">
        <v>124</v>
      </c>
      <c r="K171" s="39" t="s">
        <v>5557</v>
      </c>
      <c r="L171" s="48" t="s">
        <v>477</v>
      </c>
      <c r="M171" s="39" t="s">
        <v>398</v>
      </c>
      <c r="O171" s="39" t="s">
        <v>52</v>
      </c>
      <c r="P171" s="39" t="s">
        <v>65</v>
      </c>
      <c r="Q171" s="39">
        <v>5.15</v>
      </c>
      <c r="R171" s="40">
        <v>5.6787450465320699</v>
      </c>
    </row>
    <row r="172" spans="1:18" s="39" customFormat="1" ht="31.25" customHeight="1" x14ac:dyDescent="0.2">
      <c r="A172" s="39" t="s">
        <v>478</v>
      </c>
      <c r="B172" s="39" t="s">
        <v>58</v>
      </c>
      <c r="C172" s="39" t="s">
        <v>188</v>
      </c>
      <c r="D172" s="39" t="s">
        <v>160</v>
      </c>
      <c r="E172" s="39" t="s">
        <v>151</v>
      </c>
      <c r="F172" s="39" t="s">
        <v>479</v>
      </c>
      <c r="G172" s="39" t="s">
        <v>125</v>
      </c>
      <c r="H172" s="39" t="s">
        <v>162</v>
      </c>
      <c r="J172" s="39" t="s">
        <v>124</v>
      </c>
      <c r="K172" s="39" t="s">
        <v>5557</v>
      </c>
      <c r="L172" s="48" t="s">
        <v>480</v>
      </c>
      <c r="M172" s="39" t="s">
        <v>398</v>
      </c>
      <c r="O172" s="39" t="s">
        <v>52</v>
      </c>
      <c r="P172" s="39" t="s">
        <v>65</v>
      </c>
      <c r="Q172" s="39">
        <v>117.2</v>
      </c>
      <c r="R172" s="40">
        <v>129.23279989389488</v>
      </c>
    </row>
    <row r="173" spans="1:18" s="39" customFormat="1" ht="31.25" customHeight="1" x14ac:dyDescent="0.2">
      <c r="A173" s="39" t="s">
        <v>481</v>
      </c>
      <c r="B173" s="39" t="s">
        <v>58</v>
      </c>
      <c r="C173" s="39" t="s">
        <v>280</v>
      </c>
      <c r="D173" s="39" t="s">
        <v>160</v>
      </c>
      <c r="E173" s="39" t="s">
        <v>147</v>
      </c>
      <c r="F173" s="39" t="s">
        <v>308</v>
      </c>
      <c r="G173" s="39" t="s">
        <v>125</v>
      </c>
      <c r="H173" s="39" t="s">
        <v>162</v>
      </c>
      <c r="J173" s="39" t="s">
        <v>124</v>
      </c>
      <c r="K173" s="39" t="s">
        <v>5557</v>
      </c>
      <c r="L173" s="48" t="s">
        <v>482</v>
      </c>
      <c r="M173" s="39" t="s">
        <v>398</v>
      </c>
      <c r="O173" s="39" t="s">
        <v>52</v>
      </c>
      <c r="P173" s="39" t="s">
        <v>65</v>
      </c>
      <c r="Q173" s="39">
        <v>50</v>
      </c>
      <c r="R173" s="40">
        <v>55.133447053709418</v>
      </c>
    </row>
    <row r="174" spans="1:18" s="39" customFormat="1" ht="31.25" customHeight="1" x14ac:dyDescent="0.2">
      <c r="A174" s="39" t="s">
        <v>483</v>
      </c>
      <c r="B174" s="39" t="s">
        <v>58</v>
      </c>
      <c r="C174" s="39" t="s">
        <v>280</v>
      </c>
      <c r="D174" s="39" t="s">
        <v>160</v>
      </c>
      <c r="E174" s="39" t="s">
        <v>151</v>
      </c>
      <c r="F174" s="39" t="s">
        <v>484</v>
      </c>
      <c r="G174" s="39" t="s">
        <v>125</v>
      </c>
      <c r="H174" s="39" t="s">
        <v>162</v>
      </c>
      <c r="J174" s="39" t="s">
        <v>124</v>
      </c>
      <c r="K174" s="39" t="s">
        <v>5557</v>
      </c>
      <c r="L174" s="48" t="s">
        <v>485</v>
      </c>
      <c r="M174" s="39" t="s">
        <v>398</v>
      </c>
      <c r="O174" s="39" t="s">
        <v>52</v>
      </c>
      <c r="P174" s="39" t="s">
        <v>65</v>
      </c>
      <c r="Q174" s="39">
        <v>26.44</v>
      </c>
      <c r="R174" s="40">
        <v>29.15456680200154</v>
      </c>
    </row>
    <row r="175" spans="1:18" s="39" customFormat="1" ht="31.25" customHeight="1" x14ac:dyDescent="0.2">
      <c r="A175" s="39" t="s">
        <v>486</v>
      </c>
      <c r="B175" s="39" t="s">
        <v>58</v>
      </c>
      <c r="C175" s="39" t="s">
        <v>188</v>
      </c>
      <c r="D175" s="39" t="s">
        <v>160</v>
      </c>
      <c r="E175" s="39" t="s">
        <v>151</v>
      </c>
      <c r="F175" s="39" t="s">
        <v>487</v>
      </c>
      <c r="G175" s="39" t="s">
        <v>125</v>
      </c>
      <c r="H175" s="39" t="s">
        <v>162</v>
      </c>
      <c r="J175" s="39" t="s">
        <v>124</v>
      </c>
      <c r="K175" s="39" t="s">
        <v>5557</v>
      </c>
      <c r="L175" s="48" t="s">
        <v>488</v>
      </c>
      <c r="M175" s="39" t="s">
        <v>398</v>
      </c>
      <c r="O175" s="39" t="s">
        <v>52</v>
      </c>
      <c r="P175" s="39" t="s">
        <v>65</v>
      </c>
      <c r="Q175" s="39">
        <v>44.3</v>
      </c>
      <c r="R175" s="40">
        <v>48.848234089586541</v>
      </c>
    </row>
    <row r="176" spans="1:18" s="39" customFormat="1" ht="31.25" customHeight="1" x14ac:dyDescent="0.2">
      <c r="A176" s="39" t="s">
        <v>489</v>
      </c>
      <c r="B176" s="39" t="s">
        <v>58</v>
      </c>
      <c r="C176" s="39" t="s">
        <v>188</v>
      </c>
      <c r="D176" s="39" t="s">
        <v>121</v>
      </c>
      <c r="E176" s="39" t="s">
        <v>151</v>
      </c>
      <c r="F176" s="39" t="s">
        <v>490</v>
      </c>
      <c r="G176" s="39" t="s">
        <v>125</v>
      </c>
      <c r="H176" s="39" t="s">
        <v>162</v>
      </c>
      <c r="J176" s="39" t="s">
        <v>124</v>
      </c>
      <c r="K176" s="39" t="s">
        <v>5557</v>
      </c>
      <c r="L176" s="39" t="s">
        <v>491</v>
      </c>
      <c r="M176" s="39" t="s">
        <v>398</v>
      </c>
      <c r="O176" s="39" t="s">
        <v>52</v>
      </c>
      <c r="P176" s="39" t="s">
        <v>65</v>
      </c>
      <c r="Q176" s="39">
        <v>99</v>
      </c>
      <c r="R176" s="40">
        <v>109.16422516634464</v>
      </c>
    </row>
    <row r="177" spans="1:18" s="39" customFormat="1" ht="31.25" customHeight="1" x14ac:dyDescent="0.2">
      <c r="A177" s="39" t="s">
        <v>492</v>
      </c>
      <c r="B177" s="39" t="s">
        <v>58</v>
      </c>
      <c r="C177" s="39" t="s">
        <v>280</v>
      </c>
      <c r="D177" s="39" t="s">
        <v>121</v>
      </c>
      <c r="E177" s="39" t="s">
        <v>151</v>
      </c>
      <c r="F177" s="39" t="s">
        <v>493</v>
      </c>
      <c r="G177" s="39" t="s">
        <v>125</v>
      </c>
      <c r="H177" s="39" t="s">
        <v>162</v>
      </c>
      <c r="J177" s="39" t="s">
        <v>124</v>
      </c>
      <c r="K177" s="39" t="s">
        <v>5557</v>
      </c>
      <c r="L177" s="39" t="s">
        <v>494</v>
      </c>
      <c r="M177" s="39" t="s">
        <v>398</v>
      </c>
      <c r="O177" s="39" t="s">
        <v>52</v>
      </c>
      <c r="P177" s="39" t="s">
        <v>65</v>
      </c>
      <c r="Q177" s="39">
        <v>1</v>
      </c>
      <c r="R177" s="40">
        <v>1.1026689410741883</v>
      </c>
    </row>
    <row r="178" spans="1:18" s="39" customFormat="1" ht="31.25" customHeight="1" x14ac:dyDescent="0.2">
      <c r="A178" s="39" t="s">
        <v>495</v>
      </c>
      <c r="B178" s="39" t="s">
        <v>58</v>
      </c>
      <c r="C178" s="39" t="s">
        <v>132</v>
      </c>
      <c r="D178" s="39" t="s">
        <v>160</v>
      </c>
      <c r="E178" s="39" t="s">
        <v>292</v>
      </c>
      <c r="F178" s="39" t="s">
        <v>496</v>
      </c>
      <c r="G178" s="39" t="s">
        <v>134</v>
      </c>
      <c r="H178" s="39" t="s">
        <v>208</v>
      </c>
      <c r="J178" s="39" t="s">
        <v>124</v>
      </c>
      <c r="K178" s="39" t="s">
        <v>5557</v>
      </c>
      <c r="L178" s="48" t="s">
        <v>497</v>
      </c>
      <c r="M178" s="39" t="s">
        <v>398</v>
      </c>
      <c r="O178" s="39" t="s">
        <v>52</v>
      </c>
      <c r="P178" s="39" t="s">
        <v>65</v>
      </c>
      <c r="Q178" s="39">
        <v>34</v>
      </c>
      <c r="R178" s="40">
        <v>37.490743996522404</v>
      </c>
    </row>
    <row r="179" spans="1:18" s="39" customFormat="1" ht="31.25" customHeight="1" x14ac:dyDescent="0.2">
      <c r="A179" s="39" t="s">
        <v>498</v>
      </c>
      <c r="B179" s="39" t="s">
        <v>58</v>
      </c>
      <c r="C179" s="39" t="s">
        <v>132</v>
      </c>
      <c r="D179" s="39" t="s">
        <v>160</v>
      </c>
      <c r="E179" s="39" t="s">
        <v>292</v>
      </c>
      <c r="F179" s="39" t="s">
        <v>308</v>
      </c>
      <c r="G179" s="39" t="s">
        <v>134</v>
      </c>
      <c r="H179" s="39" t="s">
        <v>208</v>
      </c>
      <c r="J179" s="39" t="s">
        <v>124</v>
      </c>
      <c r="K179" s="39" t="s">
        <v>5557</v>
      </c>
      <c r="L179" s="48" t="s">
        <v>499</v>
      </c>
      <c r="M179" s="39" t="s">
        <v>398</v>
      </c>
      <c r="O179" s="39" t="s">
        <v>52</v>
      </c>
      <c r="P179" s="39" t="s">
        <v>65</v>
      </c>
      <c r="Q179" s="39">
        <v>50</v>
      </c>
      <c r="R179" s="40">
        <v>55.133447053709418</v>
      </c>
    </row>
    <row r="180" spans="1:18" s="39" customFormat="1" ht="31.25" customHeight="1" x14ac:dyDescent="0.2">
      <c r="A180" s="39" t="s">
        <v>500</v>
      </c>
      <c r="B180" s="39" t="s">
        <v>58</v>
      </c>
      <c r="C180" s="39" t="s">
        <v>132</v>
      </c>
      <c r="D180" s="39" t="s">
        <v>160</v>
      </c>
      <c r="E180" s="62" t="s">
        <v>133</v>
      </c>
      <c r="F180" s="39" t="s">
        <v>501</v>
      </c>
      <c r="G180" s="39" t="s">
        <v>134</v>
      </c>
      <c r="H180" s="39" t="s">
        <v>125</v>
      </c>
      <c r="J180" s="39" t="s">
        <v>124</v>
      </c>
      <c r="K180" s="39" t="s">
        <v>5557</v>
      </c>
      <c r="L180" s="48" t="s">
        <v>502</v>
      </c>
      <c r="M180" s="39" t="s">
        <v>398</v>
      </c>
      <c r="O180" s="39" t="s">
        <v>52</v>
      </c>
      <c r="P180" s="39" t="s">
        <v>65</v>
      </c>
      <c r="Q180" s="39">
        <v>24.7</v>
      </c>
      <c r="R180" s="40">
        <v>27.23592284453245</v>
      </c>
    </row>
    <row r="181" spans="1:18" s="39" customFormat="1" ht="31.25" customHeight="1" x14ac:dyDescent="0.2">
      <c r="A181" s="39" t="s">
        <v>503</v>
      </c>
      <c r="B181" s="39" t="s">
        <v>58</v>
      </c>
      <c r="C181" s="39" t="s">
        <v>132</v>
      </c>
      <c r="D181" s="39" t="s">
        <v>160</v>
      </c>
      <c r="E181" s="39" t="s">
        <v>172</v>
      </c>
      <c r="F181" s="39" t="s">
        <v>504</v>
      </c>
      <c r="G181" s="39" t="s">
        <v>134</v>
      </c>
      <c r="H181" s="39" t="s">
        <v>208</v>
      </c>
      <c r="J181" s="39" t="s">
        <v>124</v>
      </c>
      <c r="K181" s="39" t="s">
        <v>5557</v>
      </c>
      <c r="L181" s="48" t="s">
        <v>505</v>
      </c>
      <c r="M181" s="39" t="s">
        <v>398</v>
      </c>
      <c r="O181" s="39" t="s">
        <v>52</v>
      </c>
      <c r="P181" s="39" t="s">
        <v>65</v>
      </c>
      <c r="Q181" s="39">
        <v>280.95999999999998</v>
      </c>
      <c r="R181" s="40">
        <v>309.80586568420392</v>
      </c>
    </row>
    <row r="182" spans="1:18" s="39" customFormat="1" ht="31.25" customHeight="1" x14ac:dyDescent="0.2">
      <c r="A182" s="39" t="s">
        <v>506</v>
      </c>
      <c r="B182" s="39" t="s">
        <v>58</v>
      </c>
      <c r="C182" s="39" t="s">
        <v>132</v>
      </c>
      <c r="D182" s="39" t="s">
        <v>160</v>
      </c>
      <c r="E182" s="39" t="s">
        <v>172</v>
      </c>
      <c r="F182" s="39" t="s">
        <v>507</v>
      </c>
      <c r="G182" s="39" t="s">
        <v>134</v>
      </c>
      <c r="H182" s="39" t="s">
        <v>208</v>
      </c>
      <c r="J182" s="39" t="s">
        <v>124</v>
      </c>
      <c r="K182" s="39" t="s">
        <v>5557</v>
      </c>
      <c r="L182" s="48" t="s">
        <v>508</v>
      </c>
      <c r="M182" s="39" t="s">
        <v>398</v>
      </c>
      <c r="O182" s="39" t="s">
        <v>52</v>
      </c>
      <c r="P182" s="39" t="s">
        <v>65</v>
      </c>
      <c r="Q182" s="39">
        <v>10</v>
      </c>
      <c r="R182" s="40">
        <v>11.026689410741882</v>
      </c>
    </row>
    <row r="183" spans="1:18" s="39" customFormat="1" ht="31.25" customHeight="1" x14ac:dyDescent="0.2">
      <c r="A183" s="39" t="s">
        <v>509</v>
      </c>
      <c r="B183" s="39" t="s">
        <v>58</v>
      </c>
      <c r="C183" s="39" t="s">
        <v>132</v>
      </c>
      <c r="D183" s="39" t="s">
        <v>160</v>
      </c>
      <c r="E183" s="39" t="s">
        <v>251</v>
      </c>
      <c r="F183" s="39" t="s">
        <v>510</v>
      </c>
      <c r="G183" s="39" t="s">
        <v>125</v>
      </c>
      <c r="H183" s="39" t="s">
        <v>162</v>
      </c>
      <c r="J183" s="39" t="s">
        <v>124</v>
      </c>
      <c r="K183" s="39" t="s">
        <v>5557</v>
      </c>
      <c r="L183" s="39" t="s">
        <v>511</v>
      </c>
      <c r="M183" s="39" t="s">
        <v>398</v>
      </c>
      <c r="O183" s="39" t="s">
        <v>52</v>
      </c>
      <c r="P183" s="39" t="s">
        <v>65</v>
      </c>
      <c r="Q183" s="39">
        <v>345.46</v>
      </c>
      <c r="R183" s="40">
        <v>380.92801238348909</v>
      </c>
    </row>
    <row r="184" spans="1:18" s="39" customFormat="1" ht="31.25" customHeight="1" x14ac:dyDescent="0.2">
      <c r="A184" s="39" t="s">
        <v>512</v>
      </c>
      <c r="B184" s="39" t="s">
        <v>58</v>
      </c>
      <c r="C184" s="39" t="s">
        <v>132</v>
      </c>
      <c r="D184" s="39" t="s">
        <v>160</v>
      </c>
      <c r="E184" s="39" t="s">
        <v>251</v>
      </c>
      <c r="F184" s="39" t="s">
        <v>513</v>
      </c>
      <c r="G184" s="39" t="s">
        <v>125</v>
      </c>
      <c r="H184" s="39" t="s">
        <v>162</v>
      </c>
      <c r="J184" s="39" t="s">
        <v>124</v>
      </c>
      <c r="K184" s="39" t="s">
        <v>5557</v>
      </c>
      <c r="L184" s="48" t="s">
        <v>514</v>
      </c>
      <c r="M184" s="39" t="s">
        <v>398</v>
      </c>
      <c r="O184" s="39" t="s">
        <v>52</v>
      </c>
      <c r="P184" s="39" t="s">
        <v>65</v>
      </c>
      <c r="Q184" s="39">
        <v>13.74</v>
      </c>
      <c r="R184" s="40">
        <v>15.150671250359347</v>
      </c>
    </row>
    <row r="185" spans="1:18" s="39" customFormat="1" ht="31.25" customHeight="1" x14ac:dyDescent="0.2">
      <c r="A185" s="39" t="s">
        <v>515</v>
      </c>
      <c r="B185" s="39" t="s">
        <v>58</v>
      </c>
      <c r="C185" s="39" t="s">
        <v>132</v>
      </c>
      <c r="D185" s="39" t="s">
        <v>160</v>
      </c>
      <c r="E185" s="39" t="s">
        <v>251</v>
      </c>
      <c r="F185" s="39" t="s">
        <v>516</v>
      </c>
      <c r="G185" s="39" t="s">
        <v>125</v>
      </c>
      <c r="H185" s="39" t="s">
        <v>162</v>
      </c>
      <c r="J185" s="39" t="s">
        <v>124</v>
      </c>
      <c r="K185" s="39" t="s">
        <v>5557</v>
      </c>
      <c r="L185" s="48" t="s">
        <v>517</v>
      </c>
      <c r="M185" s="39" t="s">
        <v>398</v>
      </c>
      <c r="O185" s="39" t="s">
        <v>52</v>
      </c>
      <c r="P185" s="39" t="s">
        <v>65</v>
      </c>
      <c r="Q185" s="39">
        <v>34.1</v>
      </c>
      <c r="R185" s="40">
        <v>37.601010890629823</v>
      </c>
    </row>
    <row r="186" spans="1:18" s="39" customFormat="1" ht="31.25" customHeight="1" x14ac:dyDescent="0.2">
      <c r="A186" s="39" t="s">
        <v>518</v>
      </c>
      <c r="B186" s="39" t="s">
        <v>58</v>
      </c>
      <c r="C186" s="39" t="s">
        <v>132</v>
      </c>
      <c r="D186" s="39" t="s">
        <v>137</v>
      </c>
      <c r="E186" s="39" t="s">
        <v>251</v>
      </c>
      <c r="F186" s="39" t="s">
        <v>519</v>
      </c>
      <c r="G186" s="39" t="s">
        <v>125</v>
      </c>
      <c r="H186" s="39" t="s">
        <v>162</v>
      </c>
      <c r="J186" s="39" t="s">
        <v>124</v>
      </c>
      <c r="K186" s="39" t="s">
        <v>5557</v>
      </c>
      <c r="L186" s="48" t="s">
        <v>520</v>
      </c>
      <c r="M186" s="39" t="s">
        <v>398</v>
      </c>
      <c r="O186" s="39" t="s">
        <v>52</v>
      </c>
      <c r="P186" s="39" t="s">
        <v>65</v>
      </c>
      <c r="Q186" s="39">
        <v>17.399999999999999</v>
      </c>
      <c r="R186" s="40">
        <v>19.186439574690876</v>
      </c>
    </row>
    <row r="187" spans="1:18" s="39" customFormat="1" ht="31.25" customHeight="1" x14ac:dyDescent="0.2">
      <c r="A187" s="39" t="s">
        <v>521</v>
      </c>
      <c r="B187" s="39" t="s">
        <v>58</v>
      </c>
      <c r="C187" s="39" t="s">
        <v>132</v>
      </c>
      <c r="D187" s="39" t="s">
        <v>160</v>
      </c>
      <c r="E187" s="39" t="s">
        <v>251</v>
      </c>
      <c r="F187" s="39" t="s">
        <v>522</v>
      </c>
      <c r="G187" s="39" t="s">
        <v>125</v>
      </c>
      <c r="H187" s="39" t="s">
        <v>162</v>
      </c>
      <c r="J187" s="39" t="s">
        <v>124</v>
      </c>
      <c r="K187" s="39" t="s">
        <v>5557</v>
      </c>
      <c r="L187" s="48" t="s">
        <v>523</v>
      </c>
      <c r="M187" s="39" t="s">
        <v>398</v>
      </c>
      <c r="O187" s="39" t="s">
        <v>52</v>
      </c>
      <c r="P187" s="39" t="s">
        <v>65</v>
      </c>
      <c r="Q187" s="39">
        <v>105</v>
      </c>
      <c r="R187" s="40">
        <v>115.78023881278978</v>
      </c>
    </row>
    <row r="188" spans="1:18" s="39" customFormat="1" ht="31.25" customHeight="1" x14ac:dyDescent="0.2">
      <c r="A188" s="39" t="s">
        <v>524</v>
      </c>
      <c r="B188" s="39" t="s">
        <v>58</v>
      </c>
      <c r="C188" s="39" t="s">
        <v>132</v>
      </c>
      <c r="D188" s="39" t="s">
        <v>160</v>
      </c>
      <c r="E188" s="39" t="s">
        <v>251</v>
      </c>
      <c r="F188" s="39" t="s">
        <v>331</v>
      </c>
      <c r="G188" s="39" t="s">
        <v>125</v>
      </c>
      <c r="H188" s="39" t="s">
        <v>162</v>
      </c>
      <c r="J188" s="39" t="s">
        <v>124</v>
      </c>
      <c r="K188" s="39" t="s">
        <v>5557</v>
      </c>
      <c r="L188" s="48" t="s">
        <v>525</v>
      </c>
      <c r="M188" s="39" t="s">
        <v>398</v>
      </c>
      <c r="O188" s="39" t="s">
        <v>52</v>
      </c>
      <c r="P188" s="39" t="s">
        <v>65</v>
      </c>
      <c r="Q188" s="39">
        <v>60</v>
      </c>
      <c r="R188" s="40">
        <v>66.160136464451298</v>
      </c>
    </row>
    <row r="189" spans="1:18" s="39" customFormat="1" ht="31.25" customHeight="1" x14ac:dyDescent="0.2">
      <c r="A189" s="39" t="s">
        <v>526</v>
      </c>
      <c r="B189" s="39" t="s">
        <v>58</v>
      </c>
      <c r="C189" s="39" t="s">
        <v>132</v>
      </c>
      <c r="D189" s="39" t="s">
        <v>137</v>
      </c>
      <c r="E189" s="39" t="s">
        <v>251</v>
      </c>
      <c r="F189" s="39" t="s">
        <v>527</v>
      </c>
      <c r="G189" s="39" t="s">
        <v>125</v>
      </c>
      <c r="H189" s="39" t="s">
        <v>162</v>
      </c>
      <c r="J189" s="39" t="s">
        <v>124</v>
      </c>
      <c r="K189" s="39" t="s">
        <v>5557</v>
      </c>
      <c r="L189" s="48" t="s">
        <v>528</v>
      </c>
      <c r="M189" s="39" t="s">
        <v>398</v>
      </c>
      <c r="O189" s="39" t="s">
        <v>52</v>
      </c>
      <c r="P189" s="39" t="s">
        <v>65</v>
      </c>
      <c r="Q189" s="39">
        <v>26.64</v>
      </c>
      <c r="R189" s="40">
        <v>29.375100590216377</v>
      </c>
    </row>
    <row r="190" spans="1:18" s="39" customFormat="1" ht="31.25" customHeight="1" x14ac:dyDescent="0.2">
      <c r="A190" s="39" t="s">
        <v>529</v>
      </c>
      <c r="B190" s="39" t="s">
        <v>58</v>
      </c>
      <c r="C190" s="39" t="s">
        <v>132</v>
      </c>
      <c r="D190" s="39" t="s">
        <v>137</v>
      </c>
      <c r="E190" s="39" t="s">
        <v>251</v>
      </c>
      <c r="F190" s="39" t="s">
        <v>530</v>
      </c>
      <c r="G190" s="39" t="s">
        <v>125</v>
      </c>
      <c r="H190" s="39" t="s">
        <v>162</v>
      </c>
      <c r="J190" s="39" t="s">
        <v>124</v>
      </c>
      <c r="K190" s="39" t="s">
        <v>5557</v>
      </c>
      <c r="L190" s="48" t="s">
        <v>531</v>
      </c>
      <c r="M190" s="39" t="s">
        <v>398</v>
      </c>
      <c r="O190" s="39" t="s">
        <v>52</v>
      </c>
      <c r="P190" s="39" t="s">
        <v>65</v>
      </c>
      <c r="Q190" s="39">
        <v>59.29</v>
      </c>
      <c r="R190" s="40">
        <v>65.37724151628862</v>
      </c>
    </row>
    <row r="191" spans="1:18" s="39" customFormat="1" ht="31.25" customHeight="1" x14ac:dyDescent="0.2">
      <c r="A191" s="39" t="s">
        <v>532</v>
      </c>
      <c r="B191" s="39" t="s">
        <v>58</v>
      </c>
      <c r="C191" s="39" t="s">
        <v>132</v>
      </c>
      <c r="D191" s="39" t="s">
        <v>137</v>
      </c>
      <c r="E191" s="39" t="s">
        <v>251</v>
      </c>
      <c r="F191" s="39" t="s">
        <v>533</v>
      </c>
      <c r="G191" s="39" t="s">
        <v>125</v>
      </c>
      <c r="H191" s="39" t="s">
        <v>162</v>
      </c>
      <c r="J191" s="39" t="s">
        <v>124</v>
      </c>
      <c r="K191" s="39" t="s">
        <v>5557</v>
      </c>
      <c r="L191" s="48" t="s">
        <v>534</v>
      </c>
      <c r="M191" s="39" t="s">
        <v>398</v>
      </c>
      <c r="O191" s="39" t="s">
        <v>52</v>
      </c>
      <c r="P191" s="39" t="s">
        <v>65</v>
      </c>
      <c r="Q191" s="39">
        <v>15.71</v>
      </c>
      <c r="R191" s="40">
        <v>17.322929064275499</v>
      </c>
    </row>
    <row r="192" spans="1:18" s="39" customFormat="1" ht="31.25" customHeight="1" x14ac:dyDescent="0.2">
      <c r="A192" s="39" t="s">
        <v>535</v>
      </c>
      <c r="B192" s="39" t="s">
        <v>58</v>
      </c>
      <c r="C192" s="39" t="s">
        <v>132</v>
      </c>
      <c r="D192" s="39" t="s">
        <v>137</v>
      </c>
      <c r="E192" s="39" t="s">
        <v>251</v>
      </c>
      <c r="F192" s="39" t="s">
        <v>536</v>
      </c>
      <c r="G192" s="39" t="s">
        <v>125</v>
      </c>
      <c r="H192" s="39" t="s">
        <v>162</v>
      </c>
      <c r="J192" s="39" t="s">
        <v>124</v>
      </c>
      <c r="K192" s="39" t="s">
        <v>5557</v>
      </c>
      <c r="L192" s="48" t="s">
        <v>537</v>
      </c>
      <c r="M192" s="39" t="s">
        <v>398</v>
      </c>
      <c r="O192" s="39" t="s">
        <v>52</v>
      </c>
      <c r="P192" s="39" t="s">
        <v>65</v>
      </c>
      <c r="Q192" s="39">
        <v>239</v>
      </c>
      <c r="R192" s="40">
        <v>263.53787691673102</v>
      </c>
    </row>
    <row r="193" spans="1:18" s="39" customFormat="1" ht="31.25" customHeight="1" x14ac:dyDescent="0.2">
      <c r="A193" s="39" t="s">
        <v>538</v>
      </c>
      <c r="B193" s="39" t="s">
        <v>58</v>
      </c>
      <c r="C193" s="39" t="s">
        <v>132</v>
      </c>
      <c r="D193" s="39" t="s">
        <v>137</v>
      </c>
      <c r="E193" s="39" t="s">
        <v>251</v>
      </c>
      <c r="F193" s="39" t="s">
        <v>539</v>
      </c>
      <c r="G193" s="39" t="s">
        <v>125</v>
      </c>
      <c r="H193" s="39" t="s">
        <v>162</v>
      </c>
      <c r="J193" s="39" t="s">
        <v>124</v>
      </c>
      <c r="K193" s="39" t="s">
        <v>5557</v>
      </c>
      <c r="L193" s="48" t="s">
        <v>540</v>
      </c>
      <c r="M193" s="39" t="s">
        <v>398</v>
      </c>
      <c r="O193" s="39" t="s">
        <v>52</v>
      </c>
      <c r="P193" s="39" t="s">
        <v>65</v>
      </c>
      <c r="Q193" s="39">
        <v>26</v>
      </c>
      <c r="R193" s="40">
        <v>28.669392467928894</v>
      </c>
    </row>
    <row r="194" spans="1:18" s="39" customFormat="1" ht="31.25" customHeight="1" x14ac:dyDescent="0.2">
      <c r="A194" s="39" t="s">
        <v>541</v>
      </c>
      <c r="B194" s="39" t="s">
        <v>58</v>
      </c>
      <c r="C194" s="39" t="s">
        <v>132</v>
      </c>
      <c r="D194" s="39" t="s">
        <v>137</v>
      </c>
      <c r="E194" s="39" t="s">
        <v>251</v>
      </c>
      <c r="F194" s="39" t="s">
        <v>507</v>
      </c>
      <c r="G194" s="39" t="s">
        <v>125</v>
      </c>
      <c r="H194" s="39" t="s">
        <v>162</v>
      </c>
      <c r="J194" s="39" t="s">
        <v>124</v>
      </c>
      <c r="K194" s="39" t="s">
        <v>5557</v>
      </c>
      <c r="L194" s="48" t="s">
        <v>542</v>
      </c>
      <c r="M194" s="39" t="s">
        <v>398</v>
      </c>
      <c r="O194" s="39" t="s">
        <v>52</v>
      </c>
      <c r="P194" s="39" t="s">
        <v>65</v>
      </c>
      <c r="Q194" s="39">
        <v>10</v>
      </c>
      <c r="R194" s="40">
        <v>11.026689410741882</v>
      </c>
    </row>
    <row r="195" spans="1:18" s="39" customFormat="1" ht="31.25" customHeight="1" x14ac:dyDescent="0.2">
      <c r="A195" s="39" t="s">
        <v>543</v>
      </c>
      <c r="B195" s="39" t="s">
        <v>58</v>
      </c>
      <c r="C195" s="39" t="s">
        <v>132</v>
      </c>
      <c r="D195" s="39" t="s">
        <v>160</v>
      </c>
      <c r="E195" s="39" t="s">
        <v>251</v>
      </c>
      <c r="F195" s="39" t="s">
        <v>544</v>
      </c>
      <c r="G195" s="39" t="s">
        <v>125</v>
      </c>
      <c r="H195" s="39" t="s">
        <v>162</v>
      </c>
      <c r="J195" s="39" t="s">
        <v>124</v>
      </c>
      <c r="K195" s="39" t="s">
        <v>5557</v>
      </c>
      <c r="L195" s="48" t="s">
        <v>545</v>
      </c>
      <c r="M195" s="39" t="s">
        <v>398</v>
      </c>
      <c r="O195" s="39" t="s">
        <v>52</v>
      </c>
      <c r="P195" s="39" t="s">
        <v>65</v>
      </c>
      <c r="Q195" s="39">
        <v>25.93</v>
      </c>
      <c r="R195" s="40">
        <v>28.592205642053703</v>
      </c>
    </row>
    <row r="196" spans="1:18" s="39" customFormat="1" ht="31.25" customHeight="1" x14ac:dyDescent="0.2">
      <c r="A196" s="39" t="s">
        <v>546</v>
      </c>
      <c r="B196" s="39" t="s">
        <v>58</v>
      </c>
      <c r="C196" s="39" t="s">
        <v>132</v>
      </c>
      <c r="D196" s="39" t="s">
        <v>137</v>
      </c>
      <c r="E196" s="39" t="s">
        <v>251</v>
      </c>
      <c r="F196" s="39" t="s">
        <v>355</v>
      </c>
      <c r="G196" s="39" t="s">
        <v>125</v>
      </c>
      <c r="H196" s="39" t="s">
        <v>162</v>
      </c>
      <c r="J196" s="39" t="s">
        <v>124</v>
      </c>
      <c r="K196" s="39" t="s">
        <v>5557</v>
      </c>
      <c r="L196" s="48" t="s">
        <v>547</v>
      </c>
      <c r="M196" s="39" t="s">
        <v>398</v>
      </c>
      <c r="O196" s="39" t="s">
        <v>52</v>
      </c>
      <c r="P196" s="39" t="s">
        <v>65</v>
      </c>
      <c r="Q196" s="39">
        <v>15</v>
      </c>
      <c r="R196" s="40">
        <v>16.540034116112825</v>
      </c>
    </row>
    <row r="197" spans="1:18" s="39" customFormat="1" ht="31.25" customHeight="1" x14ac:dyDescent="0.2">
      <c r="A197" s="39" t="s">
        <v>548</v>
      </c>
      <c r="B197" s="39" t="s">
        <v>58</v>
      </c>
      <c r="C197" s="39" t="s">
        <v>132</v>
      </c>
      <c r="D197" s="39" t="s">
        <v>160</v>
      </c>
      <c r="E197" s="39" t="s">
        <v>251</v>
      </c>
      <c r="F197" s="39" t="s">
        <v>549</v>
      </c>
      <c r="G197" s="39" t="s">
        <v>125</v>
      </c>
      <c r="H197" s="39" t="s">
        <v>162</v>
      </c>
      <c r="J197" s="39" t="s">
        <v>124</v>
      </c>
      <c r="K197" s="39" t="s">
        <v>5557</v>
      </c>
      <c r="L197" s="48" t="s">
        <v>550</v>
      </c>
      <c r="M197" s="39" t="s">
        <v>398</v>
      </c>
      <c r="O197" s="39" t="s">
        <v>52</v>
      </c>
      <c r="P197" s="39" t="s">
        <v>65</v>
      </c>
      <c r="Q197" s="39">
        <v>5.65</v>
      </c>
      <c r="R197" s="40">
        <v>6.2300795170691643</v>
      </c>
    </row>
    <row r="198" spans="1:18" s="39" customFormat="1" ht="31.25" customHeight="1" x14ac:dyDescent="0.2">
      <c r="A198" s="39" t="s">
        <v>551</v>
      </c>
      <c r="B198" s="39" t="s">
        <v>58</v>
      </c>
      <c r="C198" s="39" t="s">
        <v>120</v>
      </c>
      <c r="D198" s="39" t="s">
        <v>160</v>
      </c>
      <c r="E198" s="39" t="s">
        <v>251</v>
      </c>
      <c r="F198" s="39" t="s">
        <v>552</v>
      </c>
      <c r="G198" s="39" t="s">
        <v>125</v>
      </c>
      <c r="H198" s="39" t="s">
        <v>162</v>
      </c>
      <c r="J198" s="39" t="s">
        <v>124</v>
      </c>
      <c r="K198" s="39" t="s">
        <v>5557</v>
      </c>
      <c r="L198" s="48" t="s">
        <v>553</v>
      </c>
      <c r="M198" s="39" t="s">
        <v>398</v>
      </c>
      <c r="O198" s="39" t="s">
        <v>52</v>
      </c>
      <c r="P198" s="39" t="s">
        <v>65</v>
      </c>
      <c r="Q198" s="39">
        <v>8</v>
      </c>
      <c r="R198" s="40">
        <v>8.8213515285935067</v>
      </c>
    </row>
    <row r="199" spans="1:18" s="39" customFormat="1" ht="31.25" customHeight="1" x14ac:dyDescent="0.2">
      <c r="A199" s="39" t="s">
        <v>554</v>
      </c>
      <c r="B199" s="39" t="s">
        <v>58</v>
      </c>
      <c r="C199" s="39" t="s">
        <v>132</v>
      </c>
      <c r="D199" s="39" t="s">
        <v>160</v>
      </c>
      <c r="E199" s="39" t="s">
        <v>251</v>
      </c>
      <c r="F199" s="39" t="s">
        <v>555</v>
      </c>
      <c r="G199" s="39" t="s">
        <v>125</v>
      </c>
      <c r="H199" s="39" t="s">
        <v>162</v>
      </c>
      <c r="J199" s="39" t="s">
        <v>124</v>
      </c>
      <c r="K199" s="39" t="s">
        <v>5557</v>
      </c>
      <c r="L199" s="48" t="s">
        <v>556</v>
      </c>
      <c r="M199" s="39" t="s">
        <v>398</v>
      </c>
      <c r="O199" s="39" t="s">
        <v>52</v>
      </c>
      <c r="P199" s="39" t="s">
        <v>65</v>
      </c>
      <c r="Q199" s="39">
        <v>51</v>
      </c>
      <c r="R199" s="40">
        <v>56.236115994783603</v>
      </c>
    </row>
    <row r="200" spans="1:18" s="39" customFormat="1" ht="31.25" customHeight="1" x14ac:dyDescent="0.2">
      <c r="A200" s="39" t="s">
        <v>557</v>
      </c>
      <c r="B200" s="39" t="s">
        <v>58</v>
      </c>
      <c r="C200" s="39" t="s">
        <v>132</v>
      </c>
      <c r="D200" s="39" t="s">
        <v>160</v>
      </c>
      <c r="E200" s="39" t="s">
        <v>251</v>
      </c>
      <c r="F200" s="39" t="s">
        <v>558</v>
      </c>
      <c r="G200" s="39" t="s">
        <v>125</v>
      </c>
      <c r="H200" s="39" t="s">
        <v>162</v>
      </c>
      <c r="J200" s="39" t="s">
        <v>124</v>
      </c>
      <c r="K200" s="39" t="s">
        <v>5557</v>
      </c>
      <c r="L200" s="48" t="s">
        <v>559</v>
      </c>
      <c r="M200" s="39" t="s">
        <v>398</v>
      </c>
      <c r="O200" s="39" t="s">
        <v>52</v>
      </c>
      <c r="P200" s="39" t="s">
        <v>65</v>
      </c>
      <c r="Q200" s="39">
        <v>55.5</v>
      </c>
      <c r="R200" s="40">
        <v>61.198126229617451</v>
      </c>
    </row>
    <row r="201" spans="1:18" s="39" customFormat="1" ht="31.25" customHeight="1" x14ac:dyDescent="0.2">
      <c r="A201" s="39" t="s">
        <v>560</v>
      </c>
      <c r="B201" s="39" t="s">
        <v>58</v>
      </c>
      <c r="C201" s="39" t="s">
        <v>132</v>
      </c>
      <c r="D201" s="39" t="s">
        <v>160</v>
      </c>
      <c r="E201" s="39" t="s">
        <v>251</v>
      </c>
      <c r="F201" s="39" t="s">
        <v>561</v>
      </c>
      <c r="G201" s="39" t="s">
        <v>125</v>
      </c>
      <c r="H201" s="39" t="s">
        <v>162</v>
      </c>
      <c r="J201" s="39" t="s">
        <v>124</v>
      </c>
      <c r="K201" s="39" t="s">
        <v>5557</v>
      </c>
      <c r="L201" s="48" t="s">
        <v>562</v>
      </c>
      <c r="M201" s="39" t="s">
        <v>398</v>
      </c>
      <c r="O201" s="39" t="s">
        <v>52</v>
      </c>
      <c r="P201" s="39" t="s">
        <v>65</v>
      </c>
      <c r="Q201" s="39">
        <v>55</v>
      </c>
      <c r="R201" s="40">
        <v>60.646791759080358</v>
      </c>
    </row>
    <row r="202" spans="1:18" s="39" customFormat="1" ht="31.25" customHeight="1" x14ac:dyDescent="0.2">
      <c r="A202" s="39" t="s">
        <v>563</v>
      </c>
      <c r="B202" s="39" t="s">
        <v>58</v>
      </c>
      <c r="C202" s="39" t="s">
        <v>132</v>
      </c>
      <c r="D202" s="39" t="s">
        <v>121</v>
      </c>
      <c r="E202" s="39" t="s">
        <v>251</v>
      </c>
      <c r="F202" s="39" t="s">
        <v>433</v>
      </c>
      <c r="G202" s="39" t="s">
        <v>125</v>
      </c>
      <c r="H202" s="39" t="s">
        <v>162</v>
      </c>
      <c r="J202" s="39" t="s">
        <v>124</v>
      </c>
      <c r="K202" s="39" t="s">
        <v>5557</v>
      </c>
      <c r="L202" s="48" t="s">
        <v>564</v>
      </c>
      <c r="M202" s="39" t="s">
        <v>398</v>
      </c>
      <c r="O202" s="39" t="s">
        <v>52</v>
      </c>
      <c r="P202" s="39" t="s">
        <v>65</v>
      </c>
      <c r="Q202" s="39">
        <v>32</v>
      </c>
      <c r="R202" s="40">
        <v>35.285406114374027</v>
      </c>
    </row>
    <row r="203" spans="1:18" s="39" customFormat="1" ht="31.25" customHeight="1" x14ac:dyDescent="0.2">
      <c r="A203" s="39" t="s">
        <v>565</v>
      </c>
      <c r="B203" s="39" t="s">
        <v>58</v>
      </c>
      <c r="C203" s="39" t="s">
        <v>132</v>
      </c>
      <c r="D203" s="39" t="s">
        <v>160</v>
      </c>
      <c r="E203" s="39" t="s">
        <v>251</v>
      </c>
      <c r="F203" s="39" t="s">
        <v>566</v>
      </c>
      <c r="G203" s="39" t="s">
        <v>125</v>
      </c>
      <c r="H203" s="39" t="s">
        <v>162</v>
      </c>
      <c r="J203" s="39" t="s">
        <v>124</v>
      </c>
      <c r="K203" s="39" t="s">
        <v>5557</v>
      </c>
      <c r="L203" s="48" t="s">
        <v>567</v>
      </c>
      <c r="M203" s="39" t="s">
        <v>398</v>
      </c>
      <c r="O203" s="39" t="s">
        <v>52</v>
      </c>
      <c r="P203" s="39" t="s">
        <v>65</v>
      </c>
      <c r="Q203" s="39">
        <v>29.46</v>
      </c>
      <c r="R203" s="40">
        <v>32.484627004045585</v>
      </c>
    </row>
    <row r="204" spans="1:18" s="39" customFormat="1" ht="31.25" customHeight="1" x14ac:dyDescent="0.2">
      <c r="A204" s="39" t="s">
        <v>568</v>
      </c>
      <c r="B204" s="39" t="s">
        <v>58</v>
      </c>
      <c r="C204" s="39" t="s">
        <v>132</v>
      </c>
      <c r="D204" s="39" t="s">
        <v>160</v>
      </c>
      <c r="E204" s="39" t="s">
        <v>166</v>
      </c>
      <c r="F204" s="39" t="s">
        <v>569</v>
      </c>
      <c r="G204" s="39" t="s">
        <v>125</v>
      </c>
      <c r="H204" s="39" t="s">
        <v>162</v>
      </c>
      <c r="J204" s="39" t="s">
        <v>124</v>
      </c>
      <c r="K204" s="39" t="s">
        <v>5557</v>
      </c>
      <c r="L204" s="48" t="s">
        <v>570</v>
      </c>
      <c r="M204" s="39" t="s">
        <v>398</v>
      </c>
      <c r="O204" s="39" t="s">
        <v>52</v>
      </c>
      <c r="P204" s="39" t="s">
        <v>65</v>
      </c>
      <c r="Q204" s="39">
        <v>120.8</v>
      </c>
      <c r="R204" s="40">
        <v>133.20240808176194</v>
      </c>
    </row>
    <row r="205" spans="1:18" s="39" customFormat="1" ht="31.25" customHeight="1" x14ac:dyDescent="0.2">
      <c r="A205" s="39" t="s">
        <v>571</v>
      </c>
      <c r="B205" s="39" t="s">
        <v>58</v>
      </c>
      <c r="C205" s="39" t="s">
        <v>132</v>
      </c>
      <c r="D205" s="39" t="s">
        <v>160</v>
      </c>
      <c r="E205" s="39" t="s">
        <v>166</v>
      </c>
      <c r="F205" s="39" t="s">
        <v>572</v>
      </c>
      <c r="G205" s="39" t="s">
        <v>125</v>
      </c>
      <c r="H205" s="39" t="s">
        <v>162</v>
      </c>
      <c r="J205" s="39" t="s">
        <v>157</v>
      </c>
      <c r="K205" s="39" t="s">
        <v>5558</v>
      </c>
      <c r="L205" s="48" t="s">
        <v>573</v>
      </c>
      <c r="M205" s="39" t="s">
        <v>398</v>
      </c>
      <c r="O205" s="39" t="s">
        <v>52</v>
      </c>
      <c r="P205" s="39" t="s">
        <v>65</v>
      </c>
      <c r="Q205" s="39">
        <v>61</v>
      </c>
      <c r="R205" s="40">
        <v>67.262805405525484</v>
      </c>
    </row>
    <row r="206" spans="1:18" s="39" customFormat="1" ht="31.25" customHeight="1" x14ac:dyDescent="0.2">
      <c r="A206" s="39" t="s">
        <v>574</v>
      </c>
      <c r="B206" s="39" t="s">
        <v>58</v>
      </c>
      <c r="C206" s="39" t="s">
        <v>280</v>
      </c>
      <c r="D206" s="39" t="s">
        <v>121</v>
      </c>
      <c r="E206" s="39" t="s">
        <v>199</v>
      </c>
      <c r="F206" s="39" t="s">
        <v>447</v>
      </c>
      <c r="G206" s="39" t="s">
        <v>125</v>
      </c>
      <c r="H206" s="39" t="s">
        <v>162</v>
      </c>
      <c r="I206" s="39" t="s">
        <v>152</v>
      </c>
      <c r="J206" s="39" t="s">
        <v>124</v>
      </c>
      <c r="K206" s="39" t="s">
        <v>5557</v>
      </c>
      <c r="L206" s="48" t="s">
        <v>575</v>
      </c>
      <c r="M206" s="39" t="s">
        <v>398</v>
      </c>
      <c r="O206" s="39" t="s">
        <v>52</v>
      </c>
      <c r="P206" s="39" t="s">
        <v>65</v>
      </c>
      <c r="Q206" s="39">
        <v>25</v>
      </c>
      <c r="R206" s="40">
        <v>27.566723526854709</v>
      </c>
    </row>
    <row r="207" spans="1:18" s="39" customFormat="1" ht="31.25" customHeight="1" x14ac:dyDescent="0.2">
      <c r="A207" s="39" t="s">
        <v>576</v>
      </c>
      <c r="B207" s="39" t="s">
        <v>58</v>
      </c>
      <c r="C207" s="39" t="s">
        <v>280</v>
      </c>
      <c r="D207" s="39" t="s">
        <v>137</v>
      </c>
      <c r="E207" s="39" t="s">
        <v>133</v>
      </c>
      <c r="F207" s="39" t="s">
        <v>577</v>
      </c>
      <c r="G207" s="39" t="s">
        <v>125</v>
      </c>
      <c r="H207" s="39" t="s">
        <v>162</v>
      </c>
      <c r="I207" s="39" t="s">
        <v>134</v>
      </c>
      <c r="J207" s="39" t="s">
        <v>124</v>
      </c>
      <c r="K207" s="39" t="s">
        <v>5557</v>
      </c>
      <c r="L207" s="48" t="s">
        <v>578</v>
      </c>
      <c r="M207" s="39" t="s">
        <v>398</v>
      </c>
      <c r="O207" s="39" t="s">
        <v>52</v>
      </c>
      <c r="P207" s="39" t="s">
        <v>65</v>
      </c>
      <c r="Q207" s="39">
        <v>120</v>
      </c>
      <c r="R207" s="40">
        <v>132.3202729289026</v>
      </c>
    </row>
    <row r="208" spans="1:18" s="39" customFormat="1" ht="31.25" customHeight="1" x14ac:dyDescent="0.2">
      <c r="A208" s="39" t="s">
        <v>579</v>
      </c>
      <c r="B208" s="39" t="s">
        <v>58</v>
      </c>
      <c r="C208" s="39" t="s">
        <v>280</v>
      </c>
      <c r="D208" s="39" t="s">
        <v>160</v>
      </c>
      <c r="E208" s="39" t="s">
        <v>133</v>
      </c>
      <c r="F208" s="39" t="s">
        <v>507</v>
      </c>
      <c r="G208" s="39" t="s">
        <v>125</v>
      </c>
      <c r="H208" s="39" t="s">
        <v>162</v>
      </c>
      <c r="J208" s="39" t="s">
        <v>124</v>
      </c>
      <c r="K208" s="39" t="s">
        <v>5557</v>
      </c>
      <c r="L208" s="48" t="s">
        <v>580</v>
      </c>
      <c r="M208" s="39" t="s">
        <v>398</v>
      </c>
      <c r="O208" s="39" t="s">
        <v>52</v>
      </c>
      <c r="P208" s="39" t="s">
        <v>65</v>
      </c>
      <c r="Q208" s="39">
        <v>10</v>
      </c>
      <c r="R208" s="40">
        <v>11.026689410741882</v>
      </c>
    </row>
    <row r="209" spans="1:18" s="39" customFormat="1" ht="31.25" customHeight="1" x14ac:dyDescent="0.2">
      <c r="A209" s="39" t="s">
        <v>581</v>
      </c>
      <c r="B209" s="39" t="s">
        <v>58</v>
      </c>
      <c r="C209" s="39" t="s">
        <v>280</v>
      </c>
      <c r="D209" s="39" t="s">
        <v>160</v>
      </c>
      <c r="E209" s="39" t="s">
        <v>133</v>
      </c>
      <c r="F209" s="39" t="s">
        <v>572</v>
      </c>
      <c r="G209" s="39" t="s">
        <v>125</v>
      </c>
      <c r="H209" s="39" t="s">
        <v>162</v>
      </c>
      <c r="J209" s="39" t="s">
        <v>124</v>
      </c>
      <c r="K209" s="39" t="s">
        <v>5557</v>
      </c>
      <c r="L209" s="48" t="s">
        <v>582</v>
      </c>
      <c r="M209" s="39" t="s">
        <v>398</v>
      </c>
      <c r="O209" s="39" t="s">
        <v>52</v>
      </c>
      <c r="P209" s="39" t="s">
        <v>65</v>
      </c>
      <c r="Q209" s="39">
        <v>61</v>
      </c>
      <c r="R209" s="40">
        <v>67.262805405525484</v>
      </c>
    </row>
    <row r="210" spans="1:18" s="39" customFormat="1" ht="31.25" customHeight="1" x14ac:dyDescent="0.2">
      <c r="A210" s="39" t="s">
        <v>583</v>
      </c>
      <c r="B210" s="39" t="s">
        <v>58</v>
      </c>
      <c r="C210" s="39" t="s">
        <v>132</v>
      </c>
      <c r="D210" s="39" t="s">
        <v>160</v>
      </c>
      <c r="E210" s="39" t="s">
        <v>199</v>
      </c>
      <c r="F210" s="39" t="s">
        <v>409</v>
      </c>
      <c r="G210" s="39" t="s">
        <v>125</v>
      </c>
      <c r="H210" s="39" t="s">
        <v>152</v>
      </c>
      <c r="I210" s="39" t="s">
        <v>323</v>
      </c>
      <c r="J210" s="39" t="s">
        <v>124</v>
      </c>
      <c r="K210" s="39" t="s">
        <v>5557</v>
      </c>
      <c r="L210" s="48" t="s">
        <v>584</v>
      </c>
      <c r="M210" s="39" t="s">
        <v>398</v>
      </c>
      <c r="O210" s="39" t="s">
        <v>52</v>
      </c>
      <c r="P210" s="39" t="s">
        <v>65</v>
      </c>
      <c r="Q210" s="39">
        <v>30</v>
      </c>
      <c r="R210" s="40">
        <v>33.080068232225649</v>
      </c>
    </row>
    <row r="211" spans="1:18" s="39" customFormat="1" ht="31.25" customHeight="1" x14ac:dyDescent="0.2">
      <c r="A211" s="39" t="s">
        <v>585</v>
      </c>
      <c r="B211" s="39" t="s">
        <v>58</v>
      </c>
      <c r="C211" s="39" t="s">
        <v>280</v>
      </c>
      <c r="D211" s="39" t="s">
        <v>137</v>
      </c>
      <c r="E211" s="39" t="s">
        <v>133</v>
      </c>
      <c r="F211" s="39" t="s">
        <v>586</v>
      </c>
      <c r="G211" s="39" t="s">
        <v>125</v>
      </c>
      <c r="H211" s="39" t="s">
        <v>152</v>
      </c>
      <c r="I211" s="39" t="s">
        <v>323</v>
      </c>
      <c r="J211" s="39" t="s">
        <v>124</v>
      </c>
      <c r="K211" s="39" t="s">
        <v>5557</v>
      </c>
      <c r="L211" s="48" t="s">
        <v>587</v>
      </c>
      <c r="M211" s="39" t="s">
        <v>398</v>
      </c>
      <c r="O211" s="39" t="s">
        <v>52</v>
      </c>
      <c r="P211" s="39" t="s">
        <v>65</v>
      </c>
      <c r="Q211" s="39">
        <v>28.97</v>
      </c>
      <c r="R211" s="40">
        <v>31.944319222919233</v>
      </c>
    </row>
    <row r="212" spans="1:18" s="39" customFormat="1" ht="31.25" customHeight="1" x14ac:dyDescent="0.2">
      <c r="A212" s="39" t="s">
        <v>588</v>
      </c>
      <c r="B212" s="39" t="s">
        <v>58</v>
      </c>
      <c r="C212" s="39" t="s">
        <v>132</v>
      </c>
      <c r="D212" s="39" t="s">
        <v>160</v>
      </c>
      <c r="E212" s="39" t="s">
        <v>133</v>
      </c>
      <c r="F212" s="39" t="s">
        <v>589</v>
      </c>
      <c r="G212" s="39" t="s">
        <v>125</v>
      </c>
      <c r="H212" s="39" t="s">
        <v>152</v>
      </c>
      <c r="I212" s="39" t="s">
        <v>323</v>
      </c>
      <c r="J212" s="39" t="s">
        <v>124</v>
      </c>
      <c r="K212" s="39" t="s">
        <v>5557</v>
      </c>
      <c r="L212" s="48" t="s">
        <v>590</v>
      </c>
      <c r="M212" s="39" t="s">
        <v>398</v>
      </c>
      <c r="O212" s="39" t="s">
        <v>52</v>
      </c>
      <c r="P212" s="39" t="s">
        <v>65</v>
      </c>
      <c r="Q212" s="39">
        <v>85</v>
      </c>
      <c r="R212" s="40">
        <v>93.726859991306</v>
      </c>
    </row>
    <row r="213" spans="1:18" s="39" customFormat="1" ht="31.25" customHeight="1" x14ac:dyDescent="0.2">
      <c r="A213" s="39" t="s">
        <v>591</v>
      </c>
      <c r="B213" s="39" t="s">
        <v>58</v>
      </c>
      <c r="C213" s="39" t="s">
        <v>280</v>
      </c>
      <c r="D213" s="39" t="s">
        <v>160</v>
      </c>
      <c r="E213" s="39" t="s">
        <v>133</v>
      </c>
      <c r="F213" s="39" t="s">
        <v>447</v>
      </c>
      <c r="G213" s="39" t="s">
        <v>125</v>
      </c>
      <c r="H213" s="39" t="s">
        <v>152</v>
      </c>
      <c r="I213" s="39" t="s">
        <v>323</v>
      </c>
      <c r="J213" s="39" t="s">
        <v>124</v>
      </c>
      <c r="K213" s="39" t="s">
        <v>5557</v>
      </c>
      <c r="L213" s="48" t="s">
        <v>592</v>
      </c>
      <c r="M213" s="39" t="s">
        <v>398</v>
      </c>
      <c r="O213" s="39" t="s">
        <v>52</v>
      </c>
      <c r="P213" s="39" t="s">
        <v>65</v>
      </c>
      <c r="Q213" s="39">
        <v>25</v>
      </c>
      <c r="R213" s="40">
        <v>27.566723526854709</v>
      </c>
    </row>
    <row r="214" spans="1:18" s="39" customFormat="1" ht="31.25" customHeight="1" x14ac:dyDescent="0.2">
      <c r="A214" s="39" t="s">
        <v>593</v>
      </c>
      <c r="B214" s="39" t="s">
        <v>58</v>
      </c>
      <c r="C214" s="39" t="s">
        <v>171</v>
      </c>
      <c r="D214" s="39" t="s">
        <v>137</v>
      </c>
      <c r="E214" s="39" t="s">
        <v>133</v>
      </c>
      <c r="F214" s="54">
        <v>0</v>
      </c>
      <c r="G214" s="39" t="s">
        <v>125</v>
      </c>
      <c r="H214" s="39" t="s">
        <v>162</v>
      </c>
      <c r="J214" s="39" t="s">
        <v>124</v>
      </c>
      <c r="K214" s="39" t="s">
        <v>5557</v>
      </c>
      <c r="L214" s="39" t="s">
        <v>594</v>
      </c>
      <c r="M214" s="39" t="s">
        <v>398</v>
      </c>
      <c r="O214" s="39" t="s">
        <v>52</v>
      </c>
      <c r="Q214" s="39">
        <v>0</v>
      </c>
      <c r="R214" s="40" t="s">
        <v>1604</v>
      </c>
    </row>
    <row r="215" spans="1:18" s="39" customFormat="1" ht="31.25" customHeight="1" x14ac:dyDescent="0.2">
      <c r="A215" s="39" t="s">
        <v>595</v>
      </c>
      <c r="B215" s="39" t="s">
        <v>58</v>
      </c>
      <c r="C215" s="39" t="s">
        <v>171</v>
      </c>
      <c r="D215" s="39" t="s">
        <v>137</v>
      </c>
      <c r="E215" s="39" t="s">
        <v>133</v>
      </c>
      <c r="F215" s="54">
        <v>0</v>
      </c>
      <c r="G215" s="39" t="s">
        <v>125</v>
      </c>
      <c r="H215" s="39" t="s">
        <v>162</v>
      </c>
      <c r="J215" s="39" t="s">
        <v>124</v>
      </c>
      <c r="K215" s="39" t="s">
        <v>5557</v>
      </c>
      <c r="L215" s="39" t="s">
        <v>596</v>
      </c>
      <c r="M215" s="39" t="s">
        <v>398</v>
      </c>
      <c r="O215" s="39" t="s">
        <v>52</v>
      </c>
      <c r="Q215" s="39">
        <v>0</v>
      </c>
      <c r="R215" s="40" t="s">
        <v>1604</v>
      </c>
    </row>
    <row r="216" spans="1:18" s="39" customFormat="1" ht="31.25" customHeight="1" x14ac:dyDescent="0.2">
      <c r="A216" s="75" t="s">
        <v>597</v>
      </c>
      <c r="B216" s="75" t="s">
        <v>95</v>
      </c>
      <c r="C216" s="75" t="s">
        <v>132</v>
      </c>
      <c r="D216" s="75" t="s">
        <v>137</v>
      </c>
      <c r="E216" s="75" t="s">
        <v>133</v>
      </c>
      <c r="F216" s="75" t="s">
        <v>598</v>
      </c>
      <c r="G216" s="75"/>
      <c r="H216" s="75"/>
      <c r="I216" s="75"/>
      <c r="J216" s="75"/>
      <c r="K216" s="75"/>
      <c r="L216" s="75" t="s">
        <v>599</v>
      </c>
      <c r="M216" s="99" t="s">
        <v>600</v>
      </c>
      <c r="N216" s="75"/>
      <c r="O216" s="75" t="s">
        <v>55</v>
      </c>
      <c r="P216" s="75" t="s">
        <v>601</v>
      </c>
      <c r="Q216" s="100">
        <v>20600</v>
      </c>
      <c r="R216" s="40">
        <v>20600</v>
      </c>
    </row>
    <row r="217" spans="1:18" s="39" customFormat="1" ht="31.25" customHeight="1" x14ac:dyDescent="0.2">
      <c r="A217" s="39" t="s">
        <v>602</v>
      </c>
      <c r="B217" s="39" t="s">
        <v>95</v>
      </c>
      <c r="C217" s="39" t="s">
        <v>132</v>
      </c>
      <c r="D217" s="39" t="s">
        <v>137</v>
      </c>
      <c r="E217" s="39" t="s">
        <v>133</v>
      </c>
      <c r="F217" s="39" t="s">
        <v>603</v>
      </c>
      <c r="L217" s="39" t="s">
        <v>604</v>
      </c>
      <c r="M217" s="39" t="s">
        <v>600</v>
      </c>
      <c r="O217" s="39" t="s">
        <v>55</v>
      </c>
      <c r="P217" s="39" t="s">
        <v>601</v>
      </c>
      <c r="Q217" s="40">
        <v>14400</v>
      </c>
      <c r="R217" s="40">
        <v>14400</v>
      </c>
    </row>
    <row r="218" spans="1:18" s="39" customFormat="1" ht="31.25" customHeight="1" x14ac:dyDescent="0.2">
      <c r="A218" s="39" t="s">
        <v>605</v>
      </c>
      <c r="B218" s="39" t="s">
        <v>95</v>
      </c>
      <c r="C218" s="39" t="s">
        <v>120</v>
      </c>
      <c r="D218" s="39" t="s">
        <v>137</v>
      </c>
      <c r="E218" s="39" t="s">
        <v>133</v>
      </c>
      <c r="F218" s="39" t="s">
        <v>606</v>
      </c>
      <c r="L218" s="39" t="s">
        <v>607</v>
      </c>
      <c r="M218" s="39" t="s">
        <v>600</v>
      </c>
      <c r="O218" s="39" t="s">
        <v>55</v>
      </c>
      <c r="P218" s="39" t="s">
        <v>601</v>
      </c>
      <c r="Q218" s="40">
        <v>54800</v>
      </c>
      <c r="R218" s="40">
        <v>54800</v>
      </c>
    </row>
    <row r="219" spans="1:18" s="39" customFormat="1" ht="31.25" customHeight="1" x14ac:dyDescent="0.2">
      <c r="A219" s="39" t="s">
        <v>608</v>
      </c>
      <c r="B219" s="39" t="s">
        <v>95</v>
      </c>
      <c r="C219" s="39" t="s">
        <v>171</v>
      </c>
      <c r="D219" s="39" t="s">
        <v>137</v>
      </c>
      <c r="E219" s="39" t="s">
        <v>133</v>
      </c>
      <c r="F219" s="39" t="s">
        <v>609</v>
      </c>
      <c r="L219" s="39" t="s">
        <v>610</v>
      </c>
      <c r="M219" s="39" t="s">
        <v>600</v>
      </c>
      <c r="O219" s="39" t="s">
        <v>55</v>
      </c>
      <c r="P219" s="39" t="s">
        <v>601</v>
      </c>
      <c r="Q219" s="40">
        <v>10300</v>
      </c>
      <c r="R219" s="40">
        <v>10300</v>
      </c>
    </row>
    <row r="220" spans="1:18" s="39" customFormat="1" ht="31.25" customHeight="1" x14ac:dyDescent="0.2">
      <c r="A220" s="39" t="s">
        <v>611</v>
      </c>
      <c r="B220" s="39" t="s">
        <v>95</v>
      </c>
      <c r="C220" s="39" t="s">
        <v>177</v>
      </c>
      <c r="D220" s="55" t="s">
        <v>121</v>
      </c>
      <c r="E220" s="39" t="s">
        <v>133</v>
      </c>
      <c r="F220" s="39" t="s">
        <v>612</v>
      </c>
      <c r="L220" s="39" t="s">
        <v>613</v>
      </c>
      <c r="M220" s="39" t="s">
        <v>600</v>
      </c>
      <c r="O220" s="39" t="s">
        <v>55</v>
      </c>
      <c r="P220" s="39" t="s">
        <v>601</v>
      </c>
      <c r="Q220" s="40">
        <v>3600</v>
      </c>
      <c r="R220" s="40">
        <v>3600</v>
      </c>
    </row>
    <row r="221" spans="1:18" s="39" customFormat="1" ht="31.25" customHeight="1" x14ac:dyDescent="0.2">
      <c r="A221" s="39" t="s">
        <v>614</v>
      </c>
      <c r="B221" s="39" t="s">
        <v>95</v>
      </c>
      <c r="C221" s="39" t="s">
        <v>177</v>
      </c>
      <c r="E221" s="39" t="s">
        <v>133</v>
      </c>
      <c r="F221" s="39">
        <v>0</v>
      </c>
      <c r="L221" s="39" t="s">
        <v>615</v>
      </c>
      <c r="M221" s="39" t="s">
        <v>600</v>
      </c>
      <c r="O221" s="39" t="s">
        <v>55</v>
      </c>
      <c r="Q221" s="39">
        <v>0</v>
      </c>
      <c r="R221" s="40" t="s">
        <v>1604</v>
      </c>
    </row>
    <row r="222" spans="1:18" s="39" customFormat="1" ht="31.25" customHeight="1" x14ac:dyDescent="0.2">
      <c r="A222" s="39" t="s">
        <v>616</v>
      </c>
      <c r="B222" s="39" t="s">
        <v>95</v>
      </c>
      <c r="C222" s="39" t="s">
        <v>177</v>
      </c>
      <c r="E222" s="39" t="s">
        <v>133</v>
      </c>
      <c r="F222" s="39">
        <v>0</v>
      </c>
      <c r="L222" s="39" t="s">
        <v>617</v>
      </c>
      <c r="M222" s="39" t="s">
        <v>600</v>
      </c>
      <c r="O222" s="39" t="s">
        <v>55</v>
      </c>
      <c r="Q222" s="39">
        <v>0</v>
      </c>
      <c r="R222" s="40" t="s">
        <v>1604</v>
      </c>
    </row>
    <row r="223" spans="1:18" s="39" customFormat="1" ht="31.25" customHeight="1" x14ac:dyDescent="0.2">
      <c r="A223" s="39" t="s">
        <v>618</v>
      </c>
      <c r="B223" s="39" t="s">
        <v>95</v>
      </c>
      <c r="C223" s="39" t="s">
        <v>177</v>
      </c>
      <c r="E223" s="39" t="s">
        <v>133</v>
      </c>
      <c r="F223" s="39">
        <v>0</v>
      </c>
      <c r="G223" s="39" t="s">
        <v>125</v>
      </c>
      <c r="H223" s="39" t="s">
        <v>158</v>
      </c>
      <c r="L223" s="39" t="s">
        <v>619</v>
      </c>
      <c r="M223" s="39" t="s">
        <v>620</v>
      </c>
      <c r="O223" s="39" t="s">
        <v>52</v>
      </c>
      <c r="Q223" s="39">
        <v>0</v>
      </c>
      <c r="R223" s="40" t="s">
        <v>1604</v>
      </c>
    </row>
    <row r="224" spans="1:18" s="39" customFormat="1" ht="31.25" customHeight="1" x14ac:dyDescent="0.2">
      <c r="A224" s="39" t="s">
        <v>621</v>
      </c>
      <c r="B224" s="39" t="s">
        <v>95</v>
      </c>
      <c r="C224" s="39" t="s">
        <v>177</v>
      </c>
      <c r="D224" s="39" t="s">
        <v>121</v>
      </c>
      <c r="E224" s="39" t="s">
        <v>133</v>
      </c>
      <c r="F224" s="39">
        <v>0</v>
      </c>
      <c r="G224" s="39" t="s">
        <v>134</v>
      </c>
      <c r="H224" s="39" t="s">
        <v>125</v>
      </c>
      <c r="I224" s="39" t="s">
        <v>208</v>
      </c>
      <c r="L224" s="39" t="s">
        <v>622</v>
      </c>
      <c r="M224" s="76" t="s">
        <v>623</v>
      </c>
      <c r="O224" s="39" t="s">
        <v>624</v>
      </c>
      <c r="R224" s="40" t="s">
        <v>1604</v>
      </c>
    </row>
    <row r="225" spans="1:18" s="39" customFormat="1" ht="31.25" customHeight="1" x14ac:dyDescent="0.2">
      <c r="A225" s="39" t="s">
        <v>625</v>
      </c>
      <c r="B225" s="39" t="s">
        <v>95</v>
      </c>
      <c r="C225" s="39" t="s">
        <v>120</v>
      </c>
      <c r="D225" s="39" t="s">
        <v>121</v>
      </c>
      <c r="E225" s="39" t="s">
        <v>122</v>
      </c>
      <c r="F225" s="40">
        <v>608519270</v>
      </c>
      <c r="L225" s="39" t="s">
        <v>626</v>
      </c>
      <c r="M225" s="39" t="s">
        <v>627</v>
      </c>
      <c r="N225" s="39" t="s">
        <v>628</v>
      </c>
      <c r="O225" s="39" t="s">
        <v>55</v>
      </c>
      <c r="P225" s="39" t="s">
        <v>629</v>
      </c>
      <c r="Q225" s="40">
        <v>608.51927000000001</v>
      </c>
      <c r="R225" s="40">
        <v>203.51936697958536</v>
      </c>
    </row>
    <row r="226" spans="1:18" s="39" customFormat="1" ht="31.25" customHeight="1" x14ac:dyDescent="0.2">
      <c r="A226" s="39" t="s">
        <v>630</v>
      </c>
      <c r="B226" s="39" t="s">
        <v>95</v>
      </c>
      <c r="C226" s="39" t="s">
        <v>120</v>
      </c>
      <c r="D226" s="39" t="s">
        <v>121</v>
      </c>
      <c r="E226" s="39" t="s">
        <v>166</v>
      </c>
      <c r="F226" s="40">
        <v>6085193</v>
      </c>
      <c r="G226" s="39" t="s">
        <v>125</v>
      </c>
      <c r="H226" s="39" t="s">
        <v>162</v>
      </c>
      <c r="L226" s="39" t="s">
        <v>631</v>
      </c>
      <c r="M226" s="76" t="s">
        <v>632</v>
      </c>
      <c r="O226" s="39" t="s">
        <v>52</v>
      </c>
      <c r="P226" s="39" t="s">
        <v>629</v>
      </c>
      <c r="Q226" s="40">
        <v>6.0851930000000003</v>
      </c>
      <c r="R226" s="40">
        <v>2.0351937701309013</v>
      </c>
    </row>
    <row r="227" spans="1:18" s="39" customFormat="1" ht="31.25" customHeight="1" x14ac:dyDescent="0.2">
      <c r="A227" s="39" t="s">
        <v>633</v>
      </c>
      <c r="B227" s="39" t="s">
        <v>95</v>
      </c>
      <c r="C227" s="39" t="s">
        <v>132</v>
      </c>
      <c r="D227" s="39" t="s">
        <v>121</v>
      </c>
      <c r="E227" s="39" t="s">
        <v>151</v>
      </c>
      <c r="F227" s="39">
        <v>0</v>
      </c>
      <c r="G227" s="39" t="s">
        <v>125</v>
      </c>
      <c r="L227" s="39" t="s">
        <v>634</v>
      </c>
      <c r="M227" s="76" t="s">
        <v>635</v>
      </c>
      <c r="N227" s="39" t="s">
        <v>636</v>
      </c>
      <c r="O227" s="39" t="s">
        <v>637</v>
      </c>
      <c r="Q227" s="39">
        <v>0</v>
      </c>
      <c r="R227" s="40" t="s">
        <v>1604</v>
      </c>
    </row>
    <row r="228" spans="1:18" s="39" customFormat="1" ht="31.25" customHeight="1" x14ac:dyDescent="0.2">
      <c r="A228" s="39" t="s">
        <v>638</v>
      </c>
      <c r="B228" s="39" t="s">
        <v>95</v>
      </c>
      <c r="C228" s="39" t="s">
        <v>177</v>
      </c>
      <c r="D228" s="39" t="s">
        <v>121</v>
      </c>
      <c r="E228" s="39" t="s">
        <v>151</v>
      </c>
      <c r="F228" s="39">
        <v>0</v>
      </c>
      <c r="G228" s="39" t="s">
        <v>125</v>
      </c>
      <c r="H228" s="39" t="s">
        <v>162</v>
      </c>
      <c r="I228" s="39" t="s">
        <v>134</v>
      </c>
      <c r="L228" s="39" t="s">
        <v>639</v>
      </c>
      <c r="M228" s="76" t="s">
        <v>640</v>
      </c>
      <c r="O228" s="39" t="s">
        <v>52</v>
      </c>
      <c r="Q228" s="39">
        <v>0</v>
      </c>
      <c r="R228" s="40" t="s">
        <v>1604</v>
      </c>
    </row>
    <row r="229" spans="1:18" s="39" customFormat="1" ht="31.25" customHeight="1" x14ac:dyDescent="0.2">
      <c r="A229" s="39" t="s">
        <v>641</v>
      </c>
      <c r="B229" s="39" t="s">
        <v>95</v>
      </c>
      <c r="C229" s="39" t="s">
        <v>177</v>
      </c>
      <c r="D229" s="39" t="s">
        <v>121</v>
      </c>
      <c r="E229" s="39" t="s">
        <v>151</v>
      </c>
      <c r="F229" s="39">
        <v>0</v>
      </c>
      <c r="L229" s="39" t="s">
        <v>642</v>
      </c>
      <c r="M229" s="101" t="s">
        <v>643</v>
      </c>
      <c r="N229" s="39" t="s">
        <v>644</v>
      </c>
      <c r="O229" s="39" t="s">
        <v>55</v>
      </c>
      <c r="R229" s="40" t="s">
        <v>1604</v>
      </c>
    </row>
    <row r="230" spans="1:18" s="39" customFormat="1" ht="31.25" customHeight="1" x14ac:dyDescent="0.2">
      <c r="A230" s="39" t="s">
        <v>645</v>
      </c>
      <c r="B230" s="39" t="s">
        <v>95</v>
      </c>
      <c r="C230" s="39" t="s">
        <v>177</v>
      </c>
      <c r="D230" s="39" t="s">
        <v>121</v>
      </c>
      <c r="E230" s="39" t="s">
        <v>151</v>
      </c>
      <c r="F230" s="39">
        <v>0</v>
      </c>
      <c r="G230" s="39" t="s">
        <v>125</v>
      </c>
      <c r="L230" s="39" t="s">
        <v>646</v>
      </c>
      <c r="M230" s="39" t="s">
        <v>647</v>
      </c>
      <c r="O230" s="39" t="s">
        <v>52</v>
      </c>
      <c r="Q230" s="39">
        <v>0</v>
      </c>
      <c r="R230" s="40" t="s">
        <v>1604</v>
      </c>
    </row>
    <row r="231" spans="1:18" s="39" customFormat="1" ht="31.25" customHeight="1" x14ac:dyDescent="0.2">
      <c r="A231" s="39" t="s">
        <v>648</v>
      </c>
      <c r="B231" s="39" t="s">
        <v>95</v>
      </c>
      <c r="C231" s="39" t="s">
        <v>177</v>
      </c>
      <c r="D231" s="39" t="s">
        <v>121</v>
      </c>
      <c r="E231" s="39" t="s">
        <v>151</v>
      </c>
      <c r="F231" s="39">
        <v>0</v>
      </c>
      <c r="L231" s="39" t="s">
        <v>649</v>
      </c>
      <c r="M231" s="39" t="s">
        <v>650</v>
      </c>
      <c r="O231" s="39" t="s">
        <v>55</v>
      </c>
      <c r="Q231" s="39">
        <v>0</v>
      </c>
      <c r="R231" s="40" t="s">
        <v>1604</v>
      </c>
    </row>
    <row r="232" spans="1:18" s="39" customFormat="1" ht="31.25" customHeight="1" x14ac:dyDescent="0.2">
      <c r="A232" s="39" t="s">
        <v>651</v>
      </c>
      <c r="B232" s="39" t="s">
        <v>95</v>
      </c>
      <c r="C232" s="39" t="s">
        <v>177</v>
      </c>
      <c r="D232" s="39" t="s">
        <v>121</v>
      </c>
      <c r="E232" s="39" t="s">
        <v>151</v>
      </c>
      <c r="F232" s="39">
        <v>0</v>
      </c>
      <c r="L232" s="39" t="s">
        <v>652</v>
      </c>
      <c r="M232" s="39" t="s">
        <v>653</v>
      </c>
      <c r="O232" s="39" t="s">
        <v>55</v>
      </c>
      <c r="Q232" s="39">
        <v>0</v>
      </c>
      <c r="R232" s="40" t="s">
        <v>1604</v>
      </c>
    </row>
    <row r="233" spans="1:18" s="39" customFormat="1" ht="31.25" customHeight="1" x14ac:dyDescent="0.2">
      <c r="A233" s="39" t="s">
        <v>654</v>
      </c>
      <c r="B233" s="39" t="s">
        <v>95</v>
      </c>
      <c r="C233" s="39" t="s">
        <v>177</v>
      </c>
      <c r="D233" s="39" t="s">
        <v>121</v>
      </c>
      <c r="E233" s="39" t="s">
        <v>151</v>
      </c>
      <c r="F233" s="39">
        <v>0</v>
      </c>
      <c r="G233" s="39" t="s">
        <v>125</v>
      </c>
      <c r="L233" s="39" t="s">
        <v>655</v>
      </c>
      <c r="M233" s="39" t="s">
        <v>656</v>
      </c>
      <c r="N233" s="76" t="s">
        <v>657</v>
      </c>
      <c r="O233" s="39" t="s">
        <v>52</v>
      </c>
      <c r="Q233" s="39">
        <v>8</v>
      </c>
      <c r="R233" s="40" t="s">
        <v>1604</v>
      </c>
    </row>
    <row r="234" spans="1:18" s="39" customFormat="1" ht="31.25" customHeight="1" x14ac:dyDescent="0.2">
      <c r="A234" s="39" t="s">
        <v>658</v>
      </c>
      <c r="B234" s="39" t="s">
        <v>95</v>
      </c>
      <c r="C234" s="39" t="s">
        <v>177</v>
      </c>
      <c r="D234" s="39" t="s">
        <v>121</v>
      </c>
      <c r="E234" s="39" t="s">
        <v>151</v>
      </c>
      <c r="F234" s="39">
        <v>0</v>
      </c>
      <c r="G234" s="39" t="s">
        <v>125</v>
      </c>
      <c r="L234" s="39" t="s">
        <v>659</v>
      </c>
      <c r="M234" s="39" t="s">
        <v>660</v>
      </c>
      <c r="O234" s="39" t="s">
        <v>52</v>
      </c>
      <c r="Q234" s="39">
        <v>9</v>
      </c>
      <c r="R234" s="40" t="s">
        <v>1604</v>
      </c>
    </row>
    <row r="235" spans="1:18" s="39" customFormat="1" ht="31.25" customHeight="1" x14ac:dyDescent="0.2">
      <c r="A235" s="39" t="s">
        <v>661</v>
      </c>
      <c r="B235" s="39" t="s">
        <v>95</v>
      </c>
      <c r="C235" s="39" t="s">
        <v>177</v>
      </c>
      <c r="D235" s="39" t="s">
        <v>121</v>
      </c>
      <c r="E235" s="39" t="s">
        <v>151</v>
      </c>
      <c r="F235" s="39">
        <v>0</v>
      </c>
      <c r="L235" s="39" t="s">
        <v>662</v>
      </c>
      <c r="M235" s="39" t="s">
        <v>663</v>
      </c>
      <c r="O235" s="39" t="s">
        <v>52</v>
      </c>
      <c r="Q235" s="39">
        <v>0</v>
      </c>
      <c r="R235" s="40" t="s">
        <v>1604</v>
      </c>
    </row>
    <row r="236" spans="1:18" s="39" customFormat="1" ht="31.25" customHeight="1" x14ac:dyDescent="0.2">
      <c r="A236" s="39" t="s">
        <v>664</v>
      </c>
      <c r="B236" s="39" t="s">
        <v>95</v>
      </c>
      <c r="C236" s="39" t="s">
        <v>177</v>
      </c>
      <c r="D236" s="39" t="s">
        <v>121</v>
      </c>
      <c r="E236" s="39" t="s">
        <v>133</v>
      </c>
      <c r="F236" s="39">
        <v>0</v>
      </c>
      <c r="G236" s="39" t="s">
        <v>125</v>
      </c>
      <c r="L236" s="39" t="s">
        <v>665</v>
      </c>
      <c r="M236" s="39" t="s">
        <v>666</v>
      </c>
      <c r="N236" s="76" t="s">
        <v>667</v>
      </c>
      <c r="O236" s="39" t="s">
        <v>53</v>
      </c>
      <c r="Q236" s="39">
        <v>0</v>
      </c>
      <c r="R236" s="40" t="s">
        <v>1604</v>
      </c>
    </row>
    <row r="237" spans="1:18" s="39" customFormat="1" ht="31.25" customHeight="1" x14ac:dyDescent="0.2">
      <c r="A237" s="39" t="s">
        <v>668</v>
      </c>
      <c r="B237" s="39" t="s">
        <v>95</v>
      </c>
      <c r="C237" s="39" t="s">
        <v>177</v>
      </c>
      <c r="D237" s="39" t="s">
        <v>121</v>
      </c>
      <c r="E237" s="39" t="s">
        <v>151</v>
      </c>
      <c r="F237" s="39">
        <v>0</v>
      </c>
      <c r="L237" s="39" t="s">
        <v>669</v>
      </c>
      <c r="M237" s="39" t="s">
        <v>670</v>
      </c>
      <c r="O237" s="39" t="s">
        <v>55</v>
      </c>
      <c r="Q237" s="39">
        <v>0</v>
      </c>
      <c r="R237" s="40" t="s">
        <v>1604</v>
      </c>
    </row>
    <row r="238" spans="1:18" s="39" customFormat="1" ht="31.25" customHeight="1" x14ac:dyDescent="0.2">
      <c r="A238" s="39" t="s">
        <v>671</v>
      </c>
      <c r="B238" s="39" t="s">
        <v>95</v>
      </c>
      <c r="C238" s="39" t="s">
        <v>177</v>
      </c>
      <c r="D238" s="39" t="s">
        <v>121</v>
      </c>
      <c r="E238" s="39" t="s">
        <v>151</v>
      </c>
      <c r="F238" s="39">
        <v>0</v>
      </c>
      <c r="G238" s="39" t="s">
        <v>134</v>
      </c>
      <c r="H238" s="39" t="s">
        <v>158</v>
      </c>
      <c r="L238" s="39" t="s">
        <v>672</v>
      </c>
      <c r="M238" s="39" t="s">
        <v>673</v>
      </c>
      <c r="O238" s="39" t="s">
        <v>55</v>
      </c>
      <c r="Q238" s="39">
        <v>0</v>
      </c>
      <c r="R238" s="40" t="s">
        <v>1604</v>
      </c>
    </row>
    <row r="239" spans="1:18" s="39" customFormat="1" ht="31.25" customHeight="1" x14ac:dyDescent="0.2">
      <c r="A239" s="39" t="s">
        <v>674</v>
      </c>
      <c r="B239" s="39" t="s">
        <v>95</v>
      </c>
      <c r="C239" s="39" t="s">
        <v>120</v>
      </c>
      <c r="D239" s="39" t="s">
        <v>121</v>
      </c>
      <c r="E239" s="39" t="s">
        <v>151</v>
      </c>
      <c r="F239" s="40">
        <v>202839757</v>
      </c>
      <c r="G239" s="39" t="s">
        <v>125</v>
      </c>
      <c r="L239" s="39" t="s">
        <v>675</v>
      </c>
      <c r="M239" s="39" t="s">
        <v>676</v>
      </c>
      <c r="O239" s="39" t="s">
        <v>52</v>
      </c>
      <c r="P239" s="39" t="s">
        <v>629</v>
      </c>
      <c r="Q239" s="40">
        <v>202.83975699999999</v>
      </c>
      <c r="R239" s="40">
        <v>67.839789104678502</v>
      </c>
    </row>
    <row r="240" spans="1:18" s="39" customFormat="1" ht="31.25" customHeight="1" x14ac:dyDescent="0.2">
      <c r="A240" s="39" t="s">
        <v>677</v>
      </c>
      <c r="B240" s="39" t="s">
        <v>95</v>
      </c>
      <c r="C240" s="39" t="s">
        <v>177</v>
      </c>
      <c r="D240" s="39" t="s">
        <v>121</v>
      </c>
      <c r="E240" s="39" t="s">
        <v>151</v>
      </c>
      <c r="F240" s="40">
        <v>19269777</v>
      </c>
      <c r="G240" s="39" t="s">
        <v>125</v>
      </c>
      <c r="L240" s="39" t="s">
        <v>678</v>
      </c>
      <c r="O240" s="39" t="s">
        <v>52</v>
      </c>
      <c r="P240" s="39" t="s">
        <v>629</v>
      </c>
      <c r="Q240" s="40">
        <v>19.269777000000001</v>
      </c>
      <c r="R240" s="40">
        <v>6.4447799933727214</v>
      </c>
    </row>
    <row r="241" spans="1:18" s="39" customFormat="1" ht="31.25" customHeight="1" x14ac:dyDescent="0.2">
      <c r="A241" s="39" t="s">
        <v>679</v>
      </c>
      <c r="B241" s="39" t="s">
        <v>95</v>
      </c>
      <c r="C241" s="39" t="s">
        <v>120</v>
      </c>
      <c r="D241" s="39" t="s">
        <v>121</v>
      </c>
      <c r="E241" s="39" t="s">
        <v>151</v>
      </c>
      <c r="F241" s="40">
        <v>229208925</v>
      </c>
      <c r="G241" s="39" t="s">
        <v>125</v>
      </c>
      <c r="L241" s="39" t="s">
        <v>680</v>
      </c>
      <c r="M241" s="39" t="s">
        <v>681</v>
      </c>
      <c r="O241" s="39" t="s">
        <v>52</v>
      </c>
      <c r="P241" s="39" t="s">
        <v>629</v>
      </c>
      <c r="Q241" s="40">
        <v>229.20892499999999</v>
      </c>
      <c r="R241" s="40">
        <v>76.658961551162136</v>
      </c>
    </row>
    <row r="242" spans="1:18" s="39" customFormat="1" ht="31.25" customHeight="1" x14ac:dyDescent="0.2">
      <c r="A242" s="39" t="s">
        <v>682</v>
      </c>
      <c r="B242" s="39" t="s">
        <v>95</v>
      </c>
      <c r="C242" s="39" t="s">
        <v>120</v>
      </c>
      <c r="D242" s="39" t="s">
        <v>121</v>
      </c>
      <c r="E242" s="39" t="s">
        <v>151</v>
      </c>
      <c r="F242" s="40">
        <v>263691684</v>
      </c>
      <c r="G242" s="39" t="s">
        <v>125</v>
      </c>
      <c r="H242" s="39" t="s">
        <v>162</v>
      </c>
      <c r="L242" s="39" t="s">
        <v>683</v>
      </c>
      <c r="M242" s="39" t="s">
        <v>684</v>
      </c>
      <c r="O242" s="39" t="s">
        <v>52</v>
      </c>
      <c r="P242" s="39" t="s">
        <v>629</v>
      </c>
      <c r="Q242" s="40">
        <v>263.69168400000001</v>
      </c>
      <c r="R242" s="40">
        <v>88.191725802637038</v>
      </c>
    </row>
    <row r="243" spans="1:18" s="39" customFormat="1" ht="31.25" customHeight="1" x14ac:dyDescent="0.2">
      <c r="A243" s="39" t="s">
        <v>685</v>
      </c>
      <c r="B243" s="39" t="s">
        <v>95</v>
      </c>
      <c r="C243" s="39" t="s">
        <v>120</v>
      </c>
      <c r="D243" s="39" t="s">
        <v>121</v>
      </c>
      <c r="E243" s="39" t="s">
        <v>151</v>
      </c>
      <c r="F243" s="40">
        <v>243407708</v>
      </c>
      <c r="G243" s="39" t="s">
        <v>125</v>
      </c>
      <c r="L243" s="39" t="s">
        <v>686</v>
      </c>
      <c r="M243" s="39" t="s">
        <v>687</v>
      </c>
      <c r="O243" s="39" t="s">
        <v>52</v>
      </c>
      <c r="P243" s="39" t="s">
        <v>629</v>
      </c>
      <c r="Q243" s="40">
        <v>243.40770800000001</v>
      </c>
      <c r="R243" s="40">
        <v>81.407746791834143</v>
      </c>
    </row>
    <row r="244" spans="1:18" s="39" customFormat="1" ht="31.25" customHeight="1" x14ac:dyDescent="0.2">
      <c r="A244" s="39" t="s">
        <v>688</v>
      </c>
      <c r="B244" s="39" t="s">
        <v>95</v>
      </c>
      <c r="C244" s="39" t="s">
        <v>120</v>
      </c>
      <c r="D244" s="39" t="s">
        <v>121</v>
      </c>
      <c r="E244" s="39" t="s">
        <v>151</v>
      </c>
      <c r="F244" s="40">
        <v>42190670</v>
      </c>
      <c r="G244" s="39" t="s">
        <v>125</v>
      </c>
      <c r="L244" s="39" t="s">
        <v>689</v>
      </c>
      <c r="M244" s="39" t="s">
        <v>690</v>
      </c>
      <c r="O244" s="39" t="s">
        <v>52</v>
      </c>
      <c r="P244" s="39" t="s">
        <v>629</v>
      </c>
      <c r="Q244" s="40">
        <v>42.190669999999997</v>
      </c>
      <c r="R244" s="40">
        <v>14.110676315714015</v>
      </c>
    </row>
    <row r="245" spans="1:18" s="39" customFormat="1" ht="31.25" customHeight="1" x14ac:dyDescent="0.2">
      <c r="A245" s="39" t="s">
        <v>691</v>
      </c>
      <c r="B245" s="39" t="s">
        <v>95</v>
      </c>
      <c r="C245" s="39" t="s">
        <v>177</v>
      </c>
      <c r="D245" s="39" t="s">
        <v>121</v>
      </c>
      <c r="E245" s="39" t="s">
        <v>151</v>
      </c>
      <c r="F245" s="40">
        <v>997971603</v>
      </c>
      <c r="L245" s="39" t="s">
        <v>692</v>
      </c>
      <c r="M245" s="76" t="s">
        <v>693</v>
      </c>
      <c r="O245" s="39" t="s">
        <v>55</v>
      </c>
      <c r="P245" s="39" t="s">
        <v>629</v>
      </c>
      <c r="Q245" s="40">
        <v>997.97160299999996</v>
      </c>
      <c r="R245" s="40">
        <v>333.77176191340999</v>
      </c>
    </row>
    <row r="246" spans="1:18" s="39" customFormat="1" ht="31.25" customHeight="1" x14ac:dyDescent="0.2">
      <c r="A246" s="39" t="s">
        <v>694</v>
      </c>
      <c r="B246" s="39" t="s">
        <v>95</v>
      </c>
      <c r="C246" s="39" t="s">
        <v>177</v>
      </c>
      <c r="D246" s="39" t="s">
        <v>121</v>
      </c>
      <c r="E246" s="39" t="s">
        <v>251</v>
      </c>
      <c r="F246" s="40">
        <v>851926978</v>
      </c>
      <c r="G246" s="39" t="s">
        <v>125</v>
      </c>
      <c r="H246" s="39" t="s">
        <v>134</v>
      </c>
      <c r="L246" s="39" t="s">
        <v>695</v>
      </c>
      <c r="M246" s="39" t="s">
        <v>696</v>
      </c>
      <c r="N246" s="76" t="s">
        <v>697</v>
      </c>
      <c r="O246" s="39" t="s">
        <v>52</v>
      </c>
      <c r="P246" s="39" t="s">
        <v>629</v>
      </c>
      <c r="Q246" s="40">
        <v>851.92697799999996</v>
      </c>
      <c r="R246" s="40">
        <v>284.9271137714195</v>
      </c>
    </row>
    <row r="247" spans="1:18" s="39" customFormat="1" ht="31.25" customHeight="1" x14ac:dyDescent="0.2">
      <c r="A247" s="39" t="s">
        <v>698</v>
      </c>
      <c r="B247" s="39" t="s">
        <v>95</v>
      </c>
      <c r="C247" s="39" t="s">
        <v>120</v>
      </c>
      <c r="D247" s="39" t="s">
        <v>121</v>
      </c>
      <c r="E247" s="39" t="s">
        <v>151</v>
      </c>
      <c r="F247" s="40">
        <v>41987830</v>
      </c>
      <c r="G247" s="39" t="s">
        <v>125</v>
      </c>
      <c r="L247" s="39" t="s">
        <v>699</v>
      </c>
      <c r="M247" s="39" t="s">
        <v>700</v>
      </c>
      <c r="O247" s="39" t="s">
        <v>52</v>
      </c>
      <c r="P247" s="39" t="s">
        <v>629</v>
      </c>
      <c r="Q247" s="40">
        <v>41.987830000000002</v>
      </c>
      <c r="R247" s="40">
        <v>14.042836445337949</v>
      </c>
    </row>
    <row r="248" spans="1:18" s="39" customFormat="1" ht="31.25" customHeight="1" x14ac:dyDescent="0.2">
      <c r="A248" s="39" t="s">
        <v>701</v>
      </c>
      <c r="B248" s="39" t="s">
        <v>95</v>
      </c>
      <c r="C248" s="39" t="s">
        <v>120</v>
      </c>
      <c r="D248" s="39" t="s">
        <v>121</v>
      </c>
      <c r="E248" s="39" t="s">
        <v>251</v>
      </c>
      <c r="F248" s="40">
        <v>304259635</v>
      </c>
      <c r="G248" s="39" t="s">
        <v>125</v>
      </c>
      <c r="H248" s="39" t="s">
        <v>134</v>
      </c>
      <c r="L248" s="39" t="s">
        <v>702</v>
      </c>
      <c r="M248" s="39" t="s">
        <v>703</v>
      </c>
      <c r="O248" s="39" t="s">
        <v>52</v>
      </c>
      <c r="P248" s="39" t="s">
        <v>629</v>
      </c>
      <c r="Q248" s="40">
        <v>304.259635</v>
      </c>
      <c r="R248" s="40">
        <v>101.75968348979268</v>
      </c>
    </row>
    <row r="249" spans="1:18" s="39" customFormat="1" ht="31.25" customHeight="1" x14ac:dyDescent="0.2">
      <c r="A249" s="39" t="s">
        <v>704</v>
      </c>
      <c r="B249" s="39" t="s">
        <v>95</v>
      </c>
      <c r="C249" s="39" t="s">
        <v>132</v>
      </c>
      <c r="D249" s="39" t="s">
        <v>121</v>
      </c>
      <c r="E249" s="39" t="s">
        <v>151</v>
      </c>
      <c r="F249" s="40">
        <v>182555781</v>
      </c>
      <c r="L249" s="39" t="s">
        <v>705</v>
      </c>
      <c r="M249" s="39" t="s">
        <v>706</v>
      </c>
      <c r="O249" s="39" t="s">
        <v>52</v>
      </c>
      <c r="P249" s="39" t="s">
        <v>629</v>
      </c>
      <c r="Q249" s="40">
        <v>182.555781</v>
      </c>
      <c r="R249" s="40">
        <v>61.0558100938756</v>
      </c>
    </row>
    <row r="250" spans="1:18" s="39" customFormat="1" ht="31.25" customHeight="1" x14ac:dyDescent="0.2">
      <c r="A250" s="39" t="s">
        <v>707</v>
      </c>
      <c r="B250" s="39" t="s">
        <v>95</v>
      </c>
      <c r="C250" s="39" t="s">
        <v>177</v>
      </c>
      <c r="D250" s="39" t="s">
        <v>121</v>
      </c>
      <c r="E250" s="39" t="s">
        <v>151</v>
      </c>
      <c r="F250" s="39">
        <v>0</v>
      </c>
      <c r="G250" s="39" t="s">
        <v>125</v>
      </c>
      <c r="L250" s="39" t="s">
        <v>708</v>
      </c>
      <c r="M250" s="39" t="s">
        <v>709</v>
      </c>
      <c r="N250" s="39" t="s">
        <v>710</v>
      </c>
      <c r="O250" s="39" t="s">
        <v>52</v>
      </c>
      <c r="R250" s="40" t="s">
        <v>1604</v>
      </c>
    </row>
    <row r="251" spans="1:18" s="39" customFormat="1" ht="31.25" customHeight="1" x14ac:dyDescent="0.2">
      <c r="A251" s="39" t="s">
        <v>711</v>
      </c>
      <c r="B251" s="39" t="s">
        <v>95</v>
      </c>
      <c r="C251" s="39" t="s">
        <v>120</v>
      </c>
      <c r="D251" s="39" t="s">
        <v>121</v>
      </c>
      <c r="E251" s="39" t="s">
        <v>133</v>
      </c>
      <c r="F251" s="39">
        <v>0</v>
      </c>
      <c r="G251" s="39" t="s">
        <v>153</v>
      </c>
      <c r="L251" s="39" t="s">
        <v>712</v>
      </c>
      <c r="O251" s="39" t="s">
        <v>52</v>
      </c>
      <c r="R251" s="40" t="s">
        <v>1604</v>
      </c>
    </row>
    <row r="252" spans="1:18" s="39" customFormat="1" ht="31.25" customHeight="1" x14ac:dyDescent="0.2">
      <c r="A252" s="39" t="s">
        <v>713</v>
      </c>
      <c r="B252" s="39" t="s">
        <v>95</v>
      </c>
      <c r="C252" s="39" t="s">
        <v>177</v>
      </c>
      <c r="D252" s="39" t="s">
        <v>121</v>
      </c>
      <c r="E252" s="39" t="s">
        <v>133</v>
      </c>
      <c r="F252" s="39">
        <v>0</v>
      </c>
      <c r="G252" s="39" t="s">
        <v>134</v>
      </c>
      <c r="L252" s="39" t="s">
        <v>714</v>
      </c>
      <c r="O252" s="39" t="s">
        <v>52</v>
      </c>
      <c r="R252" s="40" t="s">
        <v>1604</v>
      </c>
    </row>
    <row r="253" spans="1:18" s="39" customFormat="1" ht="31.25" customHeight="1" x14ac:dyDescent="0.2">
      <c r="A253" s="39" t="s">
        <v>715</v>
      </c>
      <c r="B253" s="39" t="s">
        <v>95</v>
      </c>
      <c r="C253" s="39" t="s">
        <v>177</v>
      </c>
      <c r="D253" s="39" t="s">
        <v>121</v>
      </c>
      <c r="E253" s="39" t="s">
        <v>292</v>
      </c>
      <c r="F253" s="39">
        <v>0</v>
      </c>
      <c r="G253" s="39" t="s">
        <v>134</v>
      </c>
      <c r="L253" s="39" t="s">
        <v>716</v>
      </c>
      <c r="M253" s="76" t="s">
        <v>717</v>
      </c>
      <c r="O253" s="39" t="s">
        <v>52</v>
      </c>
      <c r="Q253" s="39">
        <v>0</v>
      </c>
      <c r="R253" s="40" t="s">
        <v>1604</v>
      </c>
    </row>
    <row r="254" spans="1:18" s="39" customFormat="1" ht="31.25" customHeight="1" x14ac:dyDescent="0.2">
      <c r="A254" s="39" t="s">
        <v>718</v>
      </c>
      <c r="B254" s="39" t="s">
        <v>95</v>
      </c>
      <c r="C254" s="39" t="s">
        <v>177</v>
      </c>
      <c r="D254" s="39" t="s">
        <v>121</v>
      </c>
      <c r="E254" s="39" t="s">
        <v>151</v>
      </c>
      <c r="F254" s="39">
        <v>0</v>
      </c>
      <c r="G254" s="39" t="s">
        <v>125</v>
      </c>
      <c r="H254" s="39" t="s">
        <v>162</v>
      </c>
      <c r="L254" s="39" t="s">
        <v>719</v>
      </c>
      <c r="M254" s="102" t="s">
        <v>720</v>
      </c>
      <c r="O254" s="39" t="s">
        <v>52</v>
      </c>
      <c r="Q254" s="39">
        <v>0</v>
      </c>
      <c r="R254" s="40" t="s">
        <v>1604</v>
      </c>
    </row>
    <row r="255" spans="1:18" s="39" customFormat="1" ht="31.25" customHeight="1" x14ac:dyDescent="0.2">
      <c r="A255" s="39" t="s">
        <v>721</v>
      </c>
      <c r="B255" s="39" t="s">
        <v>95</v>
      </c>
      <c r="C255" s="39" t="s">
        <v>177</v>
      </c>
      <c r="D255" s="39" t="s">
        <v>121</v>
      </c>
      <c r="E255" s="39" t="s">
        <v>133</v>
      </c>
      <c r="F255" s="39">
        <v>0</v>
      </c>
      <c r="G255" s="39" t="s">
        <v>153</v>
      </c>
      <c r="H255" s="39" t="s">
        <v>134</v>
      </c>
      <c r="I255" s="39" t="s">
        <v>208</v>
      </c>
      <c r="L255" s="39" t="s">
        <v>722</v>
      </c>
      <c r="M255" s="76" t="s">
        <v>723</v>
      </c>
      <c r="O255" s="39" t="s">
        <v>52</v>
      </c>
      <c r="Q255" s="39">
        <v>0</v>
      </c>
      <c r="R255" s="40" t="s">
        <v>1604</v>
      </c>
    </row>
    <row r="256" spans="1:18" s="39" customFormat="1" ht="31.25" customHeight="1" x14ac:dyDescent="0.2">
      <c r="A256" s="39" t="s">
        <v>724</v>
      </c>
      <c r="B256" s="39" t="s">
        <v>95</v>
      </c>
      <c r="C256" s="39" t="s">
        <v>177</v>
      </c>
      <c r="D256" s="39" t="s">
        <v>121</v>
      </c>
      <c r="E256" s="39" t="s">
        <v>133</v>
      </c>
      <c r="F256" s="39">
        <v>0</v>
      </c>
      <c r="G256" s="39" t="s">
        <v>134</v>
      </c>
      <c r="H256" s="39" t="s">
        <v>125</v>
      </c>
      <c r="I256" s="39" t="s">
        <v>153</v>
      </c>
      <c r="L256" s="39" t="s">
        <v>725</v>
      </c>
      <c r="M256" s="76" t="s">
        <v>726</v>
      </c>
      <c r="O256" s="39" t="s">
        <v>52</v>
      </c>
      <c r="Q256" s="39">
        <v>0</v>
      </c>
      <c r="R256" s="40" t="s">
        <v>1604</v>
      </c>
    </row>
    <row r="257" spans="1:18" s="39" customFormat="1" ht="31.25" customHeight="1" x14ac:dyDescent="0.2">
      <c r="A257" s="39" t="s">
        <v>727</v>
      </c>
      <c r="B257" s="39" t="s">
        <v>95</v>
      </c>
      <c r="C257" s="39" t="s">
        <v>177</v>
      </c>
      <c r="D257" s="39" t="s">
        <v>121</v>
      </c>
      <c r="E257" s="39" t="s">
        <v>151</v>
      </c>
      <c r="F257" s="39">
        <v>0</v>
      </c>
      <c r="G257" s="39" t="s">
        <v>125</v>
      </c>
      <c r="H257" s="39" t="s">
        <v>162</v>
      </c>
      <c r="L257" s="39" t="s">
        <v>728</v>
      </c>
      <c r="M257" s="76" t="s">
        <v>729</v>
      </c>
      <c r="O257" s="39" t="s">
        <v>53</v>
      </c>
      <c r="Q257" s="39">
        <v>0</v>
      </c>
      <c r="R257" s="40" t="s">
        <v>1604</v>
      </c>
    </row>
    <row r="258" spans="1:18" s="39" customFormat="1" ht="31.25" customHeight="1" x14ac:dyDescent="0.2">
      <c r="A258" s="39" t="s">
        <v>730</v>
      </c>
      <c r="B258" s="39" t="s">
        <v>95</v>
      </c>
      <c r="C258" s="39" t="s">
        <v>177</v>
      </c>
      <c r="D258" s="39" t="s">
        <v>137</v>
      </c>
      <c r="E258" s="39" t="s">
        <v>133</v>
      </c>
      <c r="F258" s="39">
        <v>0</v>
      </c>
      <c r="G258" s="39" t="s">
        <v>158</v>
      </c>
      <c r="L258" s="39" t="s">
        <v>731</v>
      </c>
      <c r="M258" s="39" t="s">
        <v>732</v>
      </c>
      <c r="O258" s="39" t="s">
        <v>53</v>
      </c>
      <c r="R258" s="40" t="s">
        <v>1604</v>
      </c>
    </row>
    <row r="259" spans="1:18" s="39" customFormat="1" ht="31.25" customHeight="1" x14ac:dyDescent="0.2">
      <c r="A259" s="39" t="s">
        <v>733</v>
      </c>
      <c r="B259" s="39" t="s">
        <v>95</v>
      </c>
      <c r="C259" s="39" t="s">
        <v>120</v>
      </c>
      <c r="D259" s="39" t="s">
        <v>121</v>
      </c>
      <c r="E259" s="39" t="s">
        <v>734</v>
      </c>
      <c r="F259" s="39">
        <v>0</v>
      </c>
      <c r="G259" s="39" t="s">
        <v>153</v>
      </c>
      <c r="L259" s="39" t="s">
        <v>735</v>
      </c>
      <c r="M259" s="39" t="s">
        <v>736</v>
      </c>
      <c r="O259" s="39" t="s">
        <v>52</v>
      </c>
      <c r="Q259" s="39">
        <v>0</v>
      </c>
      <c r="R259" s="40" t="s">
        <v>1604</v>
      </c>
    </row>
    <row r="260" spans="1:18" s="39" customFormat="1" ht="31.25" customHeight="1" x14ac:dyDescent="0.2">
      <c r="A260" s="39" t="s">
        <v>737</v>
      </c>
      <c r="B260" s="39" t="s">
        <v>95</v>
      </c>
      <c r="C260" s="39" t="s">
        <v>177</v>
      </c>
      <c r="D260" s="39" t="s">
        <v>137</v>
      </c>
      <c r="E260" s="39" t="s">
        <v>133</v>
      </c>
      <c r="F260" s="39">
        <v>0</v>
      </c>
      <c r="G260" s="39" t="s">
        <v>125</v>
      </c>
      <c r="L260" s="39" t="s">
        <v>738</v>
      </c>
      <c r="M260" s="76" t="s">
        <v>739</v>
      </c>
      <c r="O260" s="39" t="s">
        <v>52</v>
      </c>
      <c r="Q260" s="39">
        <v>0</v>
      </c>
      <c r="R260" s="40" t="s">
        <v>1604</v>
      </c>
    </row>
    <row r="261" spans="1:18" s="39" customFormat="1" ht="31.25" customHeight="1" x14ac:dyDescent="0.2">
      <c r="A261" s="39" t="s">
        <v>740</v>
      </c>
      <c r="B261" s="39" t="s">
        <v>95</v>
      </c>
      <c r="C261" s="39" t="s">
        <v>188</v>
      </c>
      <c r="D261" s="39" t="s">
        <v>121</v>
      </c>
      <c r="E261" s="39" t="s">
        <v>251</v>
      </c>
      <c r="F261" s="39">
        <v>0</v>
      </c>
      <c r="G261" s="39" t="s">
        <v>162</v>
      </c>
      <c r="H261" s="39" t="s">
        <v>125</v>
      </c>
      <c r="L261" s="39" t="s">
        <v>741</v>
      </c>
      <c r="M261" s="76" t="s">
        <v>742</v>
      </c>
      <c r="O261" s="39" t="s">
        <v>53</v>
      </c>
      <c r="Q261" s="39">
        <v>0</v>
      </c>
      <c r="R261" s="40" t="s">
        <v>1604</v>
      </c>
    </row>
    <row r="262" spans="1:18" s="39" customFormat="1" ht="31.25" customHeight="1" x14ac:dyDescent="0.2">
      <c r="A262" s="39" t="s">
        <v>743</v>
      </c>
      <c r="B262" s="39" t="s">
        <v>95</v>
      </c>
      <c r="C262" s="103" t="s">
        <v>177</v>
      </c>
      <c r="D262" s="39" t="s">
        <v>121</v>
      </c>
      <c r="E262" s="39" t="s">
        <v>151</v>
      </c>
      <c r="F262" s="40">
        <v>0</v>
      </c>
      <c r="G262" s="39" t="s">
        <v>158</v>
      </c>
      <c r="J262" s="39" t="s">
        <v>124</v>
      </c>
      <c r="K262" s="39" t="s">
        <v>124</v>
      </c>
      <c r="L262" s="103" t="s">
        <v>744</v>
      </c>
      <c r="M262" s="76" t="s">
        <v>745</v>
      </c>
      <c r="O262" s="39" t="s">
        <v>55</v>
      </c>
      <c r="Q262" s="39">
        <v>0</v>
      </c>
      <c r="R262" s="40" t="s">
        <v>1604</v>
      </c>
    </row>
    <row r="263" spans="1:18" s="39" customFormat="1" ht="31.25" customHeight="1" x14ac:dyDescent="0.2">
      <c r="A263" s="39" t="s">
        <v>746</v>
      </c>
      <c r="B263" s="39" t="s">
        <v>95</v>
      </c>
      <c r="C263" s="103" t="s">
        <v>120</v>
      </c>
      <c r="D263" s="39" t="s">
        <v>160</v>
      </c>
      <c r="E263" s="39" t="s">
        <v>151</v>
      </c>
      <c r="F263" s="40" t="s">
        <v>747</v>
      </c>
      <c r="G263" s="39" t="s">
        <v>125</v>
      </c>
      <c r="H263" s="39" t="s">
        <v>162</v>
      </c>
      <c r="J263" s="39" t="s">
        <v>124</v>
      </c>
      <c r="K263" s="39" t="s">
        <v>124</v>
      </c>
      <c r="L263" s="103" t="s">
        <v>748</v>
      </c>
      <c r="M263" s="76" t="s">
        <v>749</v>
      </c>
      <c r="O263" s="39" t="s">
        <v>52</v>
      </c>
      <c r="P263" s="39" t="s">
        <v>629</v>
      </c>
      <c r="Q263" s="40">
        <v>80.892337999999995</v>
      </c>
      <c r="R263" s="40">
        <v>27.054455355635092</v>
      </c>
    </row>
    <row r="264" spans="1:18" s="39" customFormat="1" ht="31.25" customHeight="1" x14ac:dyDescent="0.2">
      <c r="A264" s="39" t="s">
        <v>750</v>
      </c>
      <c r="B264" s="39" t="s">
        <v>95</v>
      </c>
      <c r="C264" s="103" t="s">
        <v>120</v>
      </c>
      <c r="D264" s="39" t="s">
        <v>121</v>
      </c>
      <c r="E264" s="39" t="s">
        <v>151</v>
      </c>
      <c r="F264" s="40">
        <v>0</v>
      </c>
      <c r="G264" s="39" t="s">
        <v>125</v>
      </c>
      <c r="H264" s="39" t="s">
        <v>162</v>
      </c>
      <c r="J264" s="39" t="s">
        <v>124</v>
      </c>
      <c r="K264" s="39" t="s">
        <v>124</v>
      </c>
      <c r="L264" s="103" t="s">
        <v>751</v>
      </c>
      <c r="M264" s="76" t="s">
        <v>752</v>
      </c>
      <c r="O264" s="39" t="s">
        <v>53</v>
      </c>
      <c r="Q264" s="39">
        <v>0</v>
      </c>
      <c r="R264" s="40" t="s">
        <v>1604</v>
      </c>
    </row>
    <row r="265" spans="1:18" s="39" customFormat="1" ht="31.25" customHeight="1" x14ac:dyDescent="0.2">
      <c r="A265" s="39" t="s">
        <v>753</v>
      </c>
      <c r="B265" s="39" t="s">
        <v>95</v>
      </c>
      <c r="C265" s="103" t="s">
        <v>120</v>
      </c>
      <c r="D265" s="39" t="s">
        <v>121</v>
      </c>
      <c r="E265" s="39" t="s">
        <v>151</v>
      </c>
      <c r="F265" s="40">
        <v>0</v>
      </c>
      <c r="G265" s="39" t="s">
        <v>158</v>
      </c>
      <c r="J265" s="39" t="s">
        <v>124</v>
      </c>
      <c r="K265" s="39" t="s">
        <v>124</v>
      </c>
      <c r="L265" s="103" t="s">
        <v>754</v>
      </c>
      <c r="M265" s="76" t="s">
        <v>755</v>
      </c>
      <c r="O265" s="39" t="s">
        <v>52</v>
      </c>
      <c r="R265" s="40" t="s">
        <v>1604</v>
      </c>
    </row>
    <row r="266" spans="1:18" s="39" customFormat="1" ht="31.25" customHeight="1" x14ac:dyDescent="0.2">
      <c r="A266" s="39" t="s">
        <v>756</v>
      </c>
      <c r="B266" s="39" t="s">
        <v>95</v>
      </c>
      <c r="C266" s="103" t="s">
        <v>120</v>
      </c>
      <c r="D266" s="39" t="s">
        <v>160</v>
      </c>
      <c r="E266" s="39" t="s">
        <v>151</v>
      </c>
      <c r="F266" s="40" t="s">
        <v>757</v>
      </c>
      <c r="G266" s="39" t="s">
        <v>125</v>
      </c>
      <c r="H266" s="39" t="s">
        <v>162</v>
      </c>
      <c r="J266" s="39" t="s">
        <v>124</v>
      </c>
      <c r="K266" s="39" t="s">
        <v>124</v>
      </c>
      <c r="L266" s="103" t="s">
        <v>758</v>
      </c>
      <c r="M266" s="76" t="s">
        <v>759</v>
      </c>
      <c r="O266" s="39" t="s">
        <v>52</v>
      </c>
      <c r="P266" s="39" t="s">
        <v>629</v>
      </c>
      <c r="Q266" s="40">
        <v>110.184288</v>
      </c>
      <c r="R266" s="40">
        <v>36.851152708535132</v>
      </c>
    </row>
    <row r="267" spans="1:18" s="39" customFormat="1" ht="31.25" customHeight="1" x14ac:dyDescent="0.2">
      <c r="A267" s="39" t="s">
        <v>760</v>
      </c>
      <c r="B267" s="39" t="s">
        <v>95</v>
      </c>
      <c r="C267" s="103" t="s">
        <v>120</v>
      </c>
      <c r="D267" s="39" t="s">
        <v>121</v>
      </c>
      <c r="E267" s="39" t="s">
        <v>151</v>
      </c>
      <c r="F267" s="40" t="s">
        <v>761</v>
      </c>
      <c r="G267" s="39" t="s">
        <v>125</v>
      </c>
      <c r="H267" s="39" t="s">
        <v>134</v>
      </c>
      <c r="J267" s="39" t="s">
        <v>124</v>
      </c>
      <c r="K267" s="39" t="s">
        <v>124</v>
      </c>
      <c r="L267" s="103" t="s">
        <v>762</v>
      </c>
      <c r="M267" s="76" t="s">
        <v>763</v>
      </c>
      <c r="O267" s="39" t="s">
        <v>52</v>
      </c>
      <c r="P267" s="39" t="s">
        <v>629</v>
      </c>
      <c r="Q267" s="40">
        <v>193.98642100000001</v>
      </c>
      <c r="R267" s="40">
        <v>64.878789466363727</v>
      </c>
    </row>
    <row r="268" spans="1:18" s="39" customFormat="1" ht="31.25" customHeight="1" x14ac:dyDescent="0.2">
      <c r="A268" s="39" t="s">
        <v>764</v>
      </c>
      <c r="B268" s="39" t="s">
        <v>95</v>
      </c>
      <c r="C268" s="103" t="s">
        <v>177</v>
      </c>
      <c r="D268" s="39" t="s">
        <v>121</v>
      </c>
      <c r="E268" s="39" t="s">
        <v>151</v>
      </c>
      <c r="F268" s="40">
        <v>0</v>
      </c>
      <c r="G268" s="39" t="s">
        <v>125</v>
      </c>
      <c r="H268" s="39" t="s">
        <v>134</v>
      </c>
      <c r="J268" s="39" t="s">
        <v>124</v>
      </c>
      <c r="K268" s="39" t="s">
        <v>124</v>
      </c>
      <c r="L268" s="103" t="s">
        <v>765</v>
      </c>
      <c r="M268" s="76" t="s">
        <v>766</v>
      </c>
      <c r="O268" s="39" t="s">
        <v>52</v>
      </c>
      <c r="Q268" s="39">
        <v>0</v>
      </c>
      <c r="R268" s="40" t="s">
        <v>1604</v>
      </c>
    </row>
    <row r="269" spans="1:18" s="39" customFormat="1" ht="31.25" customHeight="1" x14ac:dyDescent="0.2">
      <c r="A269" s="39" t="s">
        <v>767</v>
      </c>
      <c r="B269" s="39" t="s">
        <v>95</v>
      </c>
      <c r="C269" s="103" t="s">
        <v>177</v>
      </c>
      <c r="D269" s="39" t="s">
        <v>121</v>
      </c>
      <c r="E269" s="39" t="s">
        <v>151</v>
      </c>
      <c r="F269" s="40">
        <v>0</v>
      </c>
      <c r="J269" s="39" t="s">
        <v>124</v>
      </c>
      <c r="K269" s="39" t="s">
        <v>124</v>
      </c>
      <c r="L269" s="103" t="s">
        <v>768</v>
      </c>
      <c r="M269" s="76" t="s">
        <v>769</v>
      </c>
      <c r="O269" s="39" t="s">
        <v>55</v>
      </c>
      <c r="Q269" s="39" t="s">
        <v>5392</v>
      </c>
      <c r="R269" s="40" t="s">
        <v>1604</v>
      </c>
    </row>
    <row r="270" spans="1:18" s="39" customFormat="1" ht="31.25" customHeight="1" x14ac:dyDescent="0.2">
      <c r="A270" s="39" t="s">
        <v>770</v>
      </c>
      <c r="B270" s="39" t="s">
        <v>95</v>
      </c>
      <c r="C270" s="103" t="s">
        <v>177</v>
      </c>
      <c r="D270" s="39" t="s">
        <v>121</v>
      </c>
      <c r="E270" s="39" t="s">
        <v>151</v>
      </c>
      <c r="F270" s="40">
        <v>0</v>
      </c>
      <c r="J270" s="39" t="s">
        <v>124</v>
      </c>
      <c r="K270" s="39" t="s">
        <v>124</v>
      </c>
      <c r="L270" s="103" t="s">
        <v>771</v>
      </c>
      <c r="M270" s="76" t="s">
        <v>772</v>
      </c>
      <c r="N270" s="76"/>
      <c r="O270" s="39" t="s">
        <v>55</v>
      </c>
      <c r="R270" s="40" t="s">
        <v>1604</v>
      </c>
    </row>
    <row r="271" spans="1:18" s="39" customFormat="1" ht="31.25" customHeight="1" x14ac:dyDescent="0.2">
      <c r="A271" s="39" t="s">
        <v>773</v>
      </c>
      <c r="B271" s="39" t="s">
        <v>95</v>
      </c>
      <c r="C271" s="103" t="s">
        <v>120</v>
      </c>
      <c r="D271" s="39" t="s">
        <v>121</v>
      </c>
      <c r="E271" s="39" t="s">
        <v>151</v>
      </c>
      <c r="F271" s="40">
        <v>657613968</v>
      </c>
      <c r="G271" s="39" t="s">
        <v>158</v>
      </c>
      <c r="J271" s="39" t="s">
        <v>124</v>
      </c>
      <c r="K271" s="39" t="s">
        <v>124</v>
      </c>
      <c r="L271" s="103" t="s">
        <v>774</v>
      </c>
      <c r="M271" s="76" t="s">
        <v>775</v>
      </c>
      <c r="O271" s="39" t="s">
        <v>52</v>
      </c>
      <c r="R271" s="40" t="s">
        <v>1604</v>
      </c>
    </row>
    <row r="272" spans="1:18" s="39" customFormat="1" ht="31.25" customHeight="1" x14ac:dyDescent="0.2">
      <c r="A272" s="39" t="s">
        <v>776</v>
      </c>
      <c r="B272" s="39" t="s">
        <v>95</v>
      </c>
      <c r="C272" s="103" t="s">
        <v>120</v>
      </c>
      <c r="D272" s="39" t="s">
        <v>121</v>
      </c>
      <c r="E272" s="39" t="s">
        <v>151</v>
      </c>
      <c r="F272" s="40">
        <v>7274491</v>
      </c>
      <c r="G272" s="39" t="s">
        <v>125</v>
      </c>
      <c r="H272" s="39" t="s">
        <v>162</v>
      </c>
      <c r="J272" s="39" t="s">
        <v>124</v>
      </c>
      <c r="K272" s="39" t="s">
        <v>124</v>
      </c>
      <c r="L272" s="103" t="s">
        <v>777</v>
      </c>
      <c r="M272" s="76" t="s">
        <v>778</v>
      </c>
      <c r="O272" s="39" t="s">
        <v>52</v>
      </c>
      <c r="R272" s="40" t="s">
        <v>1604</v>
      </c>
    </row>
    <row r="273" spans="1:18" s="39" customFormat="1" ht="31.25" customHeight="1" x14ac:dyDescent="0.2">
      <c r="A273" s="39" t="s">
        <v>779</v>
      </c>
      <c r="B273" s="39" t="s">
        <v>95</v>
      </c>
      <c r="C273" s="103" t="s">
        <v>177</v>
      </c>
      <c r="D273" s="39" t="s">
        <v>121</v>
      </c>
      <c r="E273" s="39" t="s">
        <v>151</v>
      </c>
      <c r="F273" s="40">
        <v>0</v>
      </c>
      <c r="G273" s="39" t="s">
        <v>125</v>
      </c>
      <c r="H273" s="39" t="s">
        <v>162</v>
      </c>
      <c r="J273" s="39" t="s">
        <v>124</v>
      </c>
      <c r="K273" s="39" t="s">
        <v>124</v>
      </c>
      <c r="L273" s="103" t="s">
        <v>780</v>
      </c>
      <c r="M273" s="76" t="s">
        <v>781</v>
      </c>
      <c r="O273" s="39" t="s">
        <v>55</v>
      </c>
      <c r="Q273" s="39">
        <v>0</v>
      </c>
      <c r="R273" s="40" t="s">
        <v>1604</v>
      </c>
    </row>
    <row r="274" spans="1:18" s="39" customFormat="1" ht="31.25" customHeight="1" x14ac:dyDescent="0.2">
      <c r="A274" s="39" t="s">
        <v>782</v>
      </c>
      <c r="B274" s="39" t="s">
        <v>95</v>
      </c>
      <c r="C274" s="103" t="s">
        <v>177</v>
      </c>
      <c r="D274" s="39" t="s">
        <v>121</v>
      </c>
      <c r="E274" s="39" t="s">
        <v>151</v>
      </c>
      <c r="F274" s="40">
        <v>0</v>
      </c>
      <c r="G274" s="39" t="s">
        <v>125</v>
      </c>
      <c r="H274" s="39" t="s">
        <v>162</v>
      </c>
      <c r="J274" s="39" t="s">
        <v>124</v>
      </c>
      <c r="K274" s="39" t="s">
        <v>124</v>
      </c>
      <c r="L274" s="103" t="s">
        <v>783</v>
      </c>
      <c r="M274" s="76" t="s">
        <v>784</v>
      </c>
      <c r="O274" s="39" t="s">
        <v>53</v>
      </c>
      <c r="Q274" s="39">
        <v>0</v>
      </c>
      <c r="R274" s="40" t="s">
        <v>1604</v>
      </c>
    </row>
    <row r="275" spans="1:18" s="39" customFormat="1" ht="31.25" customHeight="1" x14ac:dyDescent="0.2">
      <c r="A275" s="39" t="s">
        <v>785</v>
      </c>
      <c r="B275" s="39" t="s">
        <v>95</v>
      </c>
      <c r="C275" s="103" t="s">
        <v>132</v>
      </c>
      <c r="D275" s="39" t="s">
        <v>121</v>
      </c>
      <c r="E275" s="39" t="s">
        <v>151</v>
      </c>
      <c r="F275" s="40">
        <v>0</v>
      </c>
      <c r="G275" s="39" t="s">
        <v>125</v>
      </c>
      <c r="H275" s="39" t="s">
        <v>162</v>
      </c>
      <c r="J275" s="39" t="s">
        <v>124</v>
      </c>
      <c r="K275" s="39" t="s">
        <v>124</v>
      </c>
      <c r="L275" s="103" t="s">
        <v>786</v>
      </c>
      <c r="M275" s="76" t="s">
        <v>787</v>
      </c>
      <c r="O275" s="39" t="s">
        <v>54</v>
      </c>
      <c r="Q275" s="39">
        <v>0</v>
      </c>
      <c r="R275" s="40" t="s">
        <v>1604</v>
      </c>
    </row>
    <row r="276" spans="1:18" s="39" customFormat="1" ht="31.25" customHeight="1" x14ac:dyDescent="0.2">
      <c r="A276" s="39" t="s">
        <v>788</v>
      </c>
      <c r="B276" s="39" t="s">
        <v>95</v>
      </c>
      <c r="C276" s="103" t="s">
        <v>177</v>
      </c>
      <c r="D276" s="39" t="s">
        <v>121</v>
      </c>
      <c r="E276" s="39" t="s">
        <v>151</v>
      </c>
      <c r="F276" s="40">
        <v>0</v>
      </c>
      <c r="G276" s="39" t="s">
        <v>125</v>
      </c>
      <c r="H276" s="39" t="s">
        <v>162</v>
      </c>
      <c r="I276" s="39" t="s">
        <v>134</v>
      </c>
      <c r="J276" s="39" t="s">
        <v>124</v>
      </c>
      <c r="K276" s="39" t="s">
        <v>124</v>
      </c>
      <c r="L276" s="103" t="s">
        <v>789</v>
      </c>
      <c r="M276" s="76" t="s">
        <v>790</v>
      </c>
      <c r="O276" s="39" t="s">
        <v>53</v>
      </c>
      <c r="Q276" s="39">
        <v>0</v>
      </c>
      <c r="R276" s="40" t="s">
        <v>1604</v>
      </c>
    </row>
    <row r="277" spans="1:18" s="39" customFormat="1" ht="31.25" customHeight="1" x14ac:dyDescent="0.2">
      <c r="A277" s="39" t="s">
        <v>791</v>
      </c>
      <c r="B277" s="39" t="s">
        <v>95</v>
      </c>
      <c r="C277" s="103" t="s">
        <v>177</v>
      </c>
      <c r="D277" s="39" t="s">
        <v>121</v>
      </c>
      <c r="E277" s="39" t="s">
        <v>151</v>
      </c>
      <c r="F277" s="40">
        <v>0</v>
      </c>
      <c r="G277" s="39" t="s">
        <v>125</v>
      </c>
      <c r="H277" s="39" t="s">
        <v>162</v>
      </c>
      <c r="J277" s="39" t="s">
        <v>124</v>
      </c>
      <c r="K277" s="39" t="s">
        <v>124</v>
      </c>
      <c r="L277" s="103" t="s">
        <v>792</v>
      </c>
      <c r="M277" s="76" t="s">
        <v>793</v>
      </c>
      <c r="O277" s="39" t="s">
        <v>54</v>
      </c>
      <c r="Q277" s="39">
        <v>0</v>
      </c>
      <c r="R277" s="40" t="s">
        <v>1604</v>
      </c>
    </row>
    <row r="278" spans="1:18" s="39" customFormat="1" ht="31.25" customHeight="1" x14ac:dyDescent="0.2">
      <c r="A278" s="39" t="s">
        <v>794</v>
      </c>
      <c r="B278" s="39" t="s">
        <v>95</v>
      </c>
      <c r="C278" s="103" t="s">
        <v>177</v>
      </c>
      <c r="D278" s="39" t="s">
        <v>121</v>
      </c>
      <c r="E278" s="39" t="s">
        <v>151</v>
      </c>
      <c r="F278" s="40">
        <v>0</v>
      </c>
      <c r="G278" s="39" t="s">
        <v>125</v>
      </c>
      <c r="H278" s="39" t="s">
        <v>162</v>
      </c>
      <c r="J278" s="39" t="s">
        <v>124</v>
      </c>
      <c r="K278" s="39" t="s">
        <v>124</v>
      </c>
      <c r="L278" s="103" t="s">
        <v>795</v>
      </c>
      <c r="M278" s="76" t="s">
        <v>796</v>
      </c>
      <c r="O278" s="39" t="s">
        <v>54</v>
      </c>
      <c r="Q278" s="39">
        <v>0</v>
      </c>
      <c r="R278" s="40" t="s">
        <v>1604</v>
      </c>
    </row>
    <row r="279" spans="1:18" s="39" customFormat="1" ht="31.25" customHeight="1" x14ac:dyDescent="0.2">
      <c r="A279" s="39" t="s">
        <v>797</v>
      </c>
      <c r="B279" s="39" t="s">
        <v>95</v>
      </c>
      <c r="C279" s="39" t="s">
        <v>171</v>
      </c>
      <c r="D279" s="39" t="s">
        <v>121</v>
      </c>
      <c r="E279" s="39" t="s">
        <v>151</v>
      </c>
      <c r="F279" s="40">
        <v>0</v>
      </c>
      <c r="G279" s="39" t="s">
        <v>125</v>
      </c>
      <c r="H279" s="39" t="s">
        <v>162</v>
      </c>
      <c r="J279" s="39" t="s">
        <v>124</v>
      </c>
      <c r="K279" s="39" t="s">
        <v>124</v>
      </c>
      <c r="L279" s="103" t="s">
        <v>798</v>
      </c>
      <c r="M279" s="76" t="s">
        <v>799</v>
      </c>
      <c r="N279" s="39" t="s">
        <v>800</v>
      </c>
      <c r="O279" s="39" t="s">
        <v>55</v>
      </c>
      <c r="Q279" s="39" t="s">
        <v>5393</v>
      </c>
      <c r="R279" s="40" t="s">
        <v>1604</v>
      </c>
    </row>
    <row r="280" spans="1:18" s="39" customFormat="1" ht="31.25" customHeight="1" x14ac:dyDescent="0.2">
      <c r="A280" s="75" t="s">
        <v>801</v>
      </c>
      <c r="B280" s="75" t="s">
        <v>59</v>
      </c>
      <c r="C280" s="75" t="s">
        <v>177</v>
      </c>
      <c r="D280" s="75" t="s">
        <v>121</v>
      </c>
      <c r="E280" s="75" t="s">
        <v>151</v>
      </c>
      <c r="F280" s="75" t="s">
        <v>802</v>
      </c>
      <c r="G280" s="75" t="s">
        <v>158</v>
      </c>
      <c r="H280" s="75"/>
      <c r="I280" s="75"/>
      <c r="J280" s="75" t="s">
        <v>124</v>
      </c>
      <c r="K280" s="75" t="s">
        <v>5557</v>
      </c>
      <c r="L280" s="75" t="s">
        <v>803</v>
      </c>
      <c r="M280" s="75" t="s">
        <v>804</v>
      </c>
      <c r="N280" s="99" t="s">
        <v>805</v>
      </c>
      <c r="O280" s="75" t="s">
        <v>52</v>
      </c>
      <c r="P280" s="75" t="s">
        <v>806</v>
      </c>
      <c r="Q280" s="100">
        <v>1720</v>
      </c>
      <c r="R280" s="40">
        <v>1313.1598672569955</v>
      </c>
    </row>
    <row r="281" spans="1:18" s="39" customFormat="1" ht="31.25" customHeight="1" x14ac:dyDescent="0.2">
      <c r="A281" s="39" t="s">
        <v>807</v>
      </c>
      <c r="B281" s="39" t="s">
        <v>59</v>
      </c>
      <c r="C281" s="39" t="s">
        <v>120</v>
      </c>
      <c r="D281" s="39" t="s">
        <v>121</v>
      </c>
      <c r="E281" s="39" t="s">
        <v>133</v>
      </c>
      <c r="F281" s="39" t="s">
        <v>808</v>
      </c>
      <c r="L281" s="39" t="s">
        <v>809</v>
      </c>
      <c r="M281" s="39" t="s">
        <v>810</v>
      </c>
      <c r="O281" s="39" t="s">
        <v>55</v>
      </c>
      <c r="P281" s="39" t="s">
        <v>806</v>
      </c>
      <c r="Q281" s="40">
        <v>65000</v>
      </c>
      <c r="R281" s="40">
        <v>49625.227541688786</v>
      </c>
    </row>
    <row r="282" spans="1:18" s="39" customFormat="1" ht="31.25" customHeight="1" x14ac:dyDescent="0.2">
      <c r="A282" s="39" t="s">
        <v>811</v>
      </c>
      <c r="B282" s="39" t="s">
        <v>59</v>
      </c>
      <c r="C282" s="39" t="s">
        <v>120</v>
      </c>
      <c r="D282" s="39" t="s">
        <v>121</v>
      </c>
      <c r="E282" s="39" t="s">
        <v>151</v>
      </c>
      <c r="F282" s="39" t="s">
        <v>812</v>
      </c>
      <c r="G282" s="39" t="s">
        <v>125</v>
      </c>
      <c r="H282" s="39" t="s">
        <v>162</v>
      </c>
      <c r="L282" s="39" t="s">
        <v>813</v>
      </c>
      <c r="M282" s="39" t="s">
        <v>814</v>
      </c>
      <c r="O282" s="39" t="s">
        <v>52</v>
      </c>
      <c r="P282" s="39" t="s">
        <v>806</v>
      </c>
      <c r="Q282" s="40">
        <v>750</v>
      </c>
      <c r="R282" s="40">
        <v>572.59877932717825</v>
      </c>
    </row>
    <row r="283" spans="1:18" s="39" customFormat="1" ht="31.25" customHeight="1" x14ac:dyDescent="0.2">
      <c r="A283" s="39" t="s">
        <v>815</v>
      </c>
      <c r="B283" s="39" t="s">
        <v>59</v>
      </c>
      <c r="C283" s="39" t="s">
        <v>177</v>
      </c>
      <c r="D283" s="39" t="s">
        <v>121</v>
      </c>
      <c r="E283" s="39" t="s">
        <v>172</v>
      </c>
      <c r="F283" s="39" t="s">
        <v>816</v>
      </c>
      <c r="G283" s="39" t="s">
        <v>152</v>
      </c>
      <c r="H283" s="39" t="s">
        <v>125</v>
      </c>
      <c r="L283" s="39" t="s">
        <v>817</v>
      </c>
      <c r="M283" s="39" t="s">
        <v>818</v>
      </c>
      <c r="O283" s="39" t="s">
        <v>52</v>
      </c>
      <c r="P283" s="39" t="s">
        <v>806</v>
      </c>
      <c r="Q283" s="40">
        <v>50</v>
      </c>
      <c r="R283" s="40">
        <v>38.173251955145219</v>
      </c>
    </row>
    <row r="284" spans="1:18" s="39" customFormat="1" ht="31.25" customHeight="1" x14ac:dyDescent="0.2">
      <c r="A284" s="39" t="s">
        <v>819</v>
      </c>
      <c r="B284" s="39" t="s">
        <v>59</v>
      </c>
      <c r="C284" s="39" t="s">
        <v>132</v>
      </c>
      <c r="D284" s="39" t="s">
        <v>121</v>
      </c>
      <c r="E284" s="39" t="s">
        <v>122</v>
      </c>
      <c r="F284" s="39" t="s">
        <v>820</v>
      </c>
      <c r="G284" s="39" t="s">
        <v>125</v>
      </c>
      <c r="H284" s="104" t="s">
        <v>162</v>
      </c>
      <c r="L284" s="39" t="s">
        <v>821</v>
      </c>
      <c r="M284" s="39" t="s">
        <v>822</v>
      </c>
      <c r="N284" s="39" t="s">
        <v>823</v>
      </c>
      <c r="O284" s="39" t="s">
        <v>54</v>
      </c>
      <c r="P284" s="39" t="s">
        <v>806</v>
      </c>
      <c r="Q284" s="40">
        <v>330</v>
      </c>
      <c r="R284" s="40">
        <v>251.94346290395845</v>
      </c>
    </row>
    <row r="285" spans="1:18" s="39" customFormat="1" ht="31.25" customHeight="1" x14ac:dyDescent="0.2">
      <c r="A285" s="39" t="s">
        <v>824</v>
      </c>
      <c r="B285" s="39" t="s">
        <v>59</v>
      </c>
      <c r="C285" s="39" t="s">
        <v>120</v>
      </c>
      <c r="D285" s="39" t="s">
        <v>160</v>
      </c>
      <c r="E285" s="39" t="s">
        <v>122</v>
      </c>
      <c r="F285" s="39" t="s">
        <v>825</v>
      </c>
      <c r="G285" s="39" t="s">
        <v>125</v>
      </c>
      <c r="L285" s="39" t="s">
        <v>826</v>
      </c>
      <c r="M285" s="39" t="s">
        <v>822</v>
      </c>
      <c r="O285" s="39" t="s">
        <v>54</v>
      </c>
      <c r="P285" s="39" t="s">
        <v>806</v>
      </c>
      <c r="Q285" s="40">
        <v>22.7</v>
      </c>
      <c r="R285" s="40">
        <v>17.33065638763593</v>
      </c>
    </row>
    <row r="286" spans="1:18" s="39" customFormat="1" ht="31.25" customHeight="1" x14ac:dyDescent="0.2">
      <c r="A286" s="39" t="s">
        <v>827</v>
      </c>
      <c r="B286" s="39" t="s">
        <v>59</v>
      </c>
      <c r="C286" s="39" t="s">
        <v>132</v>
      </c>
      <c r="D286" s="39" t="s">
        <v>121</v>
      </c>
      <c r="E286" s="39" t="s">
        <v>133</v>
      </c>
      <c r="G286" s="39" t="s">
        <v>134</v>
      </c>
      <c r="L286" s="39" t="s">
        <v>828</v>
      </c>
      <c r="M286" s="39" t="s">
        <v>822</v>
      </c>
      <c r="O286" s="39" t="s">
        <v>55</v>
      </c>
      <c r="P286" s="39" t="s">
        <v>806</v>
      </c>
      <c r="Q286" s="40"/>
      <c r="R286" s="40">
        <v>0</v>
      </c>
    </row>
    <row r="287" spans="1:18" s="39" customFormat="1" ht="31.25" customHeight="1" x14ac:dyDescent="0.2">
      <c r="A287" s="39" t="s">
        <v>829</v>
      </c>
      <c r="B287" s="39" t="s">
        <v>59</v>
      </c>
      <c r="C287" s="39" t="s">
        <v>120</v>
      </c>
      <c r="D287" s="39" t="s">
        <v>137</v>
      </c>
      <c r="E287" s="39" t="s">
        <v>133</v>
      </c>
      <c r="F287" s="39" t="s">
        <v>830</v>
      </c>
      <c r="G287" s="39" t="s">
        <v>125</v>
      </c>
      <c r="H287" s="39" t="s">
        <v>162</v>
      </c>
      <c r="L287" s="39" t="s">
        <v>831</v>
      </c>
      <c r="M287" s="39" t="s">
        <v>832</v>
      </c>
      <c r="O287" s="39" t="s">
        <v>53</v>
      </c>
      <c r="P287" s="39" t="s">
        <v>806</v>
      </c>
      <c r="Q287" s="40">
        <v>2200</v>
      </c>
      <c r="R287" s="40">
        <v>1679.6230860263897</v>
      </c>
    </row>
    <row r="288" spans="1:18" s="39" customFormat="1" ht="31.25" customHeight="1" x14ac:dyDescent="0.2">
      <c r="A288" s="39" t="s">
        <v>833</v>
      </c>
      <c r="B288" s="39" t="s">
        <v>59</v>
      </c>
      <c r="C288" s="39" t="s">
        <v>132</v>
      </c>
      <c r="D288" s="39" t="s">
        <v>160</v>
      </c>
      <c r="E288" s="39" t="s">
        <v>151</v>
      </c>
      <c r="F288" s="39" t="s">
        <v>834</v>
      </c>
      <c r="G288" s="39" t="s">
        <v>125</v>
      </c>
      <c r="H288" s="39" t="s">
        <v>162</v>
      </c>
      <c r="L288" s="39" t="s">
        <v>835</v>
      </c>
      <c r="M288" s="39" t="s">
        <v>836</v>
      </c>
      <c r="O288" s="39" t="s">
        <v>53</v>
      </c>
      <c r="P288" s="39" t="s">
        <v>806</v>
      </c>
      <c r="Q288" s="40">
        <v>113</v>
      </c>
      <c r="R288" s="40">
        <v>86.271549418628197</v>
      </c>
    </row>
    <row r="289" spans="1:18" s="39" customFormat="1" ht="31.25" customHeight="1" x14ac:dyDescent="0.2">
      <c r="A289" s="39" t="s">
        <v>837</v>
      </c>
      <c r="B289" s="39" t="s">
        <v>59</v>
      </c>
      <c r="C289" s="39" t="s">
        <v>171</v>
      </c>
      <c r="D289" s="39" t="s">
        <v>160</v>
      </c>
      <c r="E289" s="39" t="s">
        <v>151</v>
      </c>
      <c r="G289" s="39" t="s">
        <v>125</v>
      </c>
      <c r="H289" s="39" t="s">
        <v>162</v>
      </c>
      <c r="L289" s="39" t="s">
        <v>838</v>
      </c>
      <c r="M289" s="39" t="s">
        <v>836</v>
      </c>
      <c r="O289" s="39" t="s">
        <v>54</v>
      </c>
      <c r="P289" s="39" t="s">
        <v>806</v>
      </c>
      <c r="Q289" s="40"/>
      <c r="R289" s="40">
        <v>0</v>
      </c>
    </row>
    <row r="290" spans="1:18" s="39" customFormat="1" ht="31.25" customHeight="1" x14ac:dyDescent="0.2">
      <c r="A290" s="39" t="s">
        <v>839</v>
      </c>
      <c r="B290" s="39" t="s">
        <v>59</v>
      </c>
      <c r="C290" s="39" t="s">
        <v>120</v>
      </c>
      <c r="D290" s="39" t="s">
        <v>160</v>
      </c>
      <c r="E290" s="39" t="s">
        <v>251</v>
      </c>
      <c r="F290" s="39" t="s">
        <v>840</v>
      </c>
      <c r="G290" s="39" t="s">
        <v>125</v>
      </c>
      <c r="H290" s="39" t="s">
        <v>162</v>
      </c>
      <c r="L290" s="39" t="s">
        <v>841</v>
      </c>
      <c r="M290" s="39" t="s">
        <v>842</v>
      </c>
      <c r="O290" s="39" t="s">
        <v>52</v>
      </c>
      <c r="P290" s="39" t="s">
        <v>806</v>
      </c>
      <c r="Q290" s="40">
        <v>1000</v>
      </c>
      <c r="R290" s="40">
        <v>763.46503910290437</v>
      </c>
    </row>
    <row r="291" spans="1:18" s="39" customFormat="1" ht="31.25" customHeight="1" x14ac:dyDescent="0.2">
      <c r="A291" s="39" t="s">
        <v>843</v>
      </c>
      <c r="B291" s="39" t="s">
        <v>59</v>
      </c>
      <c r="C291" s="39" t="s">
        <v>177</v>
      </c>
      <c r="D291" s="39" t="s">
        <v>160</v>
      </c>
      <c r="E291" s="39" t="s">
        <v>122</v>
      </c>
      <c r="G291" s="39" t="s">
        <v>125</v>
      </c>
      <c r="L291" s="39" t="s">
        <v>844</v>
      </c>
      <c r="M291" s="39" t="s">
        <v>842</v>
      </c>
      <c r="O291" s="39" t="s">
        <v>54</v>
      </c>
      <c r="P291" s="39" t="s">
        <v>806</v>
      </c>
      <c r="Q291" s="40"/>
      <c r="R291" s="40">
        <v>0</v>
      </c>
    </row>
    <row r="292" spans="1:18" s="39" customFormat="1" ht="31.25" customHeight="1" x14ac:dyDescent="0.2">
      <c r="A292" s="39" t="s">
        <v>845</v>
      </c>
      <c r="B292" s="39" t="s">
        <v>59</v>
      </c>
      <c r="C292" s="39" t="s">
        <v>177</v>
      </c>
      <c r="D292" s="39" t="s">
        <v>160</v>
      </c>
      <c r="E292" s="39" t="s">
        <v>151</v>
      </c>
      <c r="G292" s="39" t="s">
        <v>125</v>
      </c>
      <c r="H292" s="39" t="s">
        <v>162</v>
      </c>
      <c r="L292" s="39" t="s">
        <v>846</v>
      </c>
      <c r="M292" s="39" t="s">
        <v>847</v>
      </c>
      <c r="O292" s="39" t="s">
        <v>54</v>
      </c>
      <c r="P292" s="39" t="s">
        <v>806</v>
      </c>
      <c r="Q292" s="40"/>
      <c r="R292" s="40">
        <v>0</v>
      </c>
    </row>
    <row r="293" spans="1:18" s="39" customFormat="1" ht="31.25" customHeight="1" x14ac:dyDescent="0.2">
      <c r="A293" s="39" t="s">
        <v>848</v>
      </c>
      <c r="B293" s="39" t="s">
        <v>59</v>
      </c>
      <c r="C293" s="39" t="s">
        <v>177</v>
      </c>
      <c r="D293" s="39" t="s">
        <v>121</v>
      </c>
      <c r="E293" s="39" t="s">
        <v>172</v>
      </c>
      <c r="F293" s="39" t="s">
        <v>849</v>
      </c>
      <c r="G293" s="39" t="s">
        <v>125</v>
      </c>
      <c r="H293" s="39" t="s">
        <v>152</v>
      </c>
      <c r="L293" s="39" t="s">
        <v>850</v>
      </c>
      <c r="M293" s="39" t="s">
        <v>822</v>
      </c>
      <c r="O293" s="39" t="s">
        <v>53</v>
      </c>
      <c r="P293" s="39" t="s">
        <v>806</v>
      </c>
      <c r="Q293" s="40">
        <v>200</v>
      </c>
      <c r="R293" s="40">
        <v>152.69300782058087</v>
      </c>
    </row>
    <row r="294" spans="1:18" s="39" customFormat="1" ht="31.25" customHeight="1" x14ac:dyDescent="0.2">
      <c r="A294" s="39" t="s">
        <v>851</v>
      </c>
      <c r="B294" s="39" t="s">
        <v>59</v>
      </c>
      <c r="C294" s="39" t="s">
        <v>120</v>
      </c>
      <c r="D294" s="39" t="s">
        <v>121</v>
      </c>
      <c r="E294" s="39" t="s">
        <v>172</v>
      </c>
      <c r="F294" s="39" t="s">
        <v>852</v>
      </c>
      <c r="G294" s="39" t="s">
        <v>125</v>
      </c>
      <c r="H294" s="39" t="s">
        <v>152</v>
      </c>
      <c r="L294" s="39" t="s">
        <v>853</v>
      </c>
      <c r="M294" s="39" t="s">
        <v>822</v>
      </c>
      <c r="O294" s="39" t="s">
        <v>53</v>
      </c>
      <c r="P294" s="39" t="s">
        <v>806</v>
      </c>
      <c r="Q294" s="40">
        <v>62.5</v>
      </c>
      <c r="R294" s="40">
        <v>47.716564943931523</v>
      </c>
    </row>
    <row r="295" spans="1:18" s="39" customFormat="1" ht="31.25" customHeight="1" x14ac:dyDescent="0.2">
      <c r="A295" s="39" t="s">
        <v>854</v>
      </c>
      <c r="B295" s="39" t="s">
        <v>59</v>
      </c>
      <c r="C295" s="39" t="s">
        <v>120</v>
      </c>
      <c r="D295" s="39" t="s">
        <v>121</v>
      </c>
      <c r="E295" s="39" t="s">
        <v>133</v>
      </c>
      <c r="F295" s="39" t="s">
        <v>855</v>
      </c>
      <c r="G295" s="39" t="s">
        <v>125</v>
      </c>
      <c r="H295" s="39" t="s">
        <v>162</v>
      </c>
      <c r="I295" s="39" t="s">
        <v>208</v>
      </c>
      <c r="J295" s="39" t="s">
        <v>124</v>
      </c>
      <c r="K295" s="39" t="s">
        <v>5557</v>
      </c>
      <c r="L295" s="39" t="s">
        <v>856</v>
      </c>
      <c r="M295" s="39" t="s">
        <v>822</v>
      </c>
      <c r="N295" s="39" t="s">
        <v>857</v>
      </c>
      <c r="O295" s="39" t="s">
        <v>52</v>
      </c>
      <c r="P295" s="39" t="s">
        <v>806</v>
      </c>
      <c r="Q295" s="40">
        <v>3000</v>
      </c>
      <c r="R295" s="40">
        <v>2290.395117308713</v>
      </c>
    </row>
    <row r="296" spans="1:18" s="39" customFormat="1" ht="31.25" customHeight="1" x14ac:dyDescent="0.2">
      <c r="A296" s="39" t="s">
        <v>858</v>
      </c>
      <c r="B296" s="39" t="s">
        <v>59</v>
      </c>
      <c r="C296" s="39" t="s">
        <v>120</v>
      </c>
      <c r="D296" s="39" t="s">
        <v>160</v>
      </c>
      <c r="E296" s="39" t="s">
        <v>151</v>
      </c>
      <c r="F296" s="39" t="s">
        <v>859</v>
      </c>
      <c r="G296" s="39" t="s">
        <v>125</v>
      </c>
      <c r="H296" s="39" t="s">
        <v>860</v>
      </c>
      <c r="I296" s="39" t="s">
        <v>134</v>
      </c>
      <c r="L296" s="39" t="s">
        <v>861</v>
      </c>
      <c r="M296" s="39" t="s">
        <v>822</v>
      </c>
      <c r="N296" s="39" t="s">
        <v>862</v>
      </c>
      <c r="O296" s="39" t="s">
        <v>55</v>
      </c>
      <c r="P296" s="39" t="s">
        <v>806</v>
      </c>
      <c r="Q296" s="40">
        <v>320</v>
      </c>
      <c r="R296" s="40">
        <v>244.30881251292942</v>
      </c>
    </row>
    <row r="297" spans="1:18" s="39" customFormat="1" ht="31.25" customHeight="1" x14ac:dyDescent="0.2">
      <c r="A297" s="39" t="s">
        <v>863</v>
      </c>
      <c r="B297" s="39" t="s">
        <v>59</v>
      </c>
      <c r="C297" s="39" t="s">
        <v>120</v>
      </c>
      <c r="D297" s="39" t="s">
        <v>160</v>
      </c>
      <c r="E297" s="39" t="s">
        <v>251</v>
      </c>
      <c r="F297" s="39" t="s">
        <v>864</v>
      </c>
      <c r="G297" s="39" t="s">
        <v>125</v>
      </c>
      <c r="H297" s="39" t="s">
        <v>162</v>
      </c>
      <c r="L297" s="39" t="s">
        <v>865</v>
      </c>
      <c r="M297" s="39" t="s">
        <v>866</v>
      </c>
      <c r="N297" s="39" t="s">
        <v>867</v>
      </c>
      <c r="O297" s="39" t="s">
        <v>52</v>
      </c>
      <c r="P297" s="39" t="s">
        <v>806</v>
      </c>
      <c r="Q297" s="40">
        <v>2300</v>
      </c>
      <c r="R297" s="40">
        <v>1755.9695899366802</v>
      </c>
    </row>
    <row r="298" spans="1:18" s="39" customFormat="1" ht="31.25" customHeight="1" x14ac:dyDescent="0.2">
      <c r="A298" s="39" t="s">
        <v>868</v>
      </c>
      <c r="B298" s="39" t="s">
        <v>59</v>
      </c>
      <c r="C298" s="39" t="s">
        <v>132</v>
      </c>
      <c r="D298" s="55" t="s">
        <v>121</v>
      </c>
      <c r="E298" s="39" t="s">
        <v>172</v>
      </c>
      <c r="F298" s="39" t="s">
        <v>869</v>
      </c>
      <c r="G298" s="39" t="s">
        <v>134</v>
      </c>
      <c r="L298" s="39" t="s">
        <v>870</v>
      </c>
      <c r="M298" s="39" t="s">
        <v>871</v>
      </c>
      <c r="O298" s="39" t="s">
        <v>53</v>
      </c>
      <c r="P298" s="39" t="s">
        <v>806</v>
      </c>
      <c r="Q298" s="40">
        <v>469</v>
      </c>
      <c r="R298" s="40">
        <v>358.06510333926218</v>
      </c>
    </row>
    <row r="299" spans="1:18" s="39" customFormat="1" ht="31.25" customHeight="1" x14ac:dyDescent="0.2">
      <c r="A299" s="39" t="s">
        <v>872</v>
      </c>
      <c r="B299" s="39" t="s">
        <v>59</v>
      </c>
      <c r="C299" s="39" t="s">
        <v>132</v>
      </c>
      <c r="D299" s="39" t="s">
        <v>121</v>
      </c>
      <c r="E299" s="39" t="s">
        <v>292</v>
      </c>
      <c r="F299" s="39" t="s">
        <v>873</v>
      </c>
      <c r="G299" s="39" t="s">
        <v>134</v>
      </c>
      <c r="H299" s="39" t="s">
        <v>134</v>
      </c>
      <c r="L299" s="39" t="s">
        <v>874</v>
      </c>
      <c r="M299" s="39" t="s">
        <v>875</v>
      </c>
      <c r="O299" s="39" t="s">
        <v>53</v>
      </c>
      <c r="P299" s="39" t="s">
        <v>806</v>
      </c>
      <c r="Q299" s="40">
        <v>30</v>
      </c>
      <c r="R299" s="40">
        <v>22.903951173087133</v>
      </c>
    </row>
    <row r="300" spans="1:18" s="39" customFormat="1" ht="31.25" customHeight="1" x14ac:dyDescent="0.2">
      <c r="A300" s="39" t="s">
        <v>876</v>
      </c>
      <c r="B300" s="39" t="s">
        <v>59</v>
      </c>
      <c r="C300" s="39" t="s">
        <v>120</v>
      </c>
      <c r="D300" s="39" t="s">
        <v>121</v>
      </c>
      <c r="E300" s="39" t="s">
        <v>133</v>
      </c>
      <c r="F300" s="39" t="s">
        <v>877</v>
      </c>
      <c r="G300" s="39" t="s">
        <v>134</v>
      </c>
      <c r="L300" s="39" t="s">
        <v>878</v>
      </c>
      <c r="M300" s="39" t="s">
        <v>822</v>
      </c>
      <c r="O300" s="39" t="s">
        <v>53</v>
      </c>
      <c r="P300" s="39" t="s">
        <v>806</v>
      </c>
      <c r="Q300" s="40">
        <v>53</v>
      </c>
      <c r="R300" s="40">
        <v>40.463647072453931</v>
      </c>
    </row>
    <row r="301" spans="1:18" s="39" customFormat="1" ht="31.25" customHeight="1" x14ac:dyDescent="0.2">
      <c r="A301" s="39" t="s">
        <v>879</v>
      </c>
      <c r="B301" s="39" t="s">
        <v>59</v>
      </c>
      <c r="C301" s="39" t="s">
        <v>132</v>
      </c>
      <c r="D301" s="39" t="s">
        <v>160</v>
      </c>
      <c r="E301" s="39" t="s">
        <v>151</v>
      </c>
      <c r="F301" s="39" t="s">
        <v>880</v>
      </c>
      <c r="G301" s="39" t="s">
        <v>125</v>
      </c>
      <c r="H301" s="39" t="s">
        <v>125</v>
      </c>
      <c r="L301" s="39" t="s">
        <v>881</v>
      </c>
      <c r="M301" s="39" t="s">
        <v>875</v>
      </c>
      <c r="N301" s="39" t="s">
        <v>882</v>
      </c>
      <c r="O301" s="39" t="s">
        <v>52</v>
      </c>
      <c r="P301" s="39" t="s">
        <v>806</v>
      </c>
      <c r="Q301" s="40">
        <v>141.5</v>
      </c>
      <c r="R301" s="40">
        <v>108.03030303306097</v>
      </c>
    </row>
    <row r="302" spans="1:18" s="39" customFormat="1" ht="31.25" customHeight="1" x14ac:dyDescent="0.2">
      <c r="A302" s="39" t="s">
        <v>883</v>
      </c>
      <c r="B302" s="39" t="s">
        <v>59</v>
      </c>
      <c r="C302" s="39" t="s">
        <v>132</v>
      </c>
      <c r="D302" s="39" t="s">
        <v>160</v>
      </c>
      <c r="E302" s="39" t="s">
        <v>251</v>
      </c>
      <c r="F302" s="39" t="s">
        <v>884</v>
      </c>
      <c r="G302" s="39" t="s">
        <v>125</v>
      </c>
      <c r="L302" s="39" t="s">
        <v>885</v>
      </c>
      <c r="M302" s="39" t="s">
        <v>875</v>
      </c>
      <c r="N302" s="39" t="s">
        <v>886</v>
      </c>
      <c r="O302" s="39" t="s">
        <v>53</v>
      </c>
      <c r="P302" s="39" t="s">
        <v>806</v>
      </c>
      <c r="Q302" s="40">
        <v>64.400000000000006</v>
      </c>
      <c r="R302" s="40">
        <v>49.167148518227052</v>
      </c>
    </row>
    <row r="303" spans="1:18" s="39" customFormat="1" ht="31.25" customHeight="1" x14ac:dyDescent="0.2">
      <c r="A303" s="39" t="s">
        <v>887</v>
      </c>
      <c r="B303" s="39" t="s">
        <v>59</v>
      </c>
      <c r="C303" s="39" t="s">
        <v>132</v>
      </c>
      <c r="D303" s="39" t="s">
        <v>160</v>
      </c>
      <c r="E303" s="39" t="s">
        <v>151</v>
      </c>
      <c r="F303" s="39" t="s">
        <v>888</v>
      </c>
      <c r="G303" s="39" t="s">
        <v>125</v>
      </c>
      <c r="H303" s="39" t="s">
        <v>162</v>
      </c>
      <c r="L303" s="39" t="s">
        <v>889</v>
      </c>
      <c r="M303" s="39" t="s">
        <v>875</v>
      </c>
      <c r="N303" s="39" t="s">
        <v>890</v>
      </c>
      <c r="O303" s="39" t="s">
        <v>53</v>
      </c>
      <c r="P303" s="39" t="s">
        <v>806</v>
      </c>
      <c r="Q303" s="40">
        <v>58</v>
      </c>
      <c r="R303" s="40">
        <v>44.280972267968458</v>
      </c>
    </row>
    <row r="304" spans="1:18" s="39" customFormat="1" ht="31.25" customHeight="1" x14ac:dyDescent="0.2">
      <c r="A304" s="39" t="s">
        <v>891</v>
      </c>
      <c r="B304" s="39" t="s">
        <v>59</v>
      </c>
      <c r="C304" s="39" t="s">
        <v>120</v>
      </c>
      <c r="D304" s="39" t="s">
        <v>160</v>
      </c>
      <c r="E304" s="39" t="s">
        <v>151</v>
      </c>
      <c r="F304" s="39" t="s">
        <v>892</v>
      </c>
      <c r="G304" s="39" t="s">
        <v>125</v>
      </c>
      <c r="H304" s="39" t="s">
        <v>162</v>
      </c>
      <c r="L304" s="39" t="s">
        <v>893</v>
      </c>
      <c r="M304" s="39" t="s">
        <v>875</v>
      </c>
      <c r="N304" s="39" t="s">
        <v>894</v>
      </c>
      <c r="O304" s="39" t="s">
        <v>53</v>
      </c>
      <c r="P304" s="39" t="s">
        <v>806</v>
      </c>
      <c r="Q304" s="40">
        <v>50</v>
      </c>
      <c r="R304" s="40">
        <v>38.173251955145219</v>
      </c>
    </row>
    <row r="305" spans="1:18" s="39" customFormat="1" ht="31.25" customHeight="1" x14ac:dyDescent="0.2">
      <c r="A305" s="39" t="s">
        <v>895</v>
      </c>
      <c r="B305" s="39" t="s">
        <v>59</v>
      </c>
      <c r="C305" s="39" t="s">
        <v>132</v>
      </c>
      <c r="D305" s="39" t="s">
        <v>160</v>
      </c>
      <c r="E305" s="39" t="s">
        <v>151</v>
      </c>
      <c r="F305" s="39" t="s">
        <v>896</v>
      </c>
      <c r="G305" s="39" t="s">
        <v>125</v>
      </c>
      <c r="L305" s="39" t="s">
        <v>897</v>
      </c>
      <c r="M305" s="39" t="s">
        <v>875</v>
      </c>
      <c r="N305" s="39" t="s">
        <v>898</v>
      </c>
      <c r="O305" s="39" t="s">
        <v>53</v>
      </c>
      <c r="P305" s="39" t="s">
        <v>806</v>
      </c>
      <c r="Q305" s="40">
        <v>2900</v>
      </c>
      <c r="R305" s="40">
        <v>2214.0486133984227</v>
      </c>
    </row>
    <row r="306" spans="1:18" s="39" customFormat="1" ht="31.25" customHeight="1" x14ac:dyDescent="0.2">
      <c r="A306" s="39" t="s">
        <v>899</v>
      </c>
      <c r="B306" s="39" t="s">
        <v>59</v>
      </c>
      <c r="C306" s="39" t="s">
        <v>132</v>
      </c>
      <c r="D306" s="39" t="s">
        <v>160</v>
      </c>
      <c r="E306" s="39" t="s">
        <v>251</v>
      </c>
      <c r="F306" s="39" t="s">
        <v>900</v>
      </c>
      <c r="G306" s="39" t="s">
        <v>125</v>
      </c>
      <c r="H306" s="39" t="s">
        <v>162</v>
      </c>
      <c r="L306" s="39" t="s">
        <v>901</v>
      </c>
      <c r="M306" s="39" t="s">
        <v>875</v>
      </c>
      <c r="N306" s="39" t="s">
        <v>902</v>
      </c>
      <c r="O306" s="39" t="s">
        <v>52</v>
      </c>
      <c r="P306" s="39" t="s">
        <v>806</v>
      </c>
      <c r="Q306" s="40">
        <v>295</v>
      </c>
      <c r="R306" s="40">
        <v>225.2221865353568</v>
      </c>
    </row>
    <row r="307" spans="1:18" s="39" customFormat="1" ht="31.25" customHeight="1" x14ac:dyDescent="0.2">
      <c r="A307" s="39" t="s">
        <v>903</v>
      </c>
      <c r="B307" s="39" t="s">
        <v>59</v>
      </c>
      <c r="C307" s="39" t="s">
        <v>132</v>
      </c>
      <c r="D307" s="39" t="s">
        <v>160</v>
      </c>
      <c r="E307" s="39" t="s">
        <v>151</v>
      </c>
      <c r="F307" s="39" t="s">
        <v>904</v>
      </c>
      <c r="G307" s="39" t="s">
        <v>125</v>
      </c>
      <c r="L307" s="39" t="s">
        <v>905</v>
      </c>
      <c r="M307" s="39" t="s">
        <v>875</v>
      </c>
      <c r="N307" s="39" t="s">
        <v>906</v>
      </c>
      <c r="O307" s="39" t="s">
        <v>53</v>
      </c>
      <c r="P307" s="39" t="s">
        <v>806</v>
      </c>
      <c r="Q307" s="40">
        <v>70</v>
      </c>
      <c r="R307" s="40">
        <v>53.442552737203307</v>
      </c>
    </row>
    <row r="308" spans="1:18" s="39" customFormat="1" ht="31.25" customHeight="1" x14ac:dyDescent="0.2">
      <c r="A308" s="39" t="s">
        <v>907</v>
      </c>
      <c r="B308" s="39" t="s">
        <v>59</v>
      </c>
      <c r="C308" s="39" t="s">
        <v>132</v>
      </c>
      <c r="D308" s="39" t="s">
        <v>160</v>
      </c>
      <c r="E308" s="39" t="s">
        <v>151</v>
      </c>
      <c r="F308" s="39" t="s">
        <v>908</v>
      </c>
      <c r="G308" s="39" t="s">
        <v>125</v>
      </c>
      <c r="L308" s="39" t="s">
        <v>909</v>
      </c>
      <c r="M308" s="39" t="s">
        <v>875</v>
      </c>
      <c r="N308" s="39" t="s">
        <v>910</v>
      </c>
      <c r="O308" s="39" t="s">
        <v>52</v>
      </c>
      <c r="P308" s="39" t="s">
        <v>806</v>
      </c>
      <c r="Q308" s="40">
        <v>16.670000000000002</v>
      </c>
      <c r="R308" s="40">
        <v>12.726962201845417</v>
      </c>
    </row>
    <row r="309" spans="1:18" s="39" customFormat="1" ht="31.25" customHeight="1" x14ac:dyDescent="0.2">
      <c r="A309" s="39" t="s">
        <v>911</v>
      </c>
      <c r="B309" s="39" t="s">
        <v>59</v>
      </c>
      <c r="C309" s="39" t="s">
        <v>132</v>
      </c>
      <c r="D309" s="39" t="s">
        <v>160</v>
      </c>
      <c r="E309" s="39" t="s">
        <v>151</v>
      </c>
      <c r="F309" s="39" t="s">
        <v>912</v>
      </c>
      <c r="G309" s="39" t="s">
        <v>125</v>
      </c>
      <c r="L309" s="39" t="s">
        <v>913</v>
      </c>
      <c r="M309" s="39" t="s">
        <v>875</v>
      </c>
      <c r="N309" s="39" t="s">
        <v>914</v>
      </c>
      <c r="O309" s="39" t="s">
        <v>53</v>
      </c>
      <c r="P309" s="39" t="s">
        <v>806</v>
      </c>
      <c r="Q309" s="40">
        <v>18</v>
      </c>
      <c r="R309" s="40">
        <v>13.742370703852279</v>
      </c>
    </row>
    <row r="310" spans="1:18" s="39" customFormat="1" ht="31.25" customHeight="1" x14ac:dyDescent="0.2">
      <c r="A310" s="39" t="s">
        <v>915</v>
      </c>
      <c r="B310" s="39" t="s">
        <v>59</v>
      </c>
      <c r="C310" s="39" t="s">
        <v>132</v>
      </c>
      <c r="D310" s="39" t="s">
        <v>160</v>
      </c>
      <c r="E310" s="39" t="s">
        <v>151</v>
      </c>
      <c r="F310" s="39" t="s">
        <v>916</v>
      </c>
      <c r="G310" s="39" t="s">
        <v>125</v>
      </c>
      <c r="L310" s="39" t="s">
        <v>917</v>
      </c>
      <c r="M310" s="39" t="s">
        <v>875</v>
      </c>
      <c r="N310" s="39" t="s">
        <v>918</v>
      </c>
      <c r="O310" s="39" t="s">
        <v>54</v>
      </c>
      <c r="P310" s="39" t="s">
        <v>806</v>
      </c>
      <c r="Q310" s="40">
        <v>6000</v>
      </c>
      <c r="R310" s="40">
        <v>4580.790234617426</v>
      </c>
    </row>
    <row r="311" spans="1:18" s="39" customFormat="1" ht="31.25" customHeight="1" x14ac:dyDescent="0.2">
      <c r="A311" s="39" t="s">
        <v>919</v>
      </c>
      <c r="B311" s="39" t="s">
        <v>59</v>
      </c>
      <c r="C311" s="39" t="s">
        <v>132</v>
      </c>
      <c r="D311" s="39" t="s">
        <v>160</v>
      </c>
      <c r="E311" s="39" t="s">
        <v>151</v>
      </c>
      <c r="F311" s="39" t="s">
        <v>920</v>
      </c>
      <c r="G311" s="39" t="s">
        <v>125</v>
      </c>
      <c r="L311" s="39" t="s">
        <v>921</v>
      </c>
      <c r="M311" s="39" t="s">
        <v>875</v>
      </c>
      <c r="N311" s="39" t="s">
        <v>922</v>
      </c>
      <c r="O311" s="39" t="s">
        <v>54</v>
      </c>
      <c r="P311" s="39" t="s">
        <v>806</v>
      </c>
      <c r="Q311" s="40">
        <v>80</v>
      </c>
      <c r="R311" s="40">
        <v>61.077203128232355</v>
      </c>
    </row>
    <row r="312" spans="1:18" s="39" customFormat="1" ht="31.25" customHeight="1" x14ac:dyDescent="0.2">
      <c r="A312" s="39" t="s">
        <v>923</v>
      </c>
      <c r="B312" s="39" t="s">
        <v>59</v>
      </c>
      <c r="C312" s="39" t="s">
        <v>132</v>
      </c>
      <c r="D312" s="39" t="s">
        <v>160</v>
      </c>
      <c r="E312" s="39" t="s">
        <v>151</v>
      </c>
      <c r="F312" s="39" t="s">
        <v>924</v>
      </c>
      <c r="G312" s="39" t="s">
        <v>125</v>
      </c>
      <c r="L312" s="39" t="s">
        <v>925</v>
      </c>
      <c r="M312" s="39" t="s">
        <v>875</v>
      </c>
      <c r="N312" s="39" t="s">
        <v>926</v>
      </c>
      <c r="O312" s="39" t="s">
        <v>54</v>
      </c>
      <c r="P312" s="39" t="s">
        <v>806</v>
      </c>
      <c r="Q312" s="40">
        <v>32</v>
      </c>
      <c r="R312" s="40">
        <v>24.430881251292941</v>
      </c>
    </row>
    <row r="313" spans="1:18" s="39" customFormat="1" ht="31.25" customHeight="1" x14ac:dyDescent="0.2">
      <c r="A313" s="39" t="s">
        <v>927</v>
      </c>
      <c r="B313" s="39" t="s">
        <v>59</v>
      </c>
      <c r="C313" s="39" t="s">
        <v>171</v>
      </c>
      <c r="D313" s="39" t="s">
        <v>160</v>
      </c>
      <c r="E313" s="39" t="s">
        <v>133</v>
      </c>
      <c r="G313" s="39" t="s">
        <v>125</v>
      </c>
      <c r="L313" s="39" t="s">
        <v>928</v>
      </c>
      <c r="M313" s="39" t="s">
        <v>875</v>
      </c>
      <c r="N313" s="39" t="s">
        <v>929</v>
      </c>
      <c r="O313" s="39" t="s">
        <v>54</v>
      </c>
      <c r="Q313" s="40"/>
      <c r="R313" s="40" t="s">
        <v>1604</v>
      </c>
    </row>
    <row r="314" spans="1:18" s="39" customFormat="1" ht="31.25" customHeight="1" x14ac:dyDescent="0.2">
      <c r="A314" s="39" t="s">
        <v>930</v>
      </c>
      <c r="B314" s="39" t="s">
        <v>59</v>
      </c>
      <c r="C314" s="39" t="s">
        <v>171</v>
      </c>
      <c r="D314" s="39" t="s">
        <v>160</v>
      </c>
      <c r="E314" s="39" t="s">
        <v>133</v>
      </c>
      <c r="G314" s="39" t="s">
        <v>125</v>
      </c>
      <c r="H314" s="39" t="s">
        <v>162</v>
      </c>
      <c r="L314" s="39" t="s">
        <v>931</v>
      </c>
      <c r="M314" s="39" t="s">
        <v>875</v>
      </c>
      <c r="N314" s="39" t="s">
        <v>932</v>
      </c>
      <c r="O314" s="39" t="s">
        <v>54</v>
      </c>
      <c r="Q314" s="40"/>
      <c r="R314" s="40" t="s">
        <v>1604</v>
      </c>
    </row>
    <row r="315" spans="1:18" s="39" customFormat="1" ht="31.25" customHeight="1" x14ac:dyDescent="0.2">
      <c r="A315" s="39" t="s">
        <v>933</v>
      </c>
      <c r="B315" s="39" t="s">
        <v>59</v>
      </c>
      <c r="C315" s="39" t="s">
        <v>171</v>
      </c>
      <c r="D315" s="39" t="s">
        <v>160</v>
      </c>
      <c r="E315" s="39" t="s">
        <v>133</v>
      </c>
      <c r="G315" s="39" t="s">
        <v>125</v>
      </c>
      <c r="L315" s="39" t="s">
        <v>934</v>
      </c>
      <c r="M315" s="39" t="s">
        <v>875</v>
      </c>
      <c r="N315" s="39" t="s">
        <v>935</v>
      </c>
      <c r="O315" s="39" t="s">
        <v>54</v>
      </c>
      <c r="Q315" s="40"/>
      <c r="R315" s="40" t="s">
        <v>1604</v>
      </c>
    </row>
    <row r="316" spans="1:18" s="39" customFormat="1" ht="31.25" customHeight="1" x14ac:dyDescent="0.2">
      <c r="A316" s="39" t="s">
        <v>936</v>
      </c>
      <c r="B316" s="39" t="s">
        <v>59</v>
      </c>
      <c r="C316" s="39" t="s">
        <v>171</v>
      </c>
      <c r="D316" s="39" t="s">
        <v>160</v>
      </c>
      <c r="E316" s="39" t="s">
        <v>133</v>
      </c>
      <c r="G316" s="39" t="s">
        <v>162</v>
      </c>
      <c r="H316" s="39" t="s">
        <v>125</v>
      </c>
      <c r="L316" s="39" t="s">
        <v>937</v>
      </c>
      <c r="M316" s="39" t="s">
        <v>875</v>
      </c>
      <c r="N316" s="39" t="s">
        <v>938</v>
      </c>
      <c r="O316" s="39" t="s">
        <v>54</v>
      </c>
      <c r="Q316" s="40"/>
      <c r="R316" s="40" t="s">
        <v>1604</v>
      </c>
    </row>
    <row r="317" spans="1:18" s="39" customFormat="1" ht="31.25" customHeight="1" x14ac:dyDescent="0.2">
      <c r="A317" s="39" t="s">
        <v>939</v>
      </c>
      <c r="B317" s="39" t="s">
        <v>59</v>
      </c>
      <c r="C317" s="39" t="s">
        <v>171</v>
      </c>
      <c r="D317" s="39" t="s">
        <v>160</v>
      </c>
      <c r="E317" s="39" t="s">
        <v>133</v>
      </c>
      <c r="G317" s="39" t="s">
        <v>125</v>
      </c>
      <c r="H317" s="39" t="s">
        <v>162</v>
      </c>
      <c r="L317" s="39" t="s">
        <v>940</v>
      </c>
      <c r="M317" s="39" t="s">
        <v>875</v>
      </c>
      <c r="N317" s="39" t="s">
        <v>941</v>
      </c>
      <c r="O317" s="39" t="s">
        <v>54</v>
      </c>
      <c r="Q317" s="40"/>
      <c r="R317" s="40" t="s">
        <v>1604</v>
      </c>
    </row>
    <row r="318" spans="1:18" s="39" customFormat="1" ht="31.25" customHeight="1" x14ac:dyDescent="0.2">
      <c r="A318" s="39" t="s">
        <v>942</v>
      </c>
      <c r="B318" s="39" t="s">
        <v>59</v>
      </c>
      <c r="C318" s="39" t="s">
        <v>171</v>
      </c>
      <c r="D318" s="39" t="s">
        <v>160</v>
      </c>
      <c r="E318" s="39" t="s">
        <v>133</v>
      </c>
      <c r="G318" s="39" t="s">
        <v>125</v>
      </c>
      <c r="L318" s="39" t="s">
        <v>943</v>
      </c>
      <c r="M318" s="39" t="s">
        <v>875</v>
      </c>
      <c r="N318" s="39" t="s">
        <v>944</v>
      </c>
      <c r="O318" s="39" t="s">
        <v>54</v>
      </c>
      <c r="Q318" s="40"/>
      <c r="R318" s="40" t="s">
        <v>1604</v>
      </c>
    </row>
    <row r="319" spans="1:18" s="39" customFormat="1" ht="31.25" customHeight="1" x14ac:dyDescent="0.2">
      <c r="A319" s="39" t="s">
        <v>945</v>
      </c>
      <c r="B319" s="39" t="s">
        <v>59</v>
      </c>
      <c r="C319" s="39" t="s">
        <v>120</v>
      </c>
      <c r="D319" s="55" t="s">
        <v>121</v>
      </c>
      <c r="E319" s="39" t="s">
        <v>151</v>
      </c>
      <c r="F319" s="39" t="s">
        <v>946</v>
      </c>
      <c r="G319" s="39" t="s">
        <v>125</v>
      </c>
      <c r="H319" s="39" t="s">
        <v>162</v>
      </c>
      <c r="L319" s="39" t="s">
        <v>947</v>
      </c>
      <c r="M319" s="39" t="s">
        <v>948</v>
      </c>
      <c r="O319" s="39" t="s">
        <v>52</v>
      </c>
      <c r="P319" s="39" t="s">
        <v>806</v>
      </c>
      <c r="Q319" s="40">
        <v>2500</v>
      </c>
      <c r="R319" s="40">
        <v>1908.662597757261</v>
      </c>
    </row>
    <row r="320" spans="1:18" s="39" customFormat="1" ht="31.25" customHeight="1" x14ac:dyDescent="0.2">
      <c r="A320" s="39" t="s">
        <v>949</v>
      </c>
      <c r="B320" s="39" t="s">
        <v>59</v>
      </c>
      <c r="C320" s="39" t="s">
        <v>120</v>
      </c>
      <c r="D320" s="55" t="s">
        <v>121</v>
      </c>
      <c r="E320" s="39" t="s">
        <v>151</v>
      </c>
      <c r="F320" s="39" t="s">
        <v>950</v>
      </c>
      <c r="G320" s="39" t="s">
        <v>125</v>
      </c>
      <c r="H320" s="39" t="s">
        <v>162</v>
      </c>
      <c r="L320" s="39" t="s">
        <v>951</v>
      </c>
      <c r="M320" s="39" t="s">
        <v>948</v>
      </c>
      <c r="O320" s="39" t="s">
        <v>52</v>
      </c>
      <c r="P320" s="39" t="s">
        <v>806</v>
      </c>
      <c r="Q320" s="40">
        <v>2000</v>
      </c>
      <c r="R320" s="40">
        <v>1526.9300782058087</v>
      </c>
    </row>
    <row r="321" spans="1:18" s="39" customFormat="1" ht="31.25" customHeight="1" x14ac:dyDescent="0.2">
      <c r="A321" s="39" t="s">
        <v>952</v>
      </c>
      <c r="B321" s="39" t="s">
        <v>59</v>
      </c>
      <c r="C321" s="39" t="s">
        <v>120</v>
      </c>
      <c r="D321" s="55" t="s">
        <v>121</v>
      </c>
      <c r="E321" s="39" t="s">
        <v>172</v>
      </c>
      <c r="F321" s="39" t="s">
        <v>953</v>
      </c>
      <c r="G321" s="39" t="s">
        <v>153</v>
      </c>
      <c r="L321" s="39" t="s">
        <v>954</v>
      </c>
      <c r="M321" s="39" t="s">
        <v>948</v>
      </c>
      <c r="O321" s="39" t="s">
        <v>53</v>
      </c>
      <c r="P321" s="39" t="s">
        <v>806</v>
      </c>
      <c r="Q321" s="40">
        <v>1500</v>
      </c>
      <c r="R321" s="40">
        <v>1145.1975586543565</v>
      </c>
    </row>
    <row r="322" spans="1:18" s="39" customFormat="1" ht="31.25" customHeight="1" x14ac:dyDescent="0.2">
      <c r="A322" s="39" t="s">
        <v>955</v>
      </c>
      <c r="B322" s="39" t="s">
        <v>59</v>
      </c>
      <c r="C322" s="39" t="s">
        <v>120</v>
      </c>
      <c r="D322" s="55" t="s">
        <v>121</v>
      </c>
      <c r="E322" s="39" t="s">
        <v>251</v>
      </c>
      <c r="F322" s="39" t="s">
        <v>953</v>
      </c>
      <c r="G322" s="39" t="s">
        <v>125</v>
      </c>
      <c r="H322" s="39" t="s">
        <v>162</v>
      </c>
      <c r="L322" s="39" t="s">
        <v>956</v>
      </c>
      <c r="M322" s="39" t="s">
        <v>948</v>
      </c>
      <c r="O322" s="39" t="s">
        <v>53</v>
      </c>
      <c r="P322" s="39" t="s">
        <v>806</v>
      </c>
      <c r="Q322" s="40">
        <v>1500</v>
      </c>
      <c r="R322" s="40">
        <v>1145.1975586543565</v>
      </c>
    </row>
    <row r="323" spans="1:18" s="39" customFormat="1" ht="31.25" customHeight="1" x14ac:dyDescent="0.2">
      <c r="A323" s="39" t="s">
        <v>957</v>
      </c>
      <c r="B323" s="39" t="s">
        <v>59</v>
      </c>
      <c r="C323" s="39" t="s">
        <v>120</v>
      </c>
      <c r="D323" s="39" t="s">
        <v>121</v>
      </c>
      <c r="E323" s="39" t="s">
        <v>151</v>
      </c>
      <c r="F323" s="39" t="s">
        <v>958</v>
      </c>
      <c r="G323" s="39" t="s">
        <v>125</v>
      </c>
      <c r="H323" s="39" t="s">
        <v>162</v>
      </c>
      <c r="L323" s="39" t="s">
        <v>959</v>
      </c>
      <c r="M323" s="39" t="s">
        <v>960</v>
      </c>
      <c r="O323" s="39" t="s">
        <v>53</v>
      </c>
      <c r="P323" s="39" t="s">
        <v>806</v>
      </c>
      <c r="Q323" s="40">
        <v>300</v>
      </c>
      <c r="R323" s="40">
        <v>229.03951173087131</v>
      </c>
    </row>
    <row r="324" spans="1:18" s="39" customFormat="1" ht="31.25" customHeight="1" x14ac:dyDescent="0.2">
      <c r="A324" s="39" t="s">
        <v>961</v>
      </c>
      <c r="B324" s="39" t="s">
        <v>59</v>
      </c>
      <c r="C324" s="39" t="s">
        <v>120</v>
      </c>
      <c r="D324" s="39" t="s">
        <v>160</v>
      </c>
      <c r="E324" s="39" t="s">
        <v>251</v>
      </c>
      <c r="F324" s="39" t="s">
        <v>900</v>
      </c>
      <c r="G324" s="39" t="s">
        <v>125</v>
      </c>
      <c r="H324" s="39" t="s">
        <v>162</v>
      </c>
      <c r="L324" s="39" t="s">
        <v>962</v>
      </c>
      <c r="M324" s="39" t="s">
        <v>875</v>
      </c>
      <c r="N324" s="39" t="s">
        <v>902</v>
      </c>
      <c r="O324" s="39" t="s">
        <v>53</v>
      </c>
      <c r="P324" s="39" t="s">
        <v>806</v>
      </c>
      <c r="Q324" s="40">
        <v>295</v>
      </c>
      <c r="R324" s="40">
        <v>225.2221865353568</v>
      </c>
    </row>
    <row r="325" spans="1:18" s="39" customFormat="1" ht="31.25" customHeight="1" x14ac:dyDescent="0.2">
      <c r="A325" s="39" t="s">
        <v>963</v>
      </c>
      <c r="B325" s="39" t="s">
        <v>59</v>
      </c>
      <c r="C325" s="39" t="s">
        <v>132</v>
      </c>
      <c r="D325" s="55" t="s">
        <v>121</v>
      </c>
      <c r="E325" s="39" t="s">
        <v>251</v>
      </c>
      <c r="F325" s="39" t="s">
        <v>964</v>
      </c>
      <c r="G325" s="39" t="s">
        <v>125</v>
      </c>
      <c r="H325" s="39" t="s">
        <v>162</v>
      </c>
      <c r="L325" s="39" t="s">
        <v>965</v>
      </c>
      <c r="M325" s="39" t="s">
        <v>875</v>
      </c>
      <c r="N325" s="39" t="s">
        <v>966</v>
      </c>
      <c r="O325" s="39" t="s">
        <v>55</v>
      </c>
      <c r="P325" s="39" t="s">
        <v>806</v>
      </c>
      <c r="Q325" s="40">
        <v>251.1</v>
      </c>
      <c r="R325" s="40">
        <v>191.7060713187393</v>
      </c>
    </row>
    <row r="326" spans="1:18" s="39" customFormat="1" ht="31.25" customHeight="1" x14ac:dyDescent="0.2">
      <c r="A326" s="39" t="s">
        <v>967</v>
      </c>
      <c r="B326" s="39" t="s">
        <v>59</v>
      </c>
      <c r="C326" s="39" t="s">
        <v>120</v>
      </c>
      <c r="D326" s="39" t="s">
        <v>121</v>
      </c>
      <c r="E326" s="39" t="s">
        <v>151</v>
      </c>
      <c r="F326" s="39" t="s">
        <v>968</v>
      </c>
      <c r="G326" s="39" t="s">
        <v>125</v>
      </c>
      <c r="H326" s="39" t="s">
        <v>162</v>
      </c>
      <c r="L326" s="39" t="s">
        <v>969</v>
      </c>
      <c r="M326" s="39" t="s">
        <v>875</v>
      </c>
      <c r="N326" s="39" t="s">
        <v>970</v>
      </c>
      <c r="O326" s="39" t="s">
        <v>53</v>
      </c>
      <c r="P326" s="39" t="s">
        <v>806</v>
      </c>
      <c r="Q326" s="40">
        <v>57.128</v>
      </c>
      <c r="R326" s="40">
        <v>43.615230753870726</v>
      </c>
    </row>
    <row r="327" spans="1:18" s="39" customFormat="1" ht="31.25" customHeight="1" x14ac:dyDescent="0.2">
      <c r="A327" s="39" t="s">
        <v>971</v>
      </c>
      <c r="B327" s="39" t="s">
        <v>59</v>
      </c>
      <c r="C327" s="39" t="s">
        <v>120</v>
      </c>
      <c r="D327" s="55" t="s">
        <v>121</v>
      </c>
      <c r="E327" s="39" t="s">
        <v>251</v>
      </c>
      <c r="F327" s="39" t="s">
        <v>972</v>
      </c>
      <c r="G327" s="39" t="s">
        <v>125</v>
      </c>
      <c r="H327" s="39" t="s">
        <v>162</v>
      </c>
      <c r="L327" s="39" t="s">
        <v>973</v>
      </c>
      <c r="M327" s="39" t="s">
        <v>875</v>
      </c>
      <c r="N327" s="39" t="s">
        <v>970</v>
      </c>
      <c r="O327" s="39" t="s">
        <v>53</v>
      </c>
      <c r="P327" s="39" t="s">
        <v>806</v>
      </c>
      <c r="Q327" s="40">
        <v>26.5</v>
      </c>
      <c r="R327" s="40">
        <v>20.231823536226965</v>
      </c>
    </row>
    <row r="328" spans="1:18" s="39" customFormat="1" ht="31.25" customHeight="1" x14ac:dyDescent="0.2">
      <c r="A328" s="39" t="s">
        <v>974</v>
      </c>
      <c r="B328" s="39" t="s">
        <v>59</v>
      </c>
      <c r="C328" s="39" t="s">
        <v>120</v>
      </c>
      <c r="D328" s="55" t="s">
        <v>121</v>
      </c>
      <c r="E328" s="39" t="s">
        <v>251</v>
      </c>
      <c r="F328" s="39" t="s">
        <v>975</v>
      </c>
      <c r="G328" s="39" t="s">
        <v>125</v>
      </c>
      <c r="H328" s="39" t="s">
        <v>162</v>
      </c>
      <c r="L328" s="39" t="s">
        <v>976</v>
      </c>
      <c r="M328" s="39" t="s">
        <v>875</v>
      </c>
      <c r="N328" s="39" t="s">
        <v>977</v>
      </c>
      <c r="O328" s="39" t="s">
        <v>53</v>
      </c>
      <c r="P328" s="39" t="s">
        <v>806</v>
      </c>
      <c r="Q328" s="40">
        <v>100</v>
      </c>
      <c r="R328" s="40">
        <v>76.346503910290437</v>
      </c>
    </row>
    <row r="329" spans="1:18" s="39" customFormat="1" ht="31.25" customHeight="1" x14ac:dyDescent="0.2">
      <c r="A329" s="39" t="s">
        <v>978</v>
      </c>
      <c r="B329" s="39" t="s">
        <v>59</v>
      </c>
      <c r="C329" s="39" t="s">
        <v>280</v>
      </c>
      <c r="D329" s="39" t="s">
        <v>121</v>
      </c>
      <c r="E329" s="39" t="s">
        <v>251</v>
      </c>
      <c r="F329" s="39" t="s">
        <v>975</v>
      </c>
      <c r="G329" s="39" t="s">
        <v>125</v>
      </c>
      <c r="H329" s="39" t="s">
        <v>162</v>
      </c>
      <c r="L329" s="39" t="s">
        <v>979</v>
      </c>
      <c r="M329" s="39" t="s">
        <v>875</v>
      </c>
      <c r="N329" s="39" t="s">
        <v>980</v>
      </c>
      <c r="O329" s="39" t="s">
        <v>52</v>
      </c>
      <c r="P329" s="39" t="s">
        <v>806</v>
      </c>
      <c r="Q329" s="40">
        <v>100</v>
      </c>
      <c r="R329" s="40">
        <v>76.346503910290437</v>
      </c>
    </row>
    <row r="330" spans="1:18" s="39" customFormat="1" ht="31.25" customHeight="1" x14ac:dyDescent="0.2">
      <c r="A330" s="39" t="s">
        <v>981</v>
      </c>
      <c r="B330" s="39" t="s">
        <v>59</v>
      </c>
      <c r="C330" s="39" t="s">
        <v>120</v>
      </c>
      <c r="D330" s="39" t="s">
        <v>160</v>
      </c>
      <c r="E330" s="39" t="s">
        <v>151</v>
      </c>
      <c r="F330" s="39" t="s">
        <v>982</v>
      </c>
      <c r="G330" s="39" t="s">
        <v>125</v>
      </c>
      <c r="H330" s="39" t="s">
        <v>162</v>
      </c>
      <c r="L330" s="39" t="s">
        <v>983</v>
      </c>
      <c r="M330" s="39" t="s">
        <v>875</v>
      </c>
      <c r="N330" s="39" t="s">
        <v>984</v>
      </c>
      <c r="O330" s="39" t="s">
        <v>53</v>
      </c>
      <c r="P330" s="39" t="s">
        <v>806</v>
      </c>
      <c r="Q330" s="40">
        <v>93</v>
      </c>
      <c r="R330" s="40">
        <v>71.002248636570116</v>
      </c>
    </row>
    <row r="331" spans="1:18" s="39" customFormat="1" ht="31.25" customHeight="1" x14ac:dyDescent="0.2">
      <c r="A331" s="39" t="s">
        <v>985</v>
      </c>
      <c r="B331" s="39" t="s">
        <v>59</v>
      </c>
      <c r="C331" s="39" t="s">
        <v>120</v>
      </c>
      <c r="D331" s="39" t="s">
        <v>160</v>
      </c>
      <c r="E331" s="39" t="s">
        <v>151</v>
      </c>
      <c r="F331" s="39" t="s">
        <v>986</v>
      </c>
      <c r="G331" s="39" t="s">
        <v>125</v>
      </c>
      <c r="H331" s="39" t="s">
        <v>162</v>
      </c>
      <c r="L331" s="39" t="s">
        <v>987</v>
      </c>
      <c r="M331" s="39" t="s">
        <v>875</v>
      </c>
      <c r="N331" s="39" t="s">
        <v>988</v>
      </c>
      <c r="O331" s="39" t="s">
        <v>52</v>
      </c>
      <c r="P331" s="39" t="s">
        <v>806</v>
      </c>
      <c r="Q331" s="40">
        <v>18.3</v>
      </c>
      <c r="R331" s="40">
        <v>13.971410215583152</v>
      </c>
    </row>
    <row r="332" spans="1:18" s="39" customFormat="1" ht="31.25" customHeight="1" x14ac:dyDescent="0.2">
      <c r="A332" s="39" t="s">
        <v>989</v>
      </c>
      <c r="B332" s="39" t="s">
        <v>59</v>
      </c>
      <c r="C332" s="39" t="s">
        <v>132</v>
      </c>
      <c r="D332" s="39" t="s">
        <v>160</v>
      </c>
      <c r="E332" s="39" t="s">
        <v>151</v>
      </c>
      <c r="F332" s="39" t="s">
        <v>990</v>
      </c>
      <c r="G332" s="39" t="s">
        <v>125</v>
      </c>
      <c r="H332" s="39" t="s">
        <v>162</v>
      </c>
      <c r="J332" s="39" t="s">
        <v>124</v>
      </c>
      <c r="K332" s="39" t="s">
        <v>5557</v>
      </c>
      <c r="L332" s="39" t="s">
        <v>991</v>
      </c>
      <c r="M332" s="39" t="s">
        <v>875</v>
      </c>
      <c r="N332" s="39" t="s">
        <v>992</v>
      </c>
      <c r="O332" s="39" t="s">
        <v>52</v>
      </c>
      <c r="P332" s="39" t="s">
        <v>806</v>
      </c>
      <c r="Q332" s="40">
        <v>17</v>
      </c>
      <c r="R332" s="40">
        <v>12.978905664749375</v>
      </c>
    </row>
    <row r="333" spans="1:18" s="39" customFormat="1" ht="31.25" customHeight="1" x14ac:dyDescent="0.2">
      <c r="A333" s="39" t="s">
        <v>993</v>
      </c>
      <c r="B333" s="39" t="s">
        <v>59</v>
      </c>
      <c r="C333" s="39" t="s">
        <v>280</v>
      </c>
      <c r="D333" s="39" t="s">
        <v>121</v>
      </c>
      <c r="E333" s="39" t="s">
        <v>133</v>
      </c>
      <c r="F333" s="39" t="s">
        <v>994</v>
      </c>
      <c r="G333" s="39" t="s">
        <v>125</v>
      </c>
      <c r="H333" s="39" t="s">
        <v>162</v>
      </c>
      <c r="L333" s="39" t="s">
        <v>995</v>
      </c>
      <c r="M333" s="39" t="s">
        <v>875</v>
      </c>
      <c r="N333" s="76" t="s">
        <v>996</v>
      </c>
      <c r="O333" s="39" t="s">
        <v>52</v>
      </c>
      <c r="P333" s="39" t="s">
        <v>806</v>
      </c>
      <c r="Q333" s="40">
        <v>16.2</v>
      </c>
      <c r="R333" s="40">
        <v>12.368133633467052</v>
      </c>
    </row>
    <row r="334" spans="1:18" s="39" customFormat="1" ht="31.25" customHeight="1" x14ac:dyDescent="0.2">
      <c r="A334" s="39" t="s">
        <v>997</v>
      </c>
      <c r="B334" s="39" t="s">
        <v>59</v>
      </c>
      <c r="C334" s="39" t="s">
        <v>132</v>
      </c>
      <c r="D334" s="55" t="s">
        <v>121</v>
      </c>
      <c r="E334" s="39" t="s">
        <v>151</v>
      </c>
      <c r="F334" s="39" t="s">
        <v>998</v>
      </c>
      <c r="G334" s="39" t="s">
        <v>125</v>
      </c>
      <c r="H334" s="39" t="s">
        <v>162</v>
      </c>
      <c r="L334" s="39" t="s">
        <v>999</v>
      </c>
      <c r="M334" s="39" t="s">
        <v>875</v>
      </c>
      <c r="N334" s="39" t="s">
        <v>1000</v>
      </c>
      <c r="O334" s="39" t="s">
        <v>53</v>
      </c>
      <c r="P334" s="39" t="s">
        <v>806</v>
      </c>
      <c r="Q334" s="40">
        <v>15.7</v>
      </c>
      <c r="R334" s="40">
        <v>11.986401113915599</v>
      </c>
    </row>
    <row r="335" spans="1:18" s="39" customFormat="1" ht="31.25" customHeight="1" x14ac:dyDescent="0.2">
      <c r="A335" s="39" t="s">
        <v>1001</v>
      </c>
      <c r="B335" s="39" t="s">
        <v>59</v>
      </c>
      <c r="C335" s="39" t="s">
        <v>132</v>
      </c>
      <c r="D335" s="39" t="s">
        <v>160</v>
      </c>
      <c r="E335" s="39" t="s">
        <v>251</v>
      </c>
      <c r="F335" s="39" t="s">
        <v>1002</v>
      </c>
      <c r="G335" s="39" t="s">
        <v>125</v>
      </c>
      <c r="L335" s="39" t="s">
        <v>1003</v>
      </c>
      <c r="M335" s="39" t="s">
        <v>875</v>
      </c>
      <c r="N335" s="39" t="s">
        <v>1004</v>
      </c>
      <c r="O335" s="39" t="s">
        <v>53</v>
      </c>
      <c r="P335" s="39" t="s">
        <v>806</v>
      </c>
      <c r="Q335" s="40">
        <v>12</v>
      </c>
      <c r="R335" s="40">
        <v>9.1615804692348526</v>
      </c>
    </row>
    <row r="336" spans="1:18" s="39" customFormat="1" ht="31.25" customHeight="1" x14ac:dyDescent="0.2">
      <c r="A336" s="39" t="s">
        <v>1005</v>
      </c>
      <c r="B336" s="39" t="s">
        <v>59</v>
      </c>
      <c r="C336" s="39" t="s">
        <v>120</v>
      </c>
      <c r="D336" s="39" t="s">
        <v>160</v>
      </c>
      <c r="E336" s="39" t="s">
        <v>133</v>
      </c>
      <c r="F336" s="39" t="s">
        <v>1006</v>
      </c>
      <c r="G336" s="39" t="s">
        <v>125</v>
      </c>
      <c r="L336" s="39" t="s">
        <v>1007</v>
      </c>
      <c r="M336" s="39" t="s">
        <v>875</v>
      </c>
      <c r="N336" s="39" t="s">
        <v>1008</v>
      </c>
      <c r="O336" s="39" t="s">
        <v>53</v>
      </c>
      <c r="P336" s="39" t="s">
        <v>806</v>
      </c>
      <c r="Q336" s="40">
        <v>10</v>
      </c>
      <c r="R336" s="40">
        <v>7.6346503910290444</v>
      </c>
    </row>
    <row r="337" spans="1:18" s="39" customFormat="1" ht="31.25" customHeight="1" x14ac:dyDescent="0.2">
      <c r="A337" s="39" t="s">
        <v>1009</v>
      </c>
      <c r="B337" s="39" t="s">
        <v>59</v>
      </c>
      <c r="C337" s="39" t="s">
        <v>280</v>
      </c>
      <c r="D337" s="39" t="s">
        <v>121</v>
      </c>
      <c r="E337" s="39" t="s">
        <v>151</v>
      </c>
      <c r="F337" s="39" t="s">
        <v>1010</v>
      </c>
      <c r="G337" s="39" t="s">
        <v>125</v>
      </c>
      <c r="L337" s="39" t="s">
        <v>1011</v>
      </c>
      <c r="M337" s="39" t="s">
        <v>875</v>
      </c>
      <c r="N337" s="39" t="s">
        <v>1012</v>
      </c>
      <c r="O337" s="39" t="s">
        <v>52</v>
      </c>
      <c r="P337" s="39" t="s">
        <v>806</v>
      </c>
      <c r="Q337" s="40">
        <v>9.4</v>
      </c>
      <c r="R337" s="40">
        <v>7.176571367567302</v>
      </c>
    </row>
    <row r="338" spans="1:18" s="39" customFormat="1" ht="31.25" customHeight="1" x14ac:dyDescent="0.2">
      <c r="A338" s="39" t="s">
        <v>1013</v>
      </c>
      <c r="B338" s="39" t="s">
        <v>59</v>
      </c>
      <c r="C338" s="39" t="s">
        <v>132</v>
      </c>
      <c r="D338" s="39" t="s">
        <v>160</v>
      </c>
      <c r="E338" s="39" t="s">
        <v>151</v>
      </c>
      <c r="F338" s="39" t="s">
        <v>1014</v>
      </c>
      <c r="G338" s="39" t="s">
        <v>125</v>
      </c>
      <c r="H338" s="39" t="s">
        <v>162</v>
      </c>
      <c r="L338" s="39" t="s">
        <v>1015</v>
      </c>
      <c r="M338" s="39" t="s">
        <v>875</v>
      </c>
      <c r="N338" s="39" t="s">
        <v>1016</v>
      </c>
      <c r="O338" s="39" t="s">
        <v>52</v>
      </c>
      <c r="P338" s="39" t="s">
        <v>806</v>
      </c>
      <c r="Q338" s="40">
        <v>8</v>
      </c>
      <c r="R338" s="40">
        <v>6.1077203128232354</v>
      </c>
    </row>
    <row r="339" spans="1:18" s="39" customFormat="1" ht="31.25" customHeight="1" x14ac:dyDescent="0.2">
      <c r="A339" s="39" t="s">
        <v>1017</v>
      </c>
      <c r="B339" s="39" t="s">
        <v>59</v>
      </c>
      <c r="C339" s="39" t="s">
        <v>280</v>
      </c>
      <c r="D339" s="39" t="s">
        <v>160</v>
      </c>
      <c r="E339" s="39" t="s">
        <v>151</v>
      </c>
      <c r="F339" s="39" t="s">
        <v>1018</v>
      </c>
      <c r="G339" s="39" t="s">
        <v>162</v>
      </c>
      <c r="H339" s="39" t="s">
        <v>125</v>
      </c>
      <c r="J339" s="39" t="s">
        <v>124</v>
      </c>
      <c r="K339" s="39" t="s">
        <v>5557</v>
      </c>
      <c r="L339" s="39" t="s">
        <v>1019</v>
      </c>
      <c r="M339" s="39" t="s">
        <v>875</v>
      </c>
      <c r="N339" s="39" t="s">
        <v>1020</v>
      </c>
      <c r="O339" s="39" t="s">
        <v>52</v>
      </c>
      <c r="P339" s="39" t="s">
        <v>806</v>
      </c>
      <c r="Q339" s="40">
        <v>13</v>
      </c>
      <c r="R339" s="40">
        <v>9.9250455083377567</v>
      </c>
    </row>
    <row r="340" spans="1:18" s="39" customFormat="1" ht="31.25" customHeight="1" x14ac:dyDescent="0.2">
      <c r="A340" s="39" t="s">
        <v>1021</v>
      </c>
      <c r="B340" s="39" t="s">
        <v>59</v>
      </c>
      <c r="C340" s="39" t="s">
        <v>280</v>
      </c>
      <c r="D340" s="39" t="s">
        <v>160</v>
      </c>
      <c r="E340" s="39" t="s">
        <v>151</v>
      </c>
      <c r="F340" s="39" t="s">
        <v>1022</v>
      </c>
      <c r="G340" s="39" t="s">
        <v>125</v>
      </c>
      <c r="L340" s="39" t="s">
        <v>1023</v>
      </c>
      <c r="M340" s="39" t="s">
        <v>875</v>
      </c>
      <c r="N340" s="39" t="s">
        <v>1024</v>
      </c>
      <c r="O340" s="39" t="s">
        <v>52</v>
      </c>
      <c r="P340" s="39" t="s">
        <v>806</v>
      </c>
      <c r="Q340" s="40">
        <v>6</v>
      </c>
      <c r="R340" s="40">
        <v>4.5807902346174263</v>
      </c>
    </row>
    <row r="341" spans="1:18" s="39" customFormat="1" ht="31.25" customHeight="1" x14ac:dyDescent="0.2">
      <c r="A341" s="39" t="s">
        <v>1025</v>
      </c>
      <c r="B341" s="39" t="s">
        <v>59</v>
      </c>
      <c r="C341" s="39" t="s">
        <v>132</v>
      </c>
      <c r="D341" s="39" t="s">
        <v>160</v>
      </c>
      <c r="E341" s="39" t="s">
        <v>151</v>
      </c>
      <c r="F341" s="39" t="s">
        <v>1026</v>
      </c>
      <c r="G341" s="39" t="s">
        <v>125</v>
      </c>
      <c r="L341" s="39" t="s">
        <v>1027</v>
      </c>
      <c r="M341" s="39" t="s">
        <v>875</v>
      </c>
      <c r="N341" s="39" t="s">
        <v>1028</v>
      </c>
      <c r="O341" s="39" t="s">
        <v>52</v>
      </c>
      <c r="P341" s="39" t="s">
        <v>806</v>
      </c>
      <c r="Q341" s="40">
        <v>5.0999999999999996</v>
      </c>
      <c r="R341" s="40">
        <v>3.8936716994248122</v>
      </c>
    </row>
    <row r="342" spans="1:18" s="39" customFormat="1" ht="31.25" customHeight="1" x14ac:dyDescent="0.2">
      <c r="A342" s="39" t="s">
        <v>1029</v>
      </c>
      <c r="B342" s="39" t="s">
        <v>59</v>
      </c>
      <c r="C342" s="39" t="s">
        <v>132</v>
      </c>
      <c r="D342" s="39" t="s">
        <v>121</v>
      </c>
      <c r="E342" s="39" t="s">
        <v>151</v>
      </c>
      <c r="F342" s="39" t="s">
        <v>1030</v>
      </c>
      <c r="G342" s="39" t="s">
        <v>125</v>
      </c>
      <c r="L342" s="39" t="s">
        <v>1031</v>
      </c>
      <c r="M342" s="39" t="s">
        <v>875</v>
      </c>
      <c r="N342" s="39" t="s">
        <v>1032</v>
      </c>
      <c r="O342" s="39" t="s">
        <v>52</v>
      </c>
      <c r="P342" s="39" t="s">
        <v>806</v>
      </c>
      <c r="Q342" s="40">
        <v>5</v>
      </c>
      <c r="R342" s="40">
        <v>3.8173251955145222</v>
      </c>
    </row>
    <row r="343" spans="1:18" s="39" customFormat="1" ht="31.25" customHeight="1" x14ac:dyDescent="0.2">
      <c r="A343" s="39" t="s">
        <v>1033</v>
      </c>
      <c r="B343" s="39" t="s">
        <v>59</v>
      </c>
      <c r="C343" s="39" t="s">
        <v>132</v>
      </c>
      <c r="D343" s="39" t="s">
        <v>160</v>
      </c>
      <c r="E343" s="39" t="s">
        <v>151</v>
      </c>
      <c r="F343" s="39" t="s">
        <v>1034</v>
      </c>
      <c r="G343" s="39" t="s">
        <v>125</v>
      </c>
      <c r="L343" s="39" t="s">
        <v>1035</v>
      </c>
      <c r="M343" s="39" t="s">
        <v>875</v>
      </c>
      <c r="N343" s="39" t="s">
        <v>1036</v>
      </c>
      <c r="O343" s="39" t="s">
        <v>53</v>
      </c>
      <c r="P343" s="39" t="s">
        <v>806</v>
      </c>
      <c r="Q343" s="40">
        <v>4.5</v>
      </c>
      <c r="R343" s="40">
        <v>3.4355926759630697</v>
      </c>
    </row>
    <row r="344" spans="1:18" s="39" customFormat="1" ht="31.25" customHeight="1" x14ac:dyDescent="0.2">
      <c r="A344" s="39" t="s">
        <v>1037</v>
      </c>
      <c r="B344" s="39" t="s">
        <v>59</v>
      </c>
      <c r="C344" s="39" t="s">
        <v>132</v>
      </c>
      <c r="D344" s="39" t="s">
        <v>121</v>
      </c>
      <c r="E344" s="39" t="s">
        <v>151</v>
      </c>
      <c r="F344" s="39" t="s">
        <v>1038</v>
      </c>
      <c r="G344" s="39" t="s">
        <v>125</v>
      </c>
      <c r="L344" s="39" t="s">
        <v>1039</v>
      </c>
      <c r="M344" s="39" t="s">
        <v>875</v>
      </c>
      <c r="N344" s="39" t="s">
        <v>1040</v>
      </c>
      <c r="O344" s="39" t="s">
        <v>53</v>
      </c>
      <c r="P344" s="39" t="s">
        <v>806</v>
      </c>
      <c r="Q344" s="40">
        <v>4</v>
      </c>
      <c r="R344" s="40">
        <v>3.0538601564116177</v>
      </c>
    </row>
    <row r="345" spans="1:18" s="39" customFormat="1" ht="31.25" customHeight="1" x14ac:dyDescent="0.2">
      <c r="A345" s="39" t="s">
        <v>1041</v>
      </c>
      <c r="B345" s="39" t="s">
        <v>59</v>
      </c>
      <c r="C345" s="39" t="s">
        <v>280</v>
      </c>
      <c r="D345" s="39" t="s">
        <v>160</v>
      </c>
      <c r="E345" s="39" t="s">
        <v>151</v>
      </c>
      <c r="F345" s="39" t="s">
        <v>1042</v>
      </c>
      <c r="G345" s="39" t="s">
        <v>125</v>
      </c>
      <c r="L345" s="39" t="s">
        <v>1043</v>
      </c>
      <c r="M345" s="39" t="s">
        <v>875</v>
      </c>
      <c r="N345" s="39" t="s">
        <v>1044</v>
      </c>
      <c r="O345" s="39" t="s">
        <v>53</v>
      </c>
      <c r="P345" s="39" t="s">
        <v>806</v>
      </c>
      <c r="Q345" s="40">
        <v>3</v>
      </c>
      <c r="R345" s="40">
        <v>2.2903951173087131</v>
      </c>
    </row>
    <row r="346" spans="1:18" s="39" customFormat="1" ht="31.25" customHeight="1" x14ac:dyDescent="0.2">
      <c r="A346" s="39" t="s">
        <v>1045</v>
      </c>
      <c r="B346" s="39" t="s">
        <v>59</v>
      </c>
      <c r="C346" s="39" t="s">
        <v>132</v>
      </c>
      <c r="D346" s="39" t="s">
        <v>160</v>
      </c>
      <c r="E346" s="39" t="s">
        <v>151</v>
      </c>
      <c r="F346" s="39" t="s">
        <v>1046</v>
      </c>
      <c r="G346" s="39" t="s">
        <v>125</v>
      </c>
      <c r="L346" s="39" t="s">
        <v>1047</v>
      </c>
      <c r="M346" s="39" t="s">
        <v>875</v>
      </c>
      <c r="N346" s="39" t="s">
        <v>1048</v>
      </c>
      <c r="O346" s="39" t="s">
        <v>53</v>
      </c>
      <c r="P346" s="39" t="s">
        <v>806</v>
      </c>
      <c r="Q346" s="40">
        <v>2</v>
      </c>
      <c r="R346" s="40">
        <v>1.5269300782058088</v>
      </c>
    </row>
    <row r="347" spans="1:18" s="39" customFormat="1" ht="31.25" customHeight="1" x14ac:dyDescent="0.2">
      <c r="A347" s="39" t="s">
        <v>1049</v>
      </c>
      <c r="B347" s="39" t="s">
        <v>59</v>
      </c>
      <c r="C347" s="39" t="s">
        <v>280</v>
      </c>
      <c r="D347" s="39" t="s">
        <v>121</v>
      </c>
      <c r="E347" s="39" t="s">
        <v>151</v>
      </c>
      <c r="F347" s="39" t="s">
        <v>1050</v>
      </c>
      <c r="G347" s="39" t="s">
        <v>125</v>
      </c>
      <c r="L347" s="39" t="s">
        <v>1051</v>
      </c>
      <c r="M347" s="39" t="s">
        <v>875</v>
      </c>
      <c r="N347" s="39" t="s">
        <v>1052</v>
      </c>
      <c r="O347" s="39" t="s">
        <v>52</v>
      </c>
      <c r="P347" s="39" t="s">
        <v>806</v>
      </c>
      <c r="Q347" s="40">
        <v>1.7170000000000001</v>
      </c>
      <c r="R347" s="40">
        <v>1.310869472139687</v>
      </c>
    </row>
    <row r="348" spans="1:18" s="39" customFormat="1" ht="31.25" customHeight="1" x14ac:dyDescent="0.2">
      <c r="A348" s="39" t="s">
        <v>1053</v>
      </c>
      <c r="B348" s="39" t="s">
        <v>59</v>
      </c>
      <c r="C348" s="39" t="s">
        <v>280</v>
      </c>
      <c r="D348" s="39" t="s">
        <v>121</v>
      </c>
      <c r="E348" s="39" t="s">
        <v>251</v>
      </c>
      <c r="F348" s="39" t="s">
        <v>1054</v>
      </c>
      <c r="G348" s="39" t="s">
        <v>162</v>
      </c>
      <c r="L348" s="39" t="s">
        <v>1055</v>
      </c>
      <c r="M348" s="39" t="s">
        <v>875</v>
      </c>
      <c r="N348" s="39" t="s">
        <v>1056</v>
      </c>
      <c r="O348" s="39" t="s">
        <v>52</v>
      </c>
      <c r="P348" s="39" t="s">
        <v>806</v>
      </c>
      <c r="Q348" s="40">
        <v>0.56999999999999995</v>
      </c>
      <c r="R348" s="40">
        <v>0.43517507228865548</v>
      </c>
    </row>
    <row r="349" spans="1:18" s="39" customFormat="1" ht="31.25" customHeight="1" x14ac:dyDescent="0.2">
      <c r="A349" s="39" t="s">
        <v>1057</v>
      </c>
      <c r="B349" s="39" t="s">
        <v>59</v>
      </c>
      <c r="C349" s="39" t="s">
        <v>280</v>
      </c>
      <c r="D349" s="39" t="s">
        <v>121</v>
      </c>
      <c r="E349" s="39" t="s">
        <v>151</v>
      </c>
      <c r="F349" s="39" t="s">
        <v>1058</v>
      </c>
      <c r="G349" s="39" t="s">
        <v>125</v>
      </c>
      <c r="L349" s="39" t="s">
        <v>1059</v>
      </c>
      <c r="M349" s="39" t="s">
        <v>875</v>
      </c>
      <c r="N349" s="39" t="s">
        <v>1060</v>
      </c>
      <c r="O349" s="39" t="s">
        <v>53</v>
      </c>
      <c r="P349" s="39" t="s">
        <v>806</v>
      </c>
      <c r="Q349" s="40">
        <v>1</v>
      </c>
      <c r="R349" s="40">
        <v>0.76346503910290442</v>
      </c>
    </row>
    <row r="350" spans="1:18" s="39" customFormat="1" ht="31.25" customHeight="1" x14ac:dyDescent="0.2">
      <c r="A350" s="39" t="s">
        <v>1061</v>
      </c>
      <c r="B350" s="39" t="s">
        <v>59</v>
      </c>
      <c r="C350" s="39" t="s">
        <v>171</v>
      </c>
      <c r="D350" s="39" t="s">
        <v>160</v>
      </c>
      <c r="E350" s="39" t="s">
        <v>151</v>
      </c>
      <c r="G350" s="39" t="s">
        <v>125</v>
      </c>
      <c r="L350" s="39" t="s">
        <v>1062</v>
      </c>
      <c r="M350" s="39" t="s">
        <v>875</v>
      </c>
      <c r="N350" s="39" t="s">
        <v>1063</v>
      </c>
      <c r="O350" s="39" t="s">
        <v>53</v>
      </c>
      <c r="P350" s="39" t="s">
        <v>806</v>
      </c>
      <c r="Q350" s="40">
        <v>1</v>
      </c>
      <c r="R350" s="40">
        <v>0.76346503910290442</v>
      </c>
    </row>
    <row r="351" spans="1:18" s="39" customFormat="1" ht="31.25" customHeight="1" x14ac:dyDescent="0.2">
      <c r="A351" s="39" t="s">
        <v>1064</v>
      </c>
      <c r="B351" s="39" t="s">
        <v>59</v>
      </c>
      <c r="C351" s="39" t="s">
        <v>132</v>
      </c>
      <c r="D351" s="39" t="s">
        <v>160</v>
      </c>
      <c r="E351" s="39" t="s">
        <v>151</v>
      </c>
      <c r="F351" s="39" t="s">
        <v>1065</v>
      </c>
      <c r="G351" s="39" t="s">
        <v>125</v>
      </c>
      <c r="L351" s="39" t="s">
        <v>1066</v>
      </c>
      <c r="M351" s="39" t="s">
        <v>875</v>
      </c>
      <c r="N351" s="39" t="s">
        <v>1067</v>
      </c>
      <c r="O351" s="39" t="s">
        <v>53</v>
      </c>
      <c r="P351" s="39" t="s">
        <v>806</v>
      </c>
      <c r="Q351" s="40">
        <v>5.4</v>
      </c>
      <c r="R351" s="40">
        <v>4.1227112111556838</v>
      </c>
    </row>
    <row r="352" spans="1:18" s="39" customFormat="1" ht="31.25" customHeight="1" x14ac:dyDescent="0.2">
      <c r="A352" s="39" t="s">
        <v>1068</v>
      </c>
      <c r="B352" s="39" t="s">
        <v>59</v>
      </c>
      <c r="C352" s="39" t="s">
        <v>171</v>
      </c>
      <c r="D352" s="39" t="s">
        <v>121</v>
      </c>
      <c r="E352" s="39" t="s">
        <v>133</v>
      </c>
      <c r="G352" s="39" t="s">
        <v>125</v>
      </c>
      <c r="L352" s="39" t="s">
        <v>1069</v>
      </c>
      <c r="M352" s="39" t="s">
        <v>875</v>
      </c>
      <c r="N352" s="39" t="s">
        <v>1070</v>
      </c>
      <c r="O352" s="39" t="s">
        <v>54</v>
      </c>
      <c r="Q352" s="40"/>
      <c r="R352" s="40" t="s">
        <v>1604</v>
      </c>
    </row>
    <row r="353" spans="1:18" s="39" customFormat="1" ht="31.25" customHeight="1" x14ac:dyDescent="0.2">
      <c r="A353" s="39" t="s">
        <v>1071</v>
      </c>
      <c r="B353" s="39" t="s">
        <v>59</v>
      </c>
      <c r="C353" s="39" t="s">
        <v>171</v>
      </c>
      <c r="D353" s="39" t="s">
        <v>121</v>
      </c>
      <c r="E353" s="39" t="s">
        <v>147</v>
      </c>
      <c r="G353" s="39" t="s">
        <v>162</v>
      </c>
      <c r="H353" s="39" t="s">
        <v>125</v>
      </c>
      <c r="L353" s="39" t="s">
        <v>1072</v>
      </c>
      <c r="M353" s="39" t="s">
        <v>875</v>
      </c>
      <c r="N353" s="39" t="s">
        <v>1073</v>
      </c>
      <c r="O353" s="39" t="s">
        <v>54</v>
      </c>
      <c r="Q353" s="40"/>
      <c r="R353" s="40" t="s">
        <v>1604</v>
      </c>
    </row>
    <row r="354" spans="1:18" s="39" customFormat="1" ht="31.25" customHeight="1" x14ac:dyDescent="0.2">
      <c r="A354" s="39" t="s">
        <v>1074</v>
      </c>
      <c r="B354" s="39" t="s">
        <v>59</v>
      </c>
      <c r="C354" s="39" t="s">
        <v>177</v>
      </c>
      <c r="D354" s="39" t="s">
        <v>160</v>
      </c>
      <c r="E354" s="39" t="s">
        <v>133</v>
      </c>
      <c r="G354" s="39" t="s">
        <v>125</v>
      </c>
      <c r="J354" s="39" t="s">
        <v>124</v>
      </c>
      <c r="L354" s="39" t="s">
        <v>1075</v>
      </c>
      <c r="M354" s="76" t="s">
        <v>1076</v>
      </c>
      <c r="N354" s="39" t="s">
        <v>1077</v>
      </c>
      <c r="O354" s="39" t="s">
        <v>52</v>
      </c>
      <c r="Q354" s="40"/>
      <c r="R354" s="40" t="s">
        <v>1604</v>
      </c>
    </row>
    <row r="355" spans="1:18" s="39" customFormat="1" ht="31.25" customHeight="1" x14ac:dyDescent="0.2">
      <c r="A355" s="39" t="s">
        <v>1078</v>
      </c>
      <c r="B355" s="39" t="s">
        <v>59</v>
      </c>
      <c r="C355" s="39" t="s">
        <v>188</v>
      </c>
      <c r="D355" s="39" t="s">
        <v>160</v>
      </c>
      <c r="E355" s="39" t="s">
        <v>151</v>
      </c>
      <c r="F355" s="39" t="s">
        <v>1006</v>
      </c>
      <c r="G355" s="39" t="s">
        <v>125</v>
      </c>
      <c r="H355" s="39" t="s">
        <v>162</v>
      </c>
      <c r="J355" s="39" t="s">
        <v>124</v>
      </c>
      <c r="L355" s="39" t="s">
        <v>1079</v>
      </c>
      <c r="M355" s="39" t="s">
        <v>875</v>
      </c>
      <c r="N355" s="105" t="s">
        <v>1080</v>
      </c>
      <c r="O355" s="39" t="s">
        <v>52</v>
      </c>
      <c r="P355" s="39" t="s">
        <v>806</v>
      </c>
      <c r="Q355" s="40">
        <v>10</v>
      </c>
      <c r="R355" s="40">
        <v>7.6346503910290444</v>
      </c>
    </row>
    <row r="356" spans="1:18" s="39" customFormat="1" ht="31.25" customHeight="1" x14ac:dyDescent="0.2">
      <c r="A356" s="39" t="s">
        <v>1081</v>
      </c>
      <c r="B356" s="39" t="s">
        <v>59</v>
      </c>
      <c r="C356" s="39" t="s">
        <v>188</v>
      </c>
      <c r="D356" s="39" t="s">
        <v>160</v>
      </c>
      <c r="E356" s="39" t="s">
        <v>151</v>
      </c>
      <c r="G356" s="39" t="s">
        <v>125</v>
      </c>
      <c r="J356" s="39" t="s">
        <v>124</v>
      </c>
      <c r="L356" s="39" t="s">
        <v>1082</v>
      </c>
      <c r="M356" s="39" t="s">
        <v>875</v>
      </c>
      <c r="N356" s="105" t="s">
        <v>1083</v>
      </c>
      <c r="O356" s="39" t="s">
        <v>52</v>
      </c>
      <c r="Q356" s="40"/>
      <c r="R356" s="40" t="s">
        <v>1604</v>
      </c>
    </row>
    <row r="357" spans="1:18" s="39" customFormat="1" ht="31.25" customHeight="1" x14ac:dyDescent="0.2">
      <c r="A357" s="39" t="s">
        <v>1084</v>
      </c>
      <c r="B357" s="39" t="s">
        <v>59</v>
      </c>
      <c r="C357" s="39" t="s">
        <v>188</v>
      </c>
      <c r="D357" s="39" t="s">
        <v>160</v>
      </c>
      <c r="E357" s="39" t="s">
        <v>151</v>
      </c>
      <c r="F357" s="39" t="s">
        <v>1006</v>
      </c>
      <c r="G357" s="39" t="s">
        <v>125</v>
      </c>
      <c r="J357" s="39" t="s">
        <v>124</v>
      </c>
      <c r="L357" s="39" t="s">
        <v>1085</v>
      </c>
      <c r="M357" s="39" t="s">
        <v>875</v>
      </c>
      <c r="N357" s="105" t="s">
        <v>1086</v>
      </c>
      <c r="O357" s="39" t="s">
        <v>52</v>
      </c>
      <c r="P357" s="39" t="s">
        <v>806</v>
      </c>
      <c r="Q357" s="40">
        <v>10</v>
      </c>
      <c r="R357" s="40">
        <v>7.6346503910290444</v>
      </c>
    </row>
    <row r="358" spans="1:18" s="39" customFormat="1" ht="31.25" customHeight="1" x14ac:dyDescent="0.2">
      <c r="A358" s="39" t="s">
        <v>1087</v>
      </c>
      <c r="B358" s="39" t="s">
        <v>59</v>
      </c>
      <c r="C358" s="39" t="s">
        <v>280</v>
      </c>
      <c r="D358" s="39" t="s">
        <v>121</v>
      </c>
      <c r="E358" s="39" t="s">
        <v>151</v>
      </c>
      <c r="F358" s="39" t="s">
        <v>1088</v>
      </c>
      <c r="G358" s="39" t="s">
        <v>125</v>
      </c>
      <c r="H358" s="39" t="s">
        <v>162</v>
      </c>
      <c r="J358" s="39" t="s">
        <v>157</v>
      </c>
      <c r="K358" s="39" t="s">
        <v>5558</v>
      </c>
      <c r="L358" s="39" t="s">
        <v>1089</v>
      </c>
      <c r="M358" s="39" t="s">
        <v>875</v>
      </c>
      <c r="N358" s="105" t="s">
        <v>1090</v>
      </c>
      <c r="O358" s="39" t="s">
        <v>52</v>
      </c>
      <c r="P358" s="39" t="s">
        <v>806</v>
      </c>
      <c r="Q358" s="40">
        <v>20</v>
      </c>
      <c r="R358" s="40">
        <v>15.269300782058089</v>
      </c>
    </row>
    <row r="359" spans="1:18" s="39" customFormat="1" ht="31.25" customHeight="1" x14ac:dyDescent="0.2">
      <c r="A359" s="39" t="s">
        <v>1091</v>
      </c>
      <c r="B359" s="39" t="s">
        <v>59</v>
      </c>
      <c r="C359" s="39" t="s">
        <v>188</v>
      </c>
      <c r="D359" s="39" t="s">
        <v>121</v>
      </c>
      <c r="E359" s="39" t="s">
        <v>151</v>
      </c>
      <c r="F359" s="39" t="s">
        <v>920</v>
      </c>
      <c r="G359" s="39" t="s">
        <v>125</v>
      </c>
      <c r="H359" s="39" t="s">
        <v>162</v>
      </c>
      <c r="J359" s="39" t="s">
        <v>124</v>
      </c>
      <c r="L359" s="39" t="s">
        <v>1092</v>
      </c>
      <c r="M359" s="39" t="s">
        <v>875</v>
      </c>
      <c r="N359" s="105" t="s">
        <v>1093</v>
      </c>
      <c r="O359" s="39" t="s">
        <v>54</v>
      </c>
      <c r="P359" s="39" t="s">
        <v>806</v>
      </c>
      <c r="Q359" s="40">
        <v>80</v>
      </c>
      <c r="R359" s="40">
        <v>61.077203128232355</v>
      </c>
    </row>
    <row r="360" spans="1:18" s="39" customFormat="1" ht="31.25" customHeight="1" x14ac:dyDescent="0.2">
      <c r="A360" s="39" t="s">
        <v>1094</v>
      </c>
      <c r="B360" s="39" t="s">
        <v>59</v>
      </c>
      <c r="C360" s="39" t="s">
        <v>120</v>
      </c>
      <c r="D360" s="39" t="s">
        <v>121</v>
      </c>
      <c r="E360" s="39" t="s">
        <v>172</v>
      </c>
      <c r="F360" s="39" t="s">
        <v>1042</v>
      </c>
      <c r="G360" s="39" t="s">
        <v>125</v>
      </c>
      <c r="J360" s="39" t="s">
        <v>124</v>
      </c>
      <c r="L360" s="39" t="s">
        <v>1095</v>
      </c>
      <c r="M360" s="39" t="s">
        <v>875</v>
      </c>
      <c r="N360" s="105"/>
      <c r="O360" s="39" t="s">
        <v>52</v>
      </c>
      <c r="P360" s="39" t="s">
        <v>806</v>
      </c>
      <c r="Q360" s="40">
        <v>3</v>
      </c>
      <c r="R360" s="40">
        <v>2.2903951173087131</v>
      </c>
    </row>
    <row r="361" spans="1:18" s="39" customFormat="1" ht="31.25" customHeight="1" x14ac:dyDescent="0.2">
      <c r="A361" s="39" t="s">
        <v>1096</v>
      </c>
      <c r="B361" s="39" t="s">
        <v>59</v>
      </c>
      <c r="C361" s="39" t="s">
        <v>120</v>
      </c>
      <c r="D361" s="39" t="s">
        <v>160</v>
      </c>
      <c r="E361" s="39" t="s">
        <v>133</v>
      </c>
      <c r="G361" s="39" t="s">
        <v>125</v>
      </c>
      <c r="H361" s="39" t="s">
        <v>208</v>
      </c>
      <c r="J361" s="39" t="s">
        <v>124</v>
      </c>
      <c r="L361" s="39" t="s">
        <v>1097</v>
      </c>
      <c r="M361" s="39" t="s">
        <v>875</v>
      </c>
      <c r="N361" s="105" t="s">
        <v>1098</v>
      </c>
      <c r="O361" s="39" t="s">
        <v>52</v>
      </c>
      <c r="Q361" s="40"/>
      <c r="R361" s="40" t="s">
        <v>1604</v>
      </c>
    </row>
    <row r="362" spans="1:18" s="39" customFormat="1" ht="31.25" customHeight="1" x14ac:dyDescent="0.2">
      <c r="A362" s="39" t="s">
        <v>1099</v>
      </c>
      <c r="B362" s="39" t="s">
        <v>59</v>
      </c>
      <c r="C362" s="39" t="s">
        <v>280</v>
      </c>
      <c r="D362" s="39" t="s">
        <v>121</v>
      </c>
      <c r="E362" s="39" t="s">
        <v>151</v>
      </c>
      <c r="F362" s="39" t="s">
        <v>975</v>
      </c>
      <c r="G362" s="39" t="s">
        <v>125</v>
      </c>
      <c r="J362" s="39" t="s">
        <v>124</v>
      </c>
      <c r="L362" s="39" t="s">
        <v>1100</v>
      </c>
      <c r="M362" s="39" t="s">
        <v>875</v>
      </c>
      <c r="N362" s="105" t="s">
        <v>1101</v>
      </c>
      <c r="O362" s="39" t="s">
        <v>53</v>
      </c>
      <c r="P362" s="39" t="s">
        <v>806</v>
      </c>
      <c r="Q362" s="40">
        <v>100</v>
      </c>
      <c r="R362" s="40">
        <v>76.346503910290437</v>
      </c>
    </row>
    <row r="363" spans="1:18" s="39" customFormat="1" ht="31.25" customHeight="1" x14ac:dyDescent="0.2">
      <c r="A363" s="39" t="s">
        <v>1102</v>
      </c>
      <c r="B363" s="39" t="s">
        <v>59</v>
      </c>
      <c r="C363" s="39" t="s">
        <v>120</v>
      </c>
      <c r="D363" s="39" t="s">
        <v>121</v>
      </c>
      <c r="E363" s="39" t="s">
        <v>251</v>
      </c>
      <c r="F363" s="39" t="s">
        <v>1103</v>
      </c>
      <c r="G363" s="39" t="s">
        <v>125</v>
      </c>
      <c r="H363" s="39" t="s">
        <v>162</v>
      </c>
      <c r="I363" s="39" t="s">
        <v>134</v>
      </c>
      <c r="J363" s="39" t="s">
        <v>124</v>
      </c>
      <c r="L363" s="39" t="s">
        <v>1104</v>
      </c>
      <c r="M363" s="39" t="s">
        <v>875</v>
      </c>
      <c r="N363" s="105" t="s">
        <v>1105</v>
      </c>
      <c r="O363" s="39" t="s">
        <v>53</v>
      </c>
      <c r="P363" s="39" t="s">
        <v>806</v>
      </c>
      <c r="Q363" s="40">
        <v>1.5</v>
      </c>
      <c r="R363" s="40">
        <v>1.1451975586543566</v>
      </c>
    </row>
    <row r="364" spans="1:18" s="39" customFormat="1" ht="31.25" customHeight="1" x14ac:dyDescent="0.2">
      <c r="A364" s="39" t="s">
        <v>1106</v>
      </c>
      <c r="B364" s="39" t="s">
        <v>59</v>
      </c>
      <c r="C364" s="39" t="s">
        <v>120</v>
      </c>
      <c r="D364" s="39" t="s">
        <v>137</v>
      </c>
      <c r="E364" s="39" t="s">
        <v>133</v>
      </c>
      <c r="F364" s="39" t="s">
        <v>975</v>
      </c>
      <c r="G364" s="39" t="s">
        <v>125</v>
      </c>
      <c r="J364" s="39" t="s">
        <v>124</v>
      </c>
      <c r="L364" s="39" t="s">
        <v>1107</v>
      </c>
      <c r="M364" s="39" t="s">
        <v>875</v>
      </c>
      <c r="N364" s="105" t="s">
        <v>1108</v>
      </c>
      <c r="O364" s="39" t="s">
        <v>52</v>
      </c>
      <c r="P364" s="39" t="s">
        <v>806</v>
      </c>
      <c r="Q364" s="40">
        <v>100</v>
      </c>
      <c r="R364" s="40">
        <v>76.346503910290437</v>
      </c>
    </row>
    <row r="365" spans="1:18" s="39" customFormat="1" ht="31.25" customHeight="1" x14ac:dyDescent="0.2">
      <c r="A365" s="39" t="s">
        <v>1109</v>
      </c>
      <c r="B365" s="39" t="s">
        <v>59</v>
      </c>
      <c r="C365" s="39" t="s">
        <v>120</v>
      </c>
      <c r="D365" s="39" t="s">
        <v>160</v>
      </c>
      <c r="E365" s="39" t="s">
        <v>122</v>
      </c>
      <c r="F365" s="39" t="s">
        <v>1110</v>
      </c>
      <c r="G365" s="39" t="s">
        <v>125</v>
      </c>
      <c r="J365" s="39" t="s">
        <v>124</v>
      </c>
      <c r="L365" s="39" t="s">
        <v>1111</v>
      </c>
      <c r="M365" s="39" t="s">
        <v>875</v>
      </c>
      <c r="N365" s="105" t="s">
        <v>1112</v>
      </c>
      <c r="O365" s="39" t="s">
        <v>54</v>
      </c>
      <c r="P365" s="39" t="s">
        <v>806</v>
      </c>
      <c r="Q365" s="40">
        <v>20.100000000000001</v>
      </c>
      <c r="R365" s="40">
        <v>15.345647285968379</v>
      </c>
    </row>
    <row r="366" spans="1:18" s="39" customFormat="1" ht="31.25" customHeight="1" x14ac:dyDescent="0.2">
      <c r="A366" s="39" t="s">
        <v>1113</v>
      </c>
      <c r="B366" s="39" t="s">
        <v>59</v>
      </c>
      <c r="C366" s="39" t="s">
        <v>280</v>
      </c>
      <c r="D366" s="39" t="s">
        <v>121</v>
      </c>
      <c r="E366" s="39" t="s">
        <v>133</v>
      </c>
      <c r="F366" s="39" t="s">
        <v>1103</v>
      </c>
      <c r="G366" s="39" t="s">
        <v>125</v>
      </c>
      <c r="H366" s="39" t="s">
        <v>162</v>
      </c>
      <c r="I366" s="39" t="s">
        <v>153</v>
      </c>
      <c r="J366" s="39" t="s">
        <v>124</v>
      </c>
      <c r="L366" s="39" t="s">
        <v>1114</v>
      </c>
      <c r="M366" s="39" t="s">
        <v>875</v>
      </c>
      <c r="N366" s="105" t="s">
        <v>1115</v>
      </c>
      <c r="O366" s="39" t="s">
        <v>53</v>
      </c>
      <c r="P366" s="39" t="s">
        <v>806</v>
      </c>
      <c r="Q366" s="40">
        <v>1.5</v>
      </c>
      <c r="R366" s="40">
        <v>1.1451975586543566</v>
      </c>
    </row>
    <row r="367" spans="1:18" s="39" customFormat="1" ht="31.25" customHeight="1" x14ac:dyDescent="0.2">
      <c r="A367" s="39" t="s">
        <v>1116</v>
      </c>
      <c r="B367" s="39" t="s">
        <v>59</v>
      </c>
      <c r="C367" s="39" t="s">
        <v>120</v>
      </c>
      <c r="D367" s="39" t="s">
        <v>121</v>
      </c>
      <c r="E367" s="39" t="s">
        <v>122</v>
      </c>
      <c r="F367" s="39" t="s">
        <v>1117</v>
      </c>
      <c r="G367" s="39" t="s">
        <v>125</v>
      </c>
      <c r="H367" s="39" t="s">
        <v>323</v>
      </c>
      <c r="J367" s="39" t="s">
        <v>124</v>
      </c>
      <c r="L367" s="39" t="s">
        <v>1118</v>
      </c>
      <c r="M367" s="39" t="s">
        <v>875</v>
      </c>
      <c r="N367" s="76" t="s">
        <v>1119</v>
      </c>
      <c r="O367" s="39" t="s">
        <v>54</v>
      </c>
      <c r="P367" s="39" t="s">
        <v>806</v>
      </c>
      <c r="Q367" s="40">
        <v>3.1</v>
      </c>
      <c r="R367" s="40">
        <v>2.3667416212190036</v>
      </c>
    </row>
    <row r="368" spans="1:18" s="39" customFormat="1" ht="31.25" customHeight="1" x14ac:dyDescent="0.2">
      <c r="A368" s="39" t="s">
        <v>1120</v>
      </c>
      <c r="B368" s="39" t="s">
        <v>59</v>
      </c>
      <c r="C368" s="39" t="s">
        <v>280</v>
      </c>
      <c r="D368" s="39" t="s">
        <v>121</v>
      </c>
      <c r="E368" s="39" t="s">
        <v>251</v>
      </c>
      <c r="F368" s="39" t="s">
        <v>1058</v>
      </c>
      <c r="G368" s="39" t="s">
        <v>125</v>
      </c>
      <c r="H368" s="39" t="s">
        <v>162</v>
      </c>
      <c r="J368" s="39" t="s">
        <v>124</v>
      </c>
      <c r="L368" s="39" t="s">
        <v>1121</v>
      </c>
      <c r="M368" s="39" t="s">
        <v>875</v>
      </c>
      <c r="N368" s="105" t="s">
        <v>1122</v>
      </c>
      <c r="O368" s="39" t="s">
        <v>52</v>
      </c>
      <c r="P368" s="39" t="s">
        <v>806</v>
      </c>
      <c r="Q368" s="40">
        <v>1.1000000000000001</v>
      </c>
      <c r="R368" s="40">
        <v>0.83981154301319494</v>
      </c>
    </row>
    <row r="369" spans="1:18" s="39" customFormat="1" ht="31.25" customHeight="1" x14ac:dyDescent="0.2">
      <c r="A369" s="39" t="s">
        <v>1123</v>
      </c>
      <c r="B369" s="39" t="s">
        <v>59</v>
      </c>
      <c r="C369" s="39" t="s">
        <v>171</v>
      </c>
      <c r="D369" s="39" t="s">
        <v>160</v>
      </c>
      <c r="E369" s="39" t="s">
        <v>133</v>
      </c>
      <c r="F369" s="39" t="s">
        <v>1124</v>
      </c>
      <c r="G369" s="39" t="s">
        <v>125</v>
      </c>
      <c r="H369" s="39" t="s">
        <v>208</v>
      </c>
      <c r="J369" s="39" t="s">
        <v>124</v>
      </c>
      <c r="L369" s="39" t="s">
        <v>1125</v>
      </c>
      <c r="M369" s="39" t="s">
        <v>875</v>
      </c>
      <c r="N369" s="105" t="s">
        <v>1126</v>
      </c>
      <c r="O369" s="39" t="s">
        <v>52</v>
      </c>
      <c r="P369" s="39" t="s">
        <v>806</v>
      </c>
      <c r="Q369" s="40">
        <v>6700</v>
      </c>
      <c r="R369" s="40">
        <v>5115.2157619894597</v>
      </c>
    </row>
    <row r="370" spans="1:18" s="39" customFormat="1" ht="31.25" customHeight="1" x14ac:dyDescent="0.2">
      <c r="A370" s="39" t="s">
        <v>1127</v>
      </c>
      <c r="B370" s="39" t="s">
        <v>59</v>
      </c>
      <c r="C370" s="39" t="s">
        <v>177</v>
      </c>
      <c r="D370" s="39" t="s">
        <v>160</v>
      </c>
      <c r="E370" s="39" t="s">
        <v>133</v>
      </c>
      <c r="F370" s="39" t="s">
        <v>1128</v>
      </c>
      <c r="G370" s="39" t="s">
        <v>125</v>
      </c>
      <c r="H370" s="39" t="s">
        <v>162</v>
      </c>
      <c r="J370" s="39" t="s">
        <v>124</v>
      </c>
      <c r="L370" s="39" t="s">
        <v>1129</v>
      </c>
      <c r="M370" s="39" t="s">
        <v>875</v>
      </c>
      <c r="N370" s="76" t="s">
        <v>1130</v>
      </c>
      <c r="O370" s="39" t="s">
        <v>52</v>
      </c>
      <c r="P370" s="39" t="s">
        <v>806</v>
      </c>
      <c r="Q370" s="40">
        <v>140.4</v>
      </c>
      <c r="R370" s="40">
        <v>107.19049149004778</v>
      </c>
    </row>
    <row r="371" spans="1:18" s="39" customFormat="1" ht="31.25" customHeight="1" x14ac:dyDescent="0.2">
      <c r="A371" s="39" t="s">
        <v>1131</v>
      </c>
      <c r="B371" s="39" t="s">
        <v>59</v>
      </c>
      <c r="C371" s="39" t="s">
        <v>120</v>
      </c>
      <c r="D371" s="39" t="s">
        <v>160</v>
      </c>
      <c r="E371" s="39" t="s">
        <v>251</v>
      </c>
      <c r="F371" s="39" t="s">
        <v>1030</v>
      </c>
      <c r="G371" s="39" t="s">
        <v>125</v>
      </c>
      <c r="H371" s="39" t="s">
        <v>162</v>
      </c>
      <c r="J371" s="39" t="s">
        <v>124</v>
      </c>
      <c r="L371" s="39" t="s">
        <v>1132</v>
      </c>
      <c r="M371" s="39" t="s">
        <v>875</v>
      </c>
      <c r="N371" s="105" t="s">
        <v>1133</v>
      </c>
      <c r="O371" s="39" t="s">
        <v>52</v>
      </c>
      <c r="P371" s="39" t="s">
        <v>806</v>
      </c>
      <c r="Q371" s="40">
        <v>5</v>
      </c>
      <c r="R371" s="40">
        <v>3.8173251955145222</v>
      </c>
    </row>
    <row r="372" spans="1:18" s="39" customFormat="1" ht="31.25" customHeight="1" x14ac:dyDescent="0.2">
      <c r="A372" s="39" t="s">
        <v>1134</v>
      </c>
      <c r="B372" s="39" t="s">
        <v>59</v>
      </c>
      <c r="C372" s="39" t="s">
        <v>171</v>
      </c>
      <c r="D372" s="39" t="s">
        <v>137</v>
      </c>
      <c r="E372" s="39" t="s">
        <v>133</v>
      </c>
      <c r="G372" s="39" t="s">
        <v>125</v>
      </c>
      <c r="L372" s="39" t="s">
        <v>1135</v>
      </c>
      <c r="M372" s="39" t="s">
        <v>875</v>
      </c>
      <c r="N372" s="76" t="s">
        <v>1136</v>
      </c>
      <c r="O372" s="39" t="s">
        <v>52</v>
      </c>
      <c r="Q372" s="40"/>
      <c r="R372" s="40" t="s">
        <v>1604</v>
      </c>
    </row>
    <row r="373" spans="1:18" s="39" customFormat="1" ht="31.25" customHeight="1" x14ac:dyDescent="0.2">
      <c r="A373" s="39" t="s">
        <v>1137</v>
      </c>
      <c r="B373" s="39" t="s">
        <v>59</v>
      </c>
      <c r="C373" s="39" t="s">
        <v>171</v>
      </c>
      <c r="D373" s="39" t="s">
        <v>160</v>
      </c>
      <c r="E373" s="39" t="s">
        <v>151</v>
      </c>
      <c r="G373" s="39" t="s">
        <v>125</v>
      </c>
      <c r="L373" s="39" t="s">
        <v>1138</v>
      </c>
      <c r="M373" s="39" t="s">
        <v>875</v>
      </c>
      <c r="N373" s="76" t="s">
        <v>1139</v>
      </c>
      <c r="O373" s="39" t="s">
        <v>53</v>
      </c>
      <c r="Q373" s="40"/>
      <c r="R373" s="40" t="s">
        <v>1604</v>
      </c>
    </row>
    <row r="374" spans="1:18" s="39" customFormat="1" ht="31.25" customHeight="1" x14ac:dyDescent="0.2">
      <c r="A374" s="39" t="s">
        <v>1140</v>
      </c>
      <c r="B374" s="39" t="s">
        <v>59</v>
      </c>
      <c r="C374" s="39" t="s">
        <v>120</v>
      </c>
      <c r="D374" s="39" t="s">
        <v>121</v>
      </c>
      <c r="E374" s="39" t="s">
        <v>251</v>
      </c>
      <c r="F374" s="39" t="s">
        <v>1141</v>
      </c>
      <c r="G374" s="39" t="s">
        <v>125</v>
      </c>
      <c r="H374" s="39" t="s">
        <v>162</v>
      </c>
      <c r="J374" s="39" t="s">
        <v>124</v>
      </c>
      <c r="L374" s="39" t="s">
        <v>1142</v>
      </c>
      <c r="M374" s="39" t="s">
        <v>875</v>
      </c>
      <c r="N374" s="105" t="s">
        <v>1143</v>
      </c>
      <c r="O374" s="39" t="s">
        <v>52</v>
      </c>
      <c r="P374" s="39" t="s">
        <v>806</v>
      </c>
      <c r="Q374" s="40">
        <v>150</v>
      </c>
      <c r="R374" s="40">
        <v>114.51975586543566</v>
      </c>
    </row>
    <row r="375" spans="1:18" s="39" customFormat="1" ht="31.25" customHeight="1" x14ac:dyDescent="0.2">
      <c r="A375" s="39" t="s">
        <v>1144</v>
      </c>
      <c r="B375" s="39" t="s">
        <v>59</v>
      </c>
      <c r="C375" s="39" t="s">
        <v>120</v>
      </c>
      <c r="D375" s="39" t="s">
        <v>121</v>
      </c>
      <c r="E375" s="39" t="s">
        <v>166</v>
      </c>
      <c r="F375" s="39" t="s">
        <v>1145</v>
      </c>
      <c r="G375" s="39" t="s">
        <v>125</v>
      </c>
      <c r="J375" s="39" t="s">
        <v>124</v>
      </c>
      <c r="L375" s="39" t="s">
        <v>1146</v>
      </c>
      <c r="M375" s="39" t="s">
        <v>875</v>
      </c>
      <c r="N375" s="105" t="s">
        <v>1147</v>
      </c>
      <c r="O375" s="39" t="s">
        <v>52</v>
      </c>
      <c r="P375" s="39" t="s">
        <v>806</v>
      </c>
      <c r="Q375" s="40">
        <v>2600</v>
      </c>
      <c r="R375" s="40">
        <v>1985.0091016675515</v>
      </c>
    </row>
    <row r="376" spans="1:18" s="39" customFormat="1" ht="31.25" customHeight="1" x14ac:dyDescent="0.2">
      <c r="A376" s="39" t="s">
        <v>1148</v>
      </c>
      <c r="B376" s="39" t="s">
        <v>59</v>
      </c>
      <c r="C376" s="39" t="s">
        <v>188</v>
      </c>
      <c r="D376" s="39" t="s">
        <v>160</v>
      </c>
      <c r="E376" s="39" t="s">
        <v>151</v>
      </c>
      <c r="F376" s="39" t="s">
        <v>1149</v>
      </c>
      <c r="G376" s="39" t="s">
        <v>125</v>
      </c>
      <c r="L376" s="39" t="s">
        <v>1150</v>
      </c>
      <c r="M376" s="39" t="s">
        <v>875</v>
      </c>
      <c r="N376" s="76" t="s">
        <v>1151</v>
      </c>
      <c r="O376" s="39" t="s">
        <v>54</v>
      </c>
      <c r="P376" s="39" t="s">
        <v>806</v>
      </c>
      <c r="Q376" s="40">
        <v>262</v>
      </c>
      <c r="R376" s="40">
        <v>200.02784024496094</v>
      </c>
    </row>
    <row r="377" spans="1:18" s="39" customFormat="1" ht="31.25" customHeight="1" x14ac:dyDescent="0.2">
      <c r="A377" s="39" t="s">
        <v>1152</v>
      </c>
      <c r="B377" s="39" t="s">
        <v>59</v>
      </c>
      <c r="C377" s="39" t="s">
        <v>177</v>
      </c>
      <c r="D377" s="39" t="s">
        <v>137</v>
      </c>
      <c r="E377" s="39" t="s">
        <v>133</v>
      </c>
      <c r="F377" s="39" t="s">
        <v>1153</v>
      </c>
      <c r="G377" s="39" t="s">
        <v>125</v>
      </c>
      <c r="J377" s="39" t="s">
        <v>124</v>
      </c>
      <c r="L377" s="39" t="s">
        <v>1154</v>
      </c>
      <c r="M377" s="39" t="s">
        <v>875</v>
      </c>
      <c r="N377" s="105" t="s">
        <v>1155</v>
      </c>
      <c r="O377" s="39" t="s">
        <v>52</v>
      </c>
      <c r="P377" s="39" t="s">
        <v>806</v>
      </c>
      <c r="Q377" s="40">
        <v>8000</v>
      </c>
      <c r="R377" s="40">
        <v>6107.720312823235</v>
      </c>
    </row>
    <row r="378" spans="1:18" s="39" customFormat="1" ht="31.25" customHeight="1" x14ac:dyDescent="0.2">
      <c r="A378" s="39" t="s">
        <v>1156</v>
      </c>
      <c r="B378" s="39" t="s">
        <v>59</v>
      </c>
      <c r="C378" s="39" t="s">
        <v>171</v>
      </c>
      <c r="D378" s="39" t="s">
        <v>137</v>
      </c>
      <c r="E378" s="39" t="s">
        <v>133</v>
      </c>
      <c r="G378" s="39" t="s">
        <v>125</v>
      </c>
      <c r="J378" s="39" t="s">
        <v>124</v>
      </c>
      <c r="L378" s="39" t="s">
        <v>1157</v>
      </c>
      <c r="M378" s="39" t="s">
        <v>875</v>
      </c>
      <c r="N378" s="105" t="s">
        <v>1155</v>
      </c>
      <c r="O378" s="39" t="s">
        <v>52</v>
      </c>
      <c r="Q378" s="40"/>
      <c r="R378" s="40" t="s">
        <v>1604</v>
      </c>
    </row>
    <row r="379" spans="1:18" s="39" customFormat="1" ht="31.25" customHeight="1" x14ac:dyDescent="0.2">
      <c r="A379" s="39" t="s">
        <v>1158</v>
      </c>
      <c r="B379" s="39" t="s">
        <v>59</v>
      </c>
      <c r="C379" s="39" t="s">
        <v>177</v>
      </c>
      <c r="D379" s="39" t="s">
        <v>137</v>
      </c>
      <c r="E379" s="39" t="s">
        <v>133</v>
      </c>
      <c r="G379" s="39" t="s">
        <v>125</v>
      </c>
      <c r="J379" s="39" t="s">
        <v>124</v>
      </c>
      <c r="L379" s="39" t="s">
        <v>1159</v>
      </c>
      <c r="M379" s="39" t="s">
        <v>875</v>
      </c>
      <c r="N379" s="105" t="s">
        <v>1155</v>
      </c>
      <c r="O379" s="39" t="s">
        <v>52</v>
      </c>
      <c r="Q379" s="40"/>
      <c r="R379" s="40" t="s">
        <v>1604</v>
      </c>
    </row>
    <row r="380" spans="1:18" s="39" customFormat="1" ht="31.25" customHeight="1" x14ac:dyDescent="0.2">
      <c r="A380" s="39" t="s">
        <v>1160</v>
      </c>
      <c r="B380" s="39" t="s">
        <v>59</v>
      </c>
      <c r="C380" s="39" t="s">
        <v>177</v>
      </c>
      <c r="D380" s="39" t="s">
        <v>137</v>
      </c>
      <c r="E380" s="39" t="s">
        <v>133</v>
      </c>
      <c r="F380" s="39" t="s">
        <v>958</v>
      </c>
      <c r="G380" s="39" t="s">
        <v>125</v>
      </c>
      <c r="H380" s="39" t="s">
        <v>162</v>
      </c>
      <c r="J380" s="39" t="s">
        <v>124</v>
      </c>
      <c r="L380" s="39" t="s">
        <v>1161</v>
      </c>
      <c r="M380" s="39" t="s">
        <v>875</v>
      </c>
      <c r="N380" s="105" t="s">
        <v>1155</v>
      </c>
      <c r="O380" s="39" t="s">
        <v>52</v>
      </c>
      <c r="P380" s="39" t="s">
        <v>806</v>
      </c>
      <c r="Q380" s="40">
        <v>300</v>
      </c>
      <c r="R380" s="40">
        <v>229.03951173087131</v>
      </c>
    </row>
    <row r="381" spans="1:18" s="39" customFormat="1" ht="31.25" customHeight="1" x14ac:dyDescent="0.2">
      <c r="A381" s="39" t="s">
        <v>1162</v>
      </c>
      <c r="B381" s="39" t="s">
        <v>59</v>
      </c>
      <c r="C381" s="39" t="s">
        <v>177</v>
      </c>
      <c r="D381" s="39" t="s">
        <v>137</v>
      </c>
      <c r="E381" s="39" t="s">
        <v>133</v>
      </c>
      <c r="F381" s="39" t="s">
        <v>1163</v>
      </c>
      <c r="G381" s="39" t="s">
        <v>125</v>
      </c>
      <c r="H381" s="39" t="s">
        <v>162</v>
      </c>
      <c r="J381" s="39" t="s">
        <v>124</v>
      </c>
      <c r="L381" s="39" t="s">
        <v>1164</v>
      </c>
      <c r="M381" s="39" t="s">
        <v>875</v>
      </c>
      <c r="N381" s="105" t="s">
        <v>1155</v>
      </c>
      <c r="O381" s="39" t="s">
        <v>52</v>
      </c>
      <c r="P381" s="39" t="s">
        <v>806</v>
      </c>
      <c r="Q381" s="40">
        <v>964</v>
      </c>
      <c r="R381" s="40">
        <v>735.98029769519985</v>
      </c>
    </row>
    <row r="382" spans="1:18" s="39" customFormat="1" ht="31.25" customHeight="1" x14ac:dyDescent="0.2">
      <c r="A382" s="39" t="s">
        <v>1165</v>
      </c>
      <c r="B382" s="39" t="s">
        <v>59</v>
      </c>
      <c r="C382" s="39" t="s">
        <v>177</v>
      </c>
      <c r="D382" s="39" t="s">
        <v>137</v>
      </c>
      <c r="E382" s="39" t="s">
        <v>133</v>
      </c>
      <c r="F382" s="39" t="s">
        <v>1166</v>
      </c>
      <c r="G382" s="39" t="s">
        <v>125</v>
      </c>
      <c r="J382" s="39" t="s">
        <v>124</v>
      </c>
      <c r="L382" s="39" t="s">
        <v>1167</v>
      </c>
      <c r="M382" s="39" t="s">
        <v>875</v>
      </c>
      <c r="N382" s="105" t="s">
        <v>1155</v>
      </c>
      <c r="O382" s="39" t="s">
        <v>52</v>
      </c>
      <c r="P382" s="39" t="s">
        <v>806</v>
      </c>
      <c r="Q382" s="40">
        <v>287</v>
      </c>
      <c r="R382" s="40">
        <v>219.11446622253357</v>
      </c>
    </row>
    <row r="383" spans="1:18" s="39" customFormat="1" ht="31.25" customHeight="1" x14ac:dyDescent="0.2">
      <c r="A383" s="39" t="s">
        <v>1168</v>
      </c>
      <c r="B383" s="39" t="s">
        <v>59</v>
      </c>
      <c r="C383" s="39" t="s">
        <v>177</v>
      </c>
      <c r="D383" s="39" t="s">
        <v>137</v>
      </c>
      <c r="E383" s="39" t="s">
        <v>133</v>
      </c>
      <c r="F383" s="39" t="s">
        <v>953</v>
      </c>
      <c r="G383" s="39" t="s">
        <v>125</v>
      </c>
      <c r="H383" s="39" t="s">
        <v>162</v>
      </c>
      <c r="J383" s="39" t="s">
        <v>124</v>
      </c>
      <c r="L383" s="39" t="s">
        <v>1169</v>
      </c>
      <c r="M383" s="39" t="s">
        <v>875</v>
      </c>
      <c r="N383" s="105" t="s">
        <v>1155</v>
      </c>
      <c r="O383" s="39" t="s">
        <v>52</v>
      </c>
      <c r="P383" s="39" t="s">
        <v>806</v>
      </c>
      <c r="Q383" s="40">
        <v>1500</v>
      </c>
      <c r="R383" s="40">
        <v>1145.1975586543565</v>
      </c>
    </row>
    <row r="384" spans="1:18" s="39" customFormat="1" ht="31.25" customHeight="1" x14ac:dyDescent="0.2">
      <c r="A384" s="39" t="s">
        <v>1170</v>
      </c>
      <c r="B384" s="39" t="s">
        <v>59</v>
      </c>
      <c r="C384" s="39" t="s">
        <v>177</v>
      </c>
      <c r="D384" s="39" t="s">
        <v>137</v>
      </c>
      <c r="E384" s="39" t="s">
        <v>133</v>
      </c>
      <c r="F384" s="39" t="s">
        <v>953</v>
      </c>
      <c r="G384" s="39" t="s">
        <v>125</v>
      </c>
      <c r="H384" s="39" t="s">
        <v>162</v>
      </c>
      <c r="J384" s="39" t="s">
        <v>124</v>
      </c>
      <c r="L384" s="39" t="s">
        <v>1171</v>
      </c>
      <c r="M384" s="39" t="s">
        <v>875</v>
      </c>
      <c r="N384" s="105" t="s">
        <v>1155</v>
      </c>
      <c r="O384" s="39" t="s">
        <v>52</v>
      </c>
      <c r="P384" s="39" t="s">
        <v>806</v>
      </c>
      <c r="Q384" s="40">
        <v>1500</v>
      </c>
      <c r="R384" s="40">
        <v>1145.1975586543565</v>
      </c>
    </row>
    <row r="385" spans="1:18" s="39" customFormat="1" ht="31.25" customHeight="1" x14ac:dyDescent="0.2">
      <c r="A385" s="39" t="s">
        <v>1172</v>
      </c>
      <c r="B385" s="39" t="s">
        <v>59</v>
      </c>
      <c r="C385" s="39" t="s">
        <v>171</v>
      </c>
      <c r="D385" s="39" t="s">
        <v>160</v>
      </c>
      <c r="E385" s="39" t="s">
        <v>133</v>
      </c>
      <c r="G385" s="39" t="s">
        <v>125</v>
      </c>
      <c r="J385" s="39" t="s">
        <v>124</v>
      </c>
      <c r="L385" s="39" t="s">
        <v>1173</v>
      </c>
      <c r="M385" s="39" t="s">
        <v>875</v>
      </c>
      <c r="N385" s="105" t="s">
        <v>1174</v>
      </c>
      <c r="O385" s="39" t="s">
        <v>52</v>
      </c>
      <c r="Q385" s="40"/>
      <c r="R385" s="40" t="s">
        <v>1604</v>
      </c>
    </row>
    <row r="386" spans="1:18" s="39" customFormat="1" ht="31.25" customHeight="1" x14ac:dyDescent="0.2">
      <c r="A386" s="39" t="s">
        <v>1175</v>
      </c>
      <c r="B386" s="39" t="s">
        <v>59</v>
      </c>
      <c r="C386" s="39" t="s">
        <v>120</v>
      </c>
      <c r="D386" s="39" t="s">
        <v>137</v>
      </c>
      <c r="E386" s="39" t="s">
        <v>151</v>
      </c>
      <c r="F386" s="39" t="s">
        <v>1176</v>
      </c>
      <c r="G386" s="39" t="s">
        <v>125</v>
      </c>
      <c r="J386" s="39" t="s">
        <v>124</v>
      </c>
      <c r="L386" s="39" t="s">
        <v>1177</v>
      </c>
      <c r="M386" s="39" t="s">
        <v>875</v>
      </c>
      <c r="N386" s="105" t="s">
        <v>1178</v>
      </c>
      <c r="O386" s="39" t="s">
        <v>52</v>
      </c>
      <c r="P386" s="39" t="s">
        <v>806</v>
      </c>
      <c r="Q386" s="40">
        <v>0.5</v>
      </c>
      <c r="R386" s="40">
        <v>0.38173251955145221</v>
      </c>
    </row>
    <row r="387" spans="1:18" s="39" customFormat="1" ht="31.25" customHeight="1" x14ac:dyDescent="0.2">
      <c r="A387" s="39" t="s">
        <v>1179</v>
      </c>
      <c r="B387" s="39" t="s">
        <v>59</v>
      </c>
      <c r="C387" s="39" t="s">
        <v>188</v>
      </c>
      <c r="D387" s="39" t="s">
        <v>160</v>
      </c>
      <c r="E387" s="39" t="s">
        <v>151</v>
      </c>
      <c r="G387" s="39" t="s">
        <v>125</v>
      </c>
      <c r="J387" s="39" t="s">
        <v>124</v>
      </c>
      <c r="L387" s="39" t="s">
        <v>1180</v>
      </c>
      <c r="M387" s="39" t="s">
        <v>875</v>
      </c>
      <c r="N387" s="105" t="s">
        <v>1181</v>
      </c>
      <c r="O387" s="39" t="s">
        <v>52</v>
      </c>
      <c r="Q387" s="40"/>
      <c r="R387" s="40" t="s">
        <v>1604</v>
      </c>
    </row>
    <row r="388" spans="1:18" s="39" customFormat="1" ht="31.25" customHeight="1" x14ac:dyDescent="0.2">
      <c r="A388" s="39" t="s">
        <v>1182</v>
      </c>
      <c r="B388" s="39" t="s">
        <v>59</v>
      </c>
      <c r="C388" s="39" t="s">
        <v>120</v>
      </c>
      <c r="D388" s="39" t="s">
        <v>160</v>
      </c>
      <c r="E388" s="39" t="s">
        <v>251</v>
      </c>
      <c r="F388" s="39" t="s">
        <v>1183</v>
      </c>
      <c r="G388" s="39" t="s">
        <v>125</v>
      </c>
      <c r="H388" s="39" t="s">
        <v>162</v>
      </c>
      <c r="J388" s="39" t="s">
        <v>124</v>
      </c>
      <c r="L388" s="39" t="s">
        <v>1184</v>
      </c>
      <c r="M388" s="39" t="s">
        <v>875</v>
      </c>
      <c r="N388" s="76" t="s">
        <v>1185</v>
      </c>
      <c r="O388" s="39" t="s">
        <v>52</v>
      </c>
      <c r="P388" s="39" t="s">
        <v>806</v>
      </c>
      <c r="Q388" s="40">
        <v>1.1200000000000001</v>
      </c>
      <c r="R388" s="40">
        <v>0.85508084379525306</v>
      </c>
    </row>
    <row r="389" spans="1:18" s="39" customFormat="1" ht="31.25" customHeight="1" x14ac:dyDescent="0.2">
      <c r="A389" s="39" t="s">
        <v>1186</v>
      </c>
      <c r="B389" s="39" t="s">
        <v>59</v>
      </c>
      <c r="C389" s="39" t="s">
        <v>188</v>
      </c>
      <c r="D389" s="39" t="s">
        <v>160</v>
      </c>
      <c r="E389" s="39" t="s">
        <v>251</v>
      </c>
      <c r="F389" s="39" t="s">
        <v>1187</v>
      </c>
      <c r="G389" s="39" t="s">
        <v>125</v>
      </c>
      <c r="H389" s="39" t="s">
        <v>162</v>
      </c>
      <c r="J389" s="39" t="s">
        <v>124</v>
      </c>
      <c r="L389" s="39" t="s">
        <v>1188</v>
      </c>
      <c r="M389" s="39" t="s">
        <v>875</v>
      </c>
      <c r="N389" s="105" t="s">
        <v>1189</v>
      </c>
      <c r="O389" s="39" t="s">
        <v>52</v>
      </c>
      <c r="P389" s="39" t="s">
        <v>806</v>
      </c>
      <c r="Q389" s="40">
        <v>42</v>
      </c>
      <c r="R389" s="40">
        <v>32.065531642321986</v>
      </c>
    </row>
    <row r="390" spans="1:18" s="39" customFormat="1" ht="31.25" customHeight="1" x14ac:dyDescent="0.2">
      <c r="A390" s="39" t="s">
        <v>1190</v>
      </c>
      <c r="B390" s="39" t="s">
        <v>59</v>
      </c>
      <c r="C390" s="39" t="s">
        <v>120</v>
      </c>
      <c r="D390" s="39" t="s">
        <v>160</v>
      </c>
      <c r="E390" s="39" t="s">
        <v>151</v>
      </c>
      <c r="F390" s="39" t="s">
        <v>1191</v>
      </c>
      <c r="G390" s="39" t="s">
        <v>125</v>
      </c>
      <c r="J390" s="39" t="s">
        <v>124</v>
      </c>
      <c r="L390" s="39" t="s">
        <v>1192</v>
      </c>
      <c r="M390" s="39" t="s">
        <v>875</v>
      </c>
      <c r="N390" s="105" t="s">
        <v>1193</v>
      </c>
      <c r="O390" s="39" t="s">
        <v>54</v>
      </c>
      <c r="P390" s="39" t="s">
        <v>806</v>
      </c>
      <c r="Q390" s="40">
        <v>16.600000000000001</v>
      </c>
      <c r="R390" s="40">
        <v>12.673519649108215</v>
      </c>
    </row>
    <row r="391" spans="1:18" s="39" customFormat="1" ht="31.25" customHeight="1" x14ac:dyDescent="0.2">
      <c r="A391" s="39" t="s">
        <v>1194</v>
      </c>
      <c r="B391" s="39" t="s">
        <v>59</v>
      </c>
      <c r="C391" s="39" t="s">
        <v>188</v>
      </c>
      <c r="D391" s="39" t="s">
        <v>160</v>
      </c>
      <c r="E391" s="39" t="s">
        <v>151</v>
      </c>
      <c r="F391" s="39" t="s">
        <v>1195</v>
      </c>
      <c r="G391" s="39" t="s">
        <v>125</v>
      </c>
      <c r="J391" s="39" t="s">
        <v>124</v>
      </c>
      <c r="L391" s="39" t="s">
        <v>1196</v>
      </c>
      <c r="M391" s="39" t="s">
        <v>875</v>
      </c>
      <c r="N391" s="39" t="s">
        <v>1197</v>
      </c>
      <c r="O391" s="39" t="s">
        <v>52</v>
      </c>
      <c r="P391" s="39" t="s">
        <v>806</v>
      </c>
      <c r="Q391" s="40">
        <v>32.299999999999997</v>
      </c>
      <c r="R391" s="40">
        <v>24.659920763023809</v>
      </c>
    </row>
    <row r="392" spans="1:18" s="39" customFormat="1" ht="31.25" customHeight="1" x14ac:dyDescent="0.2">
      <c r="A392" s="39" t="s">
        <v>1198</v>
      </c>
      <c r="B392" s="39" t="s">
        <v>59</v>
      </c>
      <c r="C392" s="39" t="s">
        <v>177</v>
      </c>
      <c r="D392" s="39" t="s">
        <v>121</v>
      </c>
      <c r="E392" s="39" t="s">
        <v>122</v>
      </c>
      <c r="F392" s="39" t="s">
        <v>1199</v>
      </c>
      <c r="G392" s="39" t="s">
        <v>125</v>
      </c>
      <c r="J392" s="39" t="s">
        <v>124</v>
      </c>
      <c r="L392" s="39" t="s">
        <v>1200</v>
      </c>
      <c r="M392" s="39" t="s">
        <v>875</v>
      </c>
      <c r="N392" s="39" t="s">
        <v>1201</v>
      </c>
      <c r="O392" s="39" t="s">
        <v>53</v>
      </c>
      <c r="P392" s="39" t="s">
        <v>806</v>
      </c>
      <c r="Q392" s="40">
        <v>375</v>
      </c>
      <c r="R392" s="40">
        <v>286.29938966358912</v>
      </c>
    </row>
    <row r="393" spans="1:18" s="39" customFormat="1" ht="31.25" customHeight="1" x14ac:dyDescent="0.2">
      <c r="A393" s="39" t="s">
        <v>1202</v>
      </c>
      <c r="B393" s="39" t="s">
        <v>59</v>
      </c>
      <c r="C393" s="39" t="s">
        <v>120</v>
      </c>
      <c r="D393" s="39" t="s">
        <v>160</v>
      </c>
      <c r="E393" s="39" t="s">
        <v>122</v>
      </c>
      <c r="F393" s="39" t="s">
        <v>1002</v>
      </c>
      <c r="G393" s="39" t="s">
        <v>125</v>
      </c>
      <c r="J393" s="39" t="s">
        <v>124</v>
      </c>
      <c r="L393" s="39" t="s">
        <v>1203</v>
      </c>
      <c r="M393" s="39" t="s">
        <v>875</v>
      </c>
      <c r="N393" s="76" t="s">
        <v>1204</v>
      </c>
      <c r="O393" s="39" t="s">
        <v>54</v>
      </c>
      <c r="P393" s="39" t="s">
        <v>806</v>
      </c>
      <c r="Q393" s="40">
        <v>12</v>
      </c>
      <c r="R393" s="40">
        <v>9.1615804692348526</v>
      </c>
    </row>
    <row r="394" spans="1:18" s="39" customFormat="1" ht="31.25" customHeight="1" x14ac:dyDescent="0.2">
      <c r="A394" s="39" t="s">
        <v>1205</v>
      </c>
      <c r="B394" s="39" t="s">
        <v>59</v>
      </c>
      <c r="C394" s="39" t="s">
        <v>188</v>
      </c>
      <c r="D394" s="39" t="s">
        <v>160</v>
      </c>
      <c r="E394" s="39" t="s">
        <v>251</v>
      </c>
      <c r="F394" s="39" t="s">
        <v>295</v>
      </c>
      <c r="G394" s="39" t="s">
        <v>125</v>
      </c>
      <c r="H394" s="39" t="s">
        <v>162</v>
      </c>
      <c r="J394" s="39" t="s">
        <v>124</v>
      </c>
      <c r="L394" s="39" t="s">
        <v>1206</v>
      </c>
      <c r="M394" s="39" t="s">
        <v>875</v>
      </c>
      <c r="N394" s="76" t="s">
        <v>1207</v>
      </c>
      <c r="O394" s="39" t="s">
        <v>52</v>
      </c>
      <c r="Q394" s="39" t="s">
        <v>5396</v>
      </c>
      <c r="R394" s="40" t="s">
        <v>1604</v>
      </c>
    </row>
    <row r="395" spans="1:18" s="39" customFormat="1" ht="31.25" customHeight="1" x14ac:dyDescent="0.2">
      <c r="A395" s="39" t="s">
        <v>1208</v>
      </c>
      <c r="B395" s="39" t="s">
        <v>59</v>
      </c>
      <c r="C395" s="39" t="s">
        <v>120</v>
      </c>
      <c r="D395" s="39" t="s">
        <v>137</v>
      </c>
      <c r="E395" s="39" t="s">
        <v>251</v>
      </c>
      <c r="F395" s="39" t="s">
        <v>1209</v>
      </c>
      <c r="G395" s="39" t="s">
        <v>125</v>
      </c>
      <c r="H395" s="39" t="s">
        <v>162</v>
      </c>
      <c r="J395" s="39" t="s">
        <v>124</v>
      </c>
      <c r="L395" s="39" t="s">
        <v>1210</v>
      </c>
      <c r="M395" s="39" t="s">
        <v>875</v>
      </c>
      <c r="N395" s="76" t="s">
        <v>1211</v>
      </c>
      <c r="O395" s="39" t="s">
        <v>52</v>
      </c>
      <c r="P395" s="39" t="s">
        <v>806</v>
      </c>
      <c r="Q395" s="40">
        <v>14900</v>
      </c>
      <c r="R395" s="40">
        <v>11375.629082633275</v>
      </c>
    </row>
    <row r="396" spans="1:18" s="39" customFormat="1" ht="31.25" customHeight="1" x14ac:dyDescent="0.2">
      <c r="A396" s="39" t="s">
        <v>1212</v>
      </c>
      <c r="B396" s="39" t="s">
        <v>59</v>
      </c>
      <c r="C396" s="39" t="s">
        <v>280</v>
      </c>
      <c r="D396" s="39" t="s">
        <v>121</v>
      </c>
      <c r="E396" s="39" t="s">
        <v>151</v>
      </c>
      <c r="F396" s="39" t="s">
        <v>1213</v>
      </c>
      <c r="G396" s="39" t="s">
        <v>125</v>
      </c>
      <c r="J396" s="39" t="s">
        <v>124</v>
      </c>
      <c r="L396" s="39" t="s">
        <v>1214</v>
      </c>
      <c r="M396" s="39" t="s">
        <v>875</v>
      </c>
      <c r="N396" s="76" t="s">
        <v>1215</v>
      </c>
      <c r="O396" s="39" t="s">
        <v>52</v>
      </c>
      <c r="P396" s="39" t="s">
        <v>806</v>
      </c>
      <c r="Q396" s="40">
        <v>10.6</v>
      </c>
      <c r="R396" s="40">
        <v>8.0927294144907869</v>
      </c>
    </row>
    <row r="397" spans="1:18" s="39" customFormat="1" ht="31.25" customHeight="1" x14ac:dyDescent="0.2">
      <c r="A397" s="39" t="s">
        <v>1216</v>
      </c>
      <c r="B397" s="39" t="s">
        <v>59</v>
      </c>
      <c r="C397" s="39" t="s">
        <v>188</v>
      </c>
      <c r="D397" s="39" t="s">
        <v>121</v>
      </c>
      <c r="E397" s="39" t="s">
        <v>251</v>
      </c>
      <c r="F397" s="39" t="s">
        <v>1217</v>
      </c>
      <c r="G397" s="39" t="s">
        <v>125</v>
      </c>
      <c r="H397" s="39" t="s">
        <v>162</v>
      </c>
      <c r="J397" s="39" t="s">
        <v>124</v>
      </c>
      <c r="L397" s="39" t="s">
        <v>1218</v>
      </c>
      <c r="M397" s="39" t="s">
        <v>875</v>
      </c>
      <c r="N397" s="76" t="s">
        <v>1219</v>
      </c>
      <c r="O397" s="39" t="s">
        <v>52</v>
      </c>
      <c r="P397" s="39" t="s">
        <v>806</v>
      </c>
      <c r="Q397" s="40">
        <v>9.5</v>
      </c>
      <c r="R397" s="40">
        <v>7.2529178714775915</v>
      </c>
    </row>
    <row r="398" spans="1:18" s="39" customFormat="1" ht="31.25" customHeight="1" x14ac:dyDescent="0.2">
      <c r="A398" s="39" t="s">
        <v>1220</v>
      </c>
      <c r="B398" s="39" t="s">
        <v>59</v>
      </c>
      <c r="C398" s="39" t="s">
        <v>188</v>
      </c>
      <c r="D398" s="39" t="s">
        <v>121</v>
      </c>
      <c r="E398" s="39" t="s">
        <v>151</v>
      </c>
      <c r="F398" s="39" t="s">
        <v>1217</v>
      </c>
      <c r="G398" s="39" t="s">
        <v>125</v>
      </c>
      <c r="J398" s="39" t="s">
        <v>124</v>
      </c>
      <c r="L398" s="39" t="s">
        <v>1221</v>
      </c>
      <c r="M398" s="39" t="s">
        <v>875</v>
      </c>
      <c r="N398" s="76" t="s">
        <v>1219</v>
      </c>
      <c r="O398" s="39" t="s">
        <v>52</v>
      </c>
      <c r="P398" s="39" t="s">
        <v>806</v>
      </c>
      <c r="Q398" s="40">
        <v>9.5</v>
      </c>
      <c r="R398" s="40">
        <v>7.2529178714775915</v>
      </c>
    </row>
    <row r="399" spans="1:18" s="39" customFormat="1" ht="31.25" customHeight="1" x14ac:dyDescent="0.2">
      <c r="A399" s="39" t="s">
        <v>1222</v>
      </c>
      <c r="B399" s="39" t="s">
        <v>59</v>
      </c>
      <c r="C399" s="39" t="s">
        <v>120</v>
      </c>
      <c r="D399" s="39" t="s">
        <v>160</v>
      </c>
      <c r="E399" s="39" t="s">
        <v>251</v>
      </c>
      <c r="F399" s="39" t="s">
        <v>1223</v>
      </c>
      <c r="G399" s="39" t="s">
        <v>125</v>
      </c>
      <c r="H399" s="39" t="s">
        <v>162</v>
      </c>
      <c r="I399" s="39" t="s">
        <v>134</v>
      </c>
      <c r="J399" s="39" t="s">
        <v>124</v>
      </c>
      <c r="L399" s="39" t="s">
        <v>1224</v>
      </c>
      <c r="M399" s="39" t="s">
        <v>875</v>
      </c>
      <c r="N399" s="105" t="s">
        <v>1225</v>
      </c>
      <c r="O399" s="39" t="s">
        <v>54</v>
      </c>
      <c r="P399" s="39" t="s">
        <v>806</v>
      </c>
      <c r="Q399" s="40">
        <v>3900</v>
      </c>
      <c r="R399" s="40">
        <v>2977.5136525013272</v>
      </c>
    </row>
    <row r="400" spans="1:18" s="39" customFormat="1" ht="31.25" customHeight="1" x14ac:dyDescent="0.2">
      <c r="A400" s="39" t="s">
        <v>1226</v>
      </c>
      <c r="B400" s="39" t="s">
        <v>59</v>
      </c>
      <c r="C400" s="39" t="s">
        <v>188</v>
      </c>
      <c r="D400" s="39" t="s">
        <v>160</v>
      </c>
      <c r="E400" s="39" t="s">
        <v>251</v>
      </c>
      <c r="F400" s="39" t="s">
        <v>1227</v>
      </c>
      <c r="G400" s="39" t="s">
        <v>125</v>
      </c>
      <c r="H400" s="39" t="s">
        <v>162</v>
      </c>
      <c r="J400" s="39" t="s">
        <v>124</v>
      </c>
      <c r="L400" s="39" t="s">
        <v>1228</v>
      </c>
      <c r="M400" s="39" t="s">
        <v>875</v>
      </c>
      <c r="N400" s="76" t="s">
        <v>1229</v>
      </c>
      <c r="O400" s="39" t="s">
        <v>54</v>
      </c>
      <c r="P400" s="39" t="s">
        <v>806</v>
      </c>
      <c r="Q400" s="40">
        <v>265</v>
      </c>
      <c r="R400" s="40">
        <v>202.31823536226966</v>
      </c>
    </row>
    <row r="401" spans="1:18" s="39" customFormat="1" ht="31.25" customHeight="1" x14ac:dyDescent="0.2">
      <c r="A401" s="39" t="s">
        <v>1230</v>
      </c>
      <c r="B401" s="39" t="s">
        <v>59</v>
      </c>
      <c r="C401" s="39" t="s">
        <v>120</v>
      </c>
      <c r="D401" s="39" t="s">
        <v>160</v>
      </c>
      <c r="E401" s="39" t="s">
        <v>251</v>
      </c>
      <c r="F401" s="39" t="s">
        <v>975</v>
      </c>
      <c r="G401" s="39" t="s">
        <v>125</v>
      </c>
      <c r="H401" s="39" t="s">
        <v>162</v>
      </c>
      <c r="J401" s="39" t="s">
        <v>124</v>
      </c>
      <c r="L401" s="39" t="s">
        <v>1231</v>
      </c>
      <c r="M401" s="39" t="s">
        <v>875</v>
      </c>
      <c r="N401" s="105" t="s">
        <v>1232</v>
      </c>
      <c r="O401" s="39" t="s">
        <v>52</v>
      </c>
      <c r="P401" s="39" t="s">
        <v>806</v>
      </c>
      <c r="Q401" s="40">
        <v>100</v>
      </c>
      <c r="R401" s="40">
        <v>76.346503910290437</v>
      </c>
    </row>
    <row r="402" spans="1:18" s="39" customFormat="1" ht="31.25" customHeight="1" x14ac:dyDescent="0.2">
      <c r="A402" s="39" t="s">
        <v>1233</v>
      </c>
      <c r="B402" s="39" t="s">
        <v>59</v>
      </c>
      <c r="C402" s="39" t="s">
        <v>120</v>
      </c>
      <c r="D402" s="39" t="s">
        <v>121</v>
      </c>
      <c r="E402" s="39" t="s">
        <v>133</v>
      </c>
      <c r="G402" s="39" t="s">
        <v>125</v>
      </c>
      <c r="H402" s="39" t="s">
        <v>162</v>
      </c>
      <c r="I402" s="39" t="s">
        <v>134</v>
      </c>
      <c r="J402" s="39" t="s">
        <v>124</v>
      </c>
      <c r="L402" s="39" t="s">
        <v>1234</v>
      </c>
      <c r="M402" s="39" t="s">
        <v>875</v>
      </c>
      <c r="N402" s="76" t="s">
        <v>1235</v>
      </c>
      <c r="O402" s="39" t="s">
        <v>53</v>
      </c>
      <c r="P402" s="39" t="s">
        <v>806</v>
      </c>
      <c r="Q402" s="40">
        <v>191.39</v>
      </c>
      <c r="R402" s="40">
        <v>146.11957383390487</v>
      </c>
    </row>
    <row r="403" spans="1:18" s="39" customFormat="1" ht="31.25" customHeight="1" x14ac:dyDescent="0.2">
      <c r="A403" s="39" t="s">
        <v>1236</v>
      </c>
      <c r="B403" s="39" t="s">
        <v>59</v>
      </c>
      <c r="C403" s="39" t="s">
        <v>120</v>
      </c>
      <c r="D403" s="39" t="s">
        <v>160</v>
      </c>
      <c r="E403" s="39" t="s">
        <v>251</v>
      </c>
      <c r="F403" s="39" t="s">
        <v>1237</v>
      </c>
      <c r="G403" s="39" t="s">
        <v>125</v>
      </c>
      <c r="H403" s="39" t="s">
        <v>162</v>
      </c>
      <c r="J403" s="39" t="s">
        <v>124</v>
      </c>
      <c r="L403" s="39" t="s">
        <v>1238</v>
      </c>
      <c r="M403" s="39" t="s">
        <v>875</v>
      </c>
      <c r="N403" s="105" t="s">
        <v>1239</v>
      </c>
      <c r="O403" s="39" t="s">
        <v>52</v>
      </c>
      <c r="P403" s="39" t="s">
        <v>806</v>
      </c>
      <c r="Q403" s="40">
        <v>13</v>
      </c>
      <c r="R403" s="40">
        <v>9.9250455083377567</v>
      </c>
    </row>
    <row r="404" spans="1:18" s="39" customFormat="1" ht="31.25" customHeight="1" x14ac:dyDescent="0.2">
      <c r="A404" s="39" t="s">
        <v>1240</v>
      </c>
      <c r="B404" s="39" t="s">
        <v>59</v>
      </c>
      <c r="C404" s="39" t="s">
        <v>120</v>
      </c>
      <c r="D404" s="39" t="s">
        <v>160</v>
      </c>
      <c r="E404" s="39" t="s">
        <v>133</v>
      </c>
      <c r="F404" s="39" t="s">
        <v>1241</v>
      </c>
      <c r="G404" s="39" t="s">
        <v>125</v>
      </c>
      <c r="J404" s="39" t="s">
        <v>124</v>
      </c>
      <c r="L404" s="39" t="s">
        <v>1242</v>
      </c>
      <c r="M404" s="39" t="s">
        <v>875</v>
      </c>
      <c r="N404" s="105" t="s">
        <v>1243</v>
      </c>
      <c r="O404" s="39" t="s">
        <v>54</v>
      </c>
      <c r="P404" s="39" t="s">
        <v>806</v>
      </c>
      <c r="Q404" s="40">
        <v>528</v>
      </c>
      <c r="R404" s="40">
        <v>403.10954064633353</v>
      </c>
    </row>
    <row r="405" spans="1:18" s="39" customFormat="1" ht="31.25" customHeight="1" x14ac:dyDescent="0.2">
      <c r="A405" s="39" t="s">
        <v>1244</v>
      </c>
      <c r="B405" s="39" t="s">
        <v>59</v>
      </c>
      <c r="C405" s="39" t="s">
        <v>177</v>
      </c>
      <c r="D405" s="39" t="s">
        <v>121</v>
      </c>
      <c r="E405" s="39" t="s">
        <v>122</v>
      </c>
      <c r="F405" s="39" t="s">
        <v>1245</v>
      </c>
      <c r="G405" s="39" t="s">
        <v>125</v>
      </c>
      <c r="J405" s="39" t="s">
        <v>124</v>
      </c>
      <c r="L405" s="39" t="s">
        <v>1246</v>
      </c>
      <c r="M405" s="39" t="s">
        <v>875</v>
      </c>
      <c r="N405" s="76" t="s">
        <v>1247</v>
      </c>
      <c r="O405" s="39" t="s">
        <v>53</v>
      </c>
      <c r="P405" s="39" t="s">
        <v>806</v>
      </c>
      <c r="Q405" s="40">
        <v>5900</v>
      </c>
      <c r="R405" s="40">
        <v>4504.4437307071357</v>
      </c>
    </row>
    <row r="406" spans="1:18" s="39" customFormat="1" ht="31.25" customHeight="1" x14ac:dyDescent="0.2">
      <c r="A406" s="39" t="s">
        <v>1248</v>
      </c>
      <c r="B406" s="39" t="s">
        <v>59</v>
      </c>
      <c r="C406" s="39" t="s">
        <v>120</v>
      </c>
      <c r="D406" s="39" t="s">
        <v>121</v>
      </c>
      <c r="E406" s="39" t="s">
        <v>133</v>
      </c>
      <c r="F406" s="39" t="s">
        <v>1249</v>
      </c>
      <c r="G406" s="39" t="s">
        <v>125</v>
      </c>
      <c r="J406" s="39" t="s">
        <v>124</v>
      </c>
      <c r="L406" s="39" t="s">
        <v>1250</v>
      </c>
      <c r="M406" s="39" t="s">
        <v>875</v>
      </c>
      <c r="N406" s="76" t="s">
        <v>1251</v>
      </c>
      <c r="O406" s="39" t="s">
        <v>52</v>
      </c>
      <c r="P406" s="39" t="s">
        <v>806</v>
      </c>
      <c r="Q406" s="40">
        <v>167</v>
      </c>
      <c r="R406" s="40">
        <v>127.49866153018503</v>
      </c>
    </row>
    <row r="407" spans="1:18" s="39" customFormat="1" ht="31.25" customHeight="1" x14ac:dyDescent="0.2">
      <c r="A407" s="39" t="s">
        <v>1252</v>
      </c>
      <c r="B407" s="39" t="s">
        <v>59</v>
      </c>
      <c r="C407" s="39" t="s">
        <v>120</v>
      </c>
      <c r="D407" s="39" t="s">
        <v>121</v>
      </c>
      <c r="E407" s="39" t="s">
        <v>122</v>
      </c>
      <c r="F407" s="39" t="s">
        <v>1253</v>
      </c>
      <c r="G407" s="39" t="s">
        <v>125</v>
      </c>
      <c r="J407" s="39" t="s">
        <v>124</v>
      </c>
      <c r="L407" s="39" t="s">
        <v>1254</v>
      </c>
      <c r="M407" s="39" t="s">
        <v>875</v>
      </c>
      <c r="N407" s="39" t="s">
        <v>1255</v>
      </c>
      <c r="O407" s="39" t="s">
        <v>54</v>
      </c>
      <c r="P407" s="39" t="s">
        <v>806</v>
      </c>
      <c r="Q407" s="40">
        <v>206</v>
      </c>
      <c r="R407" s="40">
        <v>157.27379805519831</v>
      </c>
    </row>
    <row r="408" spans="1:18" s="39" customFormat="1" ht="31.25" customHeight="1" x14ac:dyDescent="0.2">
      <c r="A408" s="39" t="s">
        <v>1256</v>
      </c>
      <c r="B408" s="39" t="s">
        <v>59</v>
      </c>
      <c r="C408" s="39" t="s">
        <v>120</v>
      </c>
      <c r="D408" s="39" t="s">
        <v>121</v>
      </c>
      <c r="E408" s="39" t="s">
        <v>172</v>
      </c>
      <c r="F408" s="39" t="s">
        <v>1006</v>
      </c>
      <c r="G408" s="39" t="s">
        <v>125</v>
      </c>
      <c r="J408" s="39" t="s">
        <v>124</v>
      </c>
      <c r="L408" s="39" t="s">
        <v>1257</v>
      </c>
      <c r="M408" s="39" t="s">
        <v>875</v>
      </c>
      <c r="N408" s="105" t="s">
        <v>1258</v>
      </c>
      <c r="O408" s="39" t="s">
        <v>52</v>
      </c>
      <c r="P408" s="39" t="s">
        <v>806</v>
      </c>
      <c r="Q408" s="40">
        <v>10</v>
      </c>
      <c r="R408" s="40">
        <v>7.6346503910290444</v>
      </c>
    </row>
    <row r="409" spans="1:18" s="39" customFormat="1" ht="31.25" customHeight="1" x14ac:dyDescent="0.2">
      <c r="A409" s="39" t="s">
        <v>1259</v>
      </c>
      <c r="B409" s="39" t="s">
        <v>59</v>
      </c>
      <c r="C409" s="39" t="s">
        <v>120</v>
      </c>
      <c r="D409" s="39" t="s">
        <v>121</v>
      </c>
      <c r="E409" s="39" t="s">
        <v>151</v>
      </c>
      <c r="F409" s="39" t="s">
        <v>1260</v>
      </c>
      <c r="G409" s="39" t="s">
        <v>125</v>
      </c>
      <c r="H409" s="39" t="s">
        <v>162</v>
      </c>
      <c r="I409" s="39" t="s">
        <v>134</v>
      </c>
      <c r="J409" s="39" t="s">
        <v>124</v>
      </c>
      <c r="L409" s="39" t="s">
        <v>1261</v>
      </c>
      <c r="M409" s="39" t="s">
        <v>875</v>
      </c>
      <c r="N409" s="105" t="s">
        <v>1262</v>
      </c>
      <c r="O409" s="39" t="s">
        <v>52</v>
      </c>
      <c r="P409" s="39" t="s">
        <v>806</v>
      </c>
      <c r="Q409" s="40">
        <v>76.400000000000006</v>
      </c>
      <c r="R409" s="40">
        <v>58.328728987461901</v>
      </c>
    </row>
    <row r="410" spans="1:18" s="39" customFormat="1" ht="31.25" customHeight="1" x14ac:dyDescent="0.2">
      <c r="A410" s="39" t="s">
        <v>1263</v>
      </c>
      <c r="B410" s="39" t="s">
        <v>59</v>
      </c>
      <c r="C410" s="39" t="s">
        <v>188</v>
      </c>
      <c r="D410" s="39" t="s">
        <v>137</v>
      </c>
      <c r="E410" s="39" t="s">
        <v>133</v>
      </c>
      <c r="F410" s="39" t="s">
        <v>1264</v>
      </c>
      <c r="G410" s="39" t="s">
        <v>125</v>
      </c>
      <c r="H410" s="39" t="s">
        <v>162</v>
      </c>
      <c r="J410" s="39" t="s">
        <v>124</v>
      </c>
      <c r="L410" s="39" t="s">
        <v>1265</v>
      </c>
      <c r="M410" s="39" t="s">
        <v>875</v>
      </c>
      <c r="N410" s="76" t="s">
        <v>1262</v>
      </c>
      <c r="O410" s="39" t="s">
        <v>52</v>
      </c>
      <c r="P410" s="39" t="s">
        <v>806</v>
      </c>
      <c r="Q410" s="40">
        <v>187</v>
      </c>
      <c r="R410" s="40">
        <v>142.76796231224313</v>
      </c>
    </row>
    <row r="411" spans="1:18" s="39" customFormat="1" ht="31.25" customHeight="1" x14ac:dyDescent="0.2">
      <c r="A411" s="39" t="s">
        <v>1266</v>
      </c>
      <c r="B411" s="39" t="s">
        <v>59</v>
      </c>
      <c r="C411" s="39" t="s">
        <v>280</v>
      </c>
      <c r="D411" s="39" t="s">
        <v>137</v>
      </c>
      <c r="E411" s="39" t="s">
        <v>151</v>
      </c>
      <c r="F411" s="39" t="s">
        <v>1267</v>
      </c>
      <c r="G411" s="39" t="s">
        <v>162</v>
      </c>
      <c r="H411" s="39" t="s">
        <v>162</v>
      </c>
      <c r="J411" s="39" t="s">
        <v>124</v>
      </c>
      <c r="L411" s="39" t="s">
        <v>1268</v>
      </c>
      <c r="M411" s="39" t="s">
        <v>875</v>
      </c>
      <c r="N411" s="105" t="s">
        <v>1262</v>
      </c>
      <c r="O411" s="39" t="s">
        <v>52</v>
      </c>
      <c r="P411" s="39" t="s">
        <v>806</v>
      </c>
      <c r="Q411" s="40">
        <v>1060</v>
      </c>
      <c r="R411" s="40">
        <v>809.27294144907864</v>
      </c>
    </row>
    <row r="412" spans="1:18" s="39" customFormat="1" ht="31.25" customHeight="1" x14ac:dyDescent="0.2">
      <c r="A412" s="39" t="s">
        <v>1269</v>
      </c>
      <c r="B412" s="39" t="s">
        <v>59</v>
      </c>
      <c r="C412" s="39" t="s">
        <v>280</v>
      </c>
      <c r="D412" s="39" t="s">
        <v>121</v>
      </c>
      <c r="E412" s="39" t="s">
        <v>133</v>
      </c>
      <c r="F412" s="39" t="s">
        <v>1270</v>
      </c>
      <c r="G412" s="39" t="s">
        <v>125</v>
      </c>
      <c r="H412" s="39" t="s">
        <v>152</v>
      </c>
      <c r="J412" s="39" t="s">
        <v>124</v>
      </c>
      <c r="L412" s="39" t="s">
        <v>1271</v>
      </c>
      <c r="M412" s="39" t="s">
        <v>875</v>
      </c>
      <c r="N412" s="105" t="s">
        <v>1262</v>
      </c>
      <c r="O412" s="39" t="s">
        <v>52</v>
      </c>
      <c r="P412" s="39" t="s">
        <v>806</v>
      </c>
      <c r="Q412" s="40">
        <v>46.4</v>
      </c>
      <c r="R412" s="40">
        <v>35.424777814374764</v>
      </c>
    </row>
    <row r="413" spans="1:18" s="39" customFormat="1" ht="31.25" customHeight="1" x14ac:dyDescent="0.2">
      <c r="A413" s="39" t="s">
        <v>1272</v>
      </c>
      <c r="B413" s="39" t="s">
        <v>59</v>
      </c>
      <c r="C413" s="39" t="s">
        <v>177</v>
      </c>
      <c r="D413" s="39" t="s">
        <v>121</v>
      </c>
      <c r="E413" s="39" t="s">
        <v>151</v>
      </c>
      <c r="F413" s="39" t="s">
        <v>1273</v>
      </c>
      <c r="G413" s="39" t="s">
        <v>125</v>
      </c>
      <c r="J413" s="39" t="s">
        <v>124</v>
      </c>
      <c r="L413" s="39" t="s">
        <v>1274</v>
      </c>
      <c r="M413" s="39" t="s">
        <v>875</v>
      </c>
      <c r="N413" s="105" t="s">
        <v>1262</v>
      </c>
      <c r="O413" s="39" t="s">
        <v>52</v>
      </c>
      <c r="P413" s="39" t="s">
        <v>806</v>
      </c>
      <c r="Q413" s="40">
        <v>14.9</v>
      </c>
      <c r="R413" s="40">
        <v>11.375629082633276</v>
      </c>
    </row>
    <row r="414" spans="1:18" s="39" customFormat="1" ht="31.25" customHeight="1" x14ac:dyDescent="0.2">
      <c r="A414" s="39" t="s">
        <v>1275</v>
      </c>
      <c r="B414" s="39" t="s">
        <v>59</v>
      </c>
      <c r="C414" s="39" t="s">
        <v>280</v>
      </c>
      <c r="D414" s="39" t="s">
        <v>121</v>
      </c>
      <c r="E414" s="39" t="s">
        <v>133</v>
      </c>
      <c r="F414" s="39" t="s">
        <v>1276</v>
      </c>
      <c r="G414" s="39" t="s">
        <v>125</v>
      </c>
      <c r="H414" s="39" t="s">
        <v>162</v>
      </c>
      <c r="J414" s="39" t="s">
        <v>124</v>
      </c>
      <c r="L414" s="39" t="s">
        <v>1277</v>
      </c>
      <c r="M414" s="39" t="s">
        <v>875</v>
      </c>
      <c r="N414" s="105" t="s">
        <v>1262</v>
      </c>
      <c r="O414" s="39" t="s">
        <v>52</v>
      </c>
      <c r="P414" s="39" t="s">
        <v>806</v>
      </c>
      <c r="Q414" s="40">
        <v>295.3</v>
      </c>
      <c r="R414" s="40">
        <v>225.45122604708769</v>
      </c>
    </row>
    <row r="415" spans="1:18" s="39" customFormat="1" ht="31.25" customHeight="1" x14ac:dyDescent="0.2">
      <c r="A415" s="39" t="s">
        <v>1278</v>
      </c>
      <c r="B415" s="39" t="s">
        <v>59</v>
      </c>
      <c r="C415" s="39" t="s">
        <v>177</v>
      </c>
      <c r="D415" s="39" t="s">
        <v>137</v>
      </c>
      <c r="E415" s="39" t="s">
        <v>133</v>
      </c>
      <c r="F415" s="39" t="s">
        <v>1279</v>
      </c>
      <c r="G415" s="39" t="s">
        <v>125</v>
      </c>
      <c r="H415" s="39" t="s">
        <v>152</v>
      </c>
      <c r="I415" s="39" t="s">
        <v>162</v>
      </c>
      <c r="J415" s="39" t="s">
        <v>124</v>
      </c>
      <c r="L415" s="39" t="s">
        <v>1280</v>
      </c>
      <c r="M415" s="39" t="s">
        <v>875</v>
      </c>
      <c r="N415" s="76" t="s">
        <v>1262</v>
      </c>
      <c r="O415" s="39" t="s">
        <v>52</v>
      </c>
      <c r="P415" s="39" t="s">
        <v>806</v>
      </c>
      <c r="Q415" s="40">
        <v>347.9</v>
      </c>
      <c r="R415" s="40">
        <v>265.60948710390045</v>
      </c>
    </row>
    <row r="416" spans="1:18" s="39" customFormat="1" ht="31.25" customHeight="1" x14ac:dyDescent="0.2">
      <c r="A416" s="39" t="s">
        <v>1281</v>
      </c>
      <c r="B416" s="39" t="s">
        <v>59</v>
      </c>
      <c r="C416" s="39" t="s">
        <v>280</v>
      </c>
      <c r="D416" s="39" t="s">
        <v>121</v>
      </c>
      <c r="E416" s="39" t="s">
        <v>151</v>
      </c>
      <c r="F416" s="39" t="s">
        <v>1282</v>
      </c>
      <c r="G416" s="39" t="s">
        <v>125</v>
      </c>
      <c r="J416" s="39" t="s">
        <v>124</v>
      </c>
      <c r="L416" s="39" t="s">
        <v>1283</v>
      </c>
      <c r="M416" s="39" t="s">
        <v>875</v>
      </c>
      <c r="O416" s="39" t="s">
        <v>53</v>
      </c>
      <c r="P416" s="39" t="s">
        <v>806</v>
      </c>
      <c r="Q416" s="40">
        <v>319</v>
      </c>
      <c r="R416" s="40">
        <v>243.5453474738265</v>
      </c>
    </row>
    <row r="417" spans="1:18" s="39" customFormat="1" ht="31.25" customHeight="1" x14ac:dyDescent="0.2">
      <c r="A417" s="39" t="s">
        <v>1284</v>
      </c>
      <c r="B417" s="39" t="s">
        <v>59</v>
      </c>
      <c r="C417" s="39" t="s">
        <v>226</v>
      </c>
      <c r="D417" s="39" t="s">
        <v>121</v>
      </c>
      <c r="E417" s="39" t="s">
        <v>151</v>
      </c>
      <c r="F417" s="39" t="s">
        <v>295</v>
      </c>
      <c r="G417" s="39" t="s">
        <v>125</v>
      </c>
      <c r="J417" s="39" t="s">
        <v>124</v>
      </c>
      <c r="L417" s="39" t="s">
        <v>1285</v>
      </c>
      <c r="M417" s="39" t="s">
        <v>875</v>
      </c>
      <c r="N417" s="105" t="s">
        <v>1262</v>
      </c>
      <c r="O417" s="39" t="s">
        <v>53</v>
      </c>
      <c r="R417" s="40" t="s">
        <v>1604</v>
      </c>
    </row>
    <row r="418" spans="1:18" s="39" customFormat="1" ht="31.25" customHeight="1" x14ac:dyDescent="0.2">
      <c r="A418" s="39" t="s">
        <v>1286</v>
      </c>
      <c r="B418" s="39" t="s">
        <v>59</v>
      </c>
      <c r="C418" s="39" t="s">
        <v>120</v>
      </c>
      <c r="D418" s="39" t="s">
        <v>137</v>
      </c>
      <c r="E418" s="39" t="s">
        <v>166</v>
      </c>
      <c r="F418" s="39" t="s">
        <v>1287</v>
      </c>
      <c r="G418" s="39" t="s">
        <v>125</v>
      </c>
      <c r="J418" s="39" t="s">
        <v>124</v>
      </c>
      <c r="L418" s="39" t="s">
        <v>1288</v>
      </c>
      <c r="M418" s="39" t="s">
        <v>875</v>
      </c>
      <c r="N418" s="105" t="s">
        <v>1262</v>
      </c>
      <c r="O418" s="39" t="s">
        <v>52</v>
      </c>
      <c r="P418" s="39" t="s">
        <v>806</v>
      </c>
      <c r="Q418" s="40">
        <v>4400</v>
      </c>
      <c r="R418" s="40">
        <v>3359.2461720527795</v>
      </c>
    </row>
    <row r="419" spans="1:18" s="39" customFormat="1" ht="31.25" customHeight="1" x14ac:dyDescent="0.2">
      <c r="A419" s="39" t="s">
        <v>1289</v>
      </c>
      <c r="B419" s="39" t="s">
        <v>59</v>
      </c>
      <c r="C419" s="39" t="s">
        <v>177</v>
      </c>
      <c r="D419" s="39" t="s">
        <v>160</v>
      </c>
      <c r="E419" s="39" t="s">
        <v>251</v>
      </c>
      <c r="F419" s="39" t="s">
        <v>295</v>
      </c>
      <c r="G419" s="39" t="s">
        <v>125</v>
      </c>
      <c r="H419" s="39" t="s">
        <v>162</v>
      </c>
      <c r="J419" s="39" t="s">
        <v>124</v>
      </c>
      <c r="L419" s="39" t="s">
        <v>1290</v>
      </c>
      <c r="M419" s="39" t="s">
        <v>875</v>
      </c>
      <c r="N419" s="105" t="s">
        <v>1291</v>
      </c>
      <c r="O419" s="39" t="s">
        <v>54</v>
      </c>
      <c r="Q419" s="39" t="s">
        <v>5396</v>
      </c>
      <c r="R419" s="40" t="s">
        <v>1604</v>
      </c>
    </row>
    <row r="420" spans="1:18" s="39" customFormat="1" ht="31.25" customHeight="1" x14ac:dyDescent="0.2">
      <c r="A420" s="39" t="s">
        <v>1292</v>
      </c>
      <c r="B420" s="39" t="s">
        <v>59</v>
      </c>
      <c r="C420" s="39" t="s">
        <v>177</v>
      </c>
      <c r="D420" s="39" t="s">
        <v>160</v>
      </c>
      <c r="E420" s="39" t="s">
        <v>251</v>
      </c>
      <c r="F420" s="39" t="s">
        <v>1293</v>
      </c>
      <c r="G420" s="39" t="s">
        <v>125</v>
      </c>
      <c r="H420" s="39" t="s">
        <v>162</v>
      </c>
      <c r="J420" s="39" t="s">
        <v>124</v>
      </c>
      <c r="L420" s="39" t="s">
        <v>1294</v>
      </c>
      <c r="M420" s="39" t="s">
        <v>875</v>
      </c>
      <c r="N420" s="105" t="s">
        <v>1295</v>
      </c>
      <c r="O420" s="39" t="s">
        <v>52</v>
      </c>
      <c r="P420" s="39" t="s">
        <v>806</v>
      </c>
      <c r="Q420" s="40">
        <v>473</v>
      </c>
      <c r="R420" s="40">
        <v>361.11896349567377</v>
      </c>
    </row>
    <row r="421" spans="1:18" s="39" customFormat="1" ht="31.25" customHeight="1" x14ac:dyDescent="0.2">
      <c r="A421" s="39" t="s">
        <v>1296</v>
      </c>
      <c r="B421" s="39" t="s">
        <v>59</v>
      </c>
      <c r="C421" s="39" t="s">
        <v>177</v>
      </c>
      <c r="D421" s="39" t="s">
        <v>160</v>
      </c>
      <c r="E421" s="39" t="s">
        <v>251</v>
      </c>
      <c r="F421" s="39" t="s">
        <v>1297</v>
      </c>
      <c r="G421" s="39" t="s">
        <v>125</v>
      </c>
      <c r="H421" s="39" t="s">
        <v>162</v>
      </c>
      <c r="J421" s="39" t="s">
        <v>124</v>
      </c>
      <c r="L421" s="39" t="s">
        <v>1298</v>
      </c>
      <c r="M421" s="39" t="s">
        <v>875</v>
      </c>
      <c r="N421" s="105" t="s">
        <v>1295</v>
      </c>
      <c r="O421" s="39" t="s">
        <v>54</v>
      </c>
      <c r="P421" s="39" t="s">
        <v>806</v>
      </c>
      <c r="Q421" s="40">
        <v>968</v>
      </c>
      <c r="R421" s="40">
        <v>739.03415785161144</v>
      </c>
    </row>
    <row r="422" spans="1:18" s="39" customFormat="1" ht="31.25" customHeight="1" x14ac:dyDescent="0.2">
      <c r="A422" s="39" t="s">
        <v>1299</v>
      </c>
      <c r="B422" s="39" t="s">
        <v>59</v>
      </c>
      <c r="C422" s="39" t="s">
        <v>177</v>
      </c>
      <c r="D422" s="39" t="s">
        <v>160</v>
      </c>
      <c r="E422" s="39" t="s">
        <v>251</v>
      </c>
      <c r="F422" s="39" t="s">
        <v>1300</v>
      </c>
      <c r="G422" s="39" t="s">
        <v>125</v>
      </c>
      <c r="H422" s="39" t="s">
        <v>162</v>
      </c>
      <c r="J422" s="39" t="s">
        <v>124</v>
      </c>
      <c r="L422" s="39" t="s">
        <v>1301</v>
      </c>
      <c r="M422" s="39" t="s">
        <v>875</v>
      </c>
      <c r="N422" s="105" t="s">
        <v>1295</v>
      </c>
      <c r="O422" s="39" t="s">
        <v>52</v>
      </c>
      <c r="P422" s="39" t="s">
        <v>806</v>
      </c>
      <c r="Q422" s="40">
        <v>26</v>
      </c>
      <c r="R422" s="40">
        <v>19.850091016675513</v>
      </c>
    </row>
    <row r="423" spans="1:18" s="39" customFormat="1" ht="31.25" customHeight="1" x14ac:dyDescent="0.2">
      <c r="A423" s="39" t="s">
        <v>1302</v>
      </c>
      <c r="B423" s="39" t="s">
        <v>59</v>
      </c>
      <c r="C423" s="39" t="s">
        <v>120</v>
      </c>
      <c r="D423" s="39" t="s">
        <v>160</v>
      </c>
      <c r="E423" s="39" t="s">
        <v>133</v>
      </c>
      <c r="F423" s="39" t="s">
        <v>1303</v>
      </c>
      <c r="G423" s="39" t="s">
        <v>125</v>
      </c>
      <c r="H423" s="39" t="s">
        <v>162</v>
      </c>
      <c r="J423" s="39" t="s">
        <v>124</v>
      </c>
      <c r="L423" s="39" t="s">
        <v>1304</v>
      </c>
      <c r="M423" s="39" t="s">
        <v>875</v>
      </c>
      <c r="N423" s="105" t="s">
        <v>1305</v>
      </c>
      <c r="O423" s="39" t="s">
        <v>52</v>
      </c>
      <c r="P423" s="39" t="s">
        <v>806</v>
      </c>
      <c r="Q423" s="40">
        <v>57</v>
      </c>
      <c r="R423" s="40">
        <v>43.517507228865554</v>
      </c>
    </row>
    <row r="424" spans="1:18" s="39" customFormat="1" ht="31.25" customHeight="1" x14ac:dyDescent="0.2">
      <c r="A424" s="39" t="s">
        <v>1306</v>
      </c>
      <c r="B424" s="39" t="s">
        <v>59</v>
      </c>
      <c r="C424" s="39" t="s">
        <v>177</v>
      </c>
      <c r="D424" s="39" t="s">
        <v>160</v>
      </c>
      <c r="E424" s="39" t="s">
        <v>133</v>
      </c>
      <c r="F424" s="39" t="s">
        <v>1307</v>
      </c>
      <c r="G424" s="39" t="s">
        <v>125</v>
      </c>
      <c r="H424" s="39" t="s">
        <v>162</v>
      </c>
      <c r="J424" s="39" t="s">
        <v>124</v>
      </c>
      <c r="L424" s="39" t="s">
        <v>1308</v>
      </c>
      <c r="M424" s="39" t="s">
        <v>875</v>
      </c>
      <c r="N424" s="105" t="s">
        <v>1305</v>
      </c>
      <c r="O424" s="39" t="s">
        <v>52</v>
      </c>
      <c r="P424" s="39" t="s">
        <v>806</v>
      </c>
      <c r="Q424" s="40">
        <v>276</v>
      </c>
      <c r="R424" s="40">
        <v>210.71635079240161</v>
      </c>
    </row>
    <row r="425" spans="1:18" s="39" customFormat="1" ht="31.25" customHeight="1" x14ac:dyDescent="0.2">
      <c r="A425" s="39" t="s">
        <v>1309</v>
      </c>
      <c r="B425" s="39" t="s">
        <v>59</v>
      </c>
      <c r="C425" s="39" t="s">
        <v>280</v>
      </c>
      <c r="D425" s="39" t="s">
        <v>160</v>
      </c>
      <c r="E425" s="39" t="s">
        <v>151</v>
      </c>
      <c r="F425" s="39" t="s">
        <v>1006</v>
      </c>
      <c r="G425" s="39" t="s">
        <v>125</v>
      </c>
      <c r="H425" s="39" t="s">
        <v>162</v>
      </c>
      <c r="J425" s="39" t="s">
        <v>124</v>
      </c>
      <c r="L425" s="39" t="s">
        <v>1310</v>
      </c>
      <c r="M425" s="39" t="s">
        <v>875</v>
      </c>
      <c r="N425" s="105" t="s">
        <v>1305</v>
      </c>
      <c r="O425" s="39" t="s">
        <v>52</v>
      </c>
      <c r="P425" s="39" t="s">
        <v>806</v>
      </c>
      <c r="Q425" s="40">
        <v>10</v>
      </c>
      <c r="R425" s="40">
        <v>7.6346503910290444</v>
      </c>
    </row>
    <row r="426" spans="1:18" s="39" customFormat="1" ht="31.25" customHeight="1" x14ac:dyDescent="0.2">
      <c r="A426" s="39" t="s">
        <v>1311</v>
      </c>
      <c r="B426" s="39" t="s">
        <v>59</v>
      </c>
      <c r="C426" s="39" t="s">
        <v>120</v>
      </c>
      <c r="D426" s="39" t="s">
        <v>160</v>
      </c>
      <c r="E426" s="39" t="s">
        <v>251</v>
      </c>
      <c r="F426" s="39" t="s">
        <v>1312</v>
      </c>
      <c r="G426" s="39" t="s">
        <v>125</v>
      </c>
      <c r="H426" s="39" t="s">
        <v>162</v>
      </c>
      <c r="J426" s="39" t="s">
        <v>124</v>
      </c>
      <c r="L426" s="39" t="s">
        <v>1313</v>
      </c>
      <c r="M426" s="39" t="s">
        <v>875</v>
      </c>
      <c r="N426" s="105" t="s">
        <v>1295</v>
      </c>
      <c r="O426" s="39" t="s">
        <v>52</v>
      </c>
      <c r="P426" s="39" t="s">
        <v>806</v>
      </c>
      <c r="Q426" s="40">
        <v>25</v>
      </c>
      <c r="R426" s="40">
        <v>19.086625977572609</v>
      </c>
    </row>
    <row r="427" spans="1:18" s="39" customFormat="1" ht="31.25" customHeight="1" x14ac:dyDescent="0.2">
      <c r="A427" s="39" t="s">
        <v>1314</v>
      </c>
      <c r="B427" s="39" t="s">
        <v>59</v>
      </c>
      <c r="C427" s="39" t="s">
        <v>188</v>
      </c>
      <c r="D427" s="39" t="s">
        <v>160</v>
      </c>
      <c r="E427" s="39" t="s">
        <v>251</v>
      </c>
      <c r="F427" s="39" t="s">
        <v>1315</v>
      </c>
      <c r="G427" s="39" t="s">
        <v>125</v>
      </c>
      <c r="H427" s="39" t="s">
        <v>162</v>
      </c>
      <c r="J427" s="39" t="s">
        <v>124</v>
      </c>
      <c r="L427" s="39" t="s">
        <v>1316</v>
      </c>
      <c r="M427" s="39" t="s">
        <v>875</v>
      </c>
      <c r="N427" s="105" t="s">
        <v>1295</v>
      </c>
      <c r="O427" s="39" t="s">
        <v>52</v>
      </c>
      <c r="P427" s="39" t="s">
        <v>806</v>
      </c>
      <c r="Q427" s="40">
        <v>94</v>
      </c>
      <c r="R427" s="40">
        <v>71.765713675673013</v>
      </c>
    </row>
    <row r="428" spans="1:18" s="39" customFormat="1" ht="31.25" customHeight="1" x14ac:dyDescent="0.2">
      <c r="A428" s="39" t="s">
        <v>1317</v>
      </c>
      <c r="B428" s="39" t="s">
        <v>59</v>
      </c>
      <c r="C428" s="39" t="s">
        <v>120</v>
      </c>
      <c r="D428" s="39" t="s">
        <v>121</v>
      </c>
      <c r="E428" s="39" t="s">
        <v>122</v>
      </c>
      <c r="F428" s="39" t="s">
        <v>1318</v>
      </c>
      <c r="G428" s="39" t="s">
        <v>125</v>
      </c>
      <c r="H428" s="39" t="s">
        <v>162</v>
      </c>
      <c r="J428" s="39" t="s">
        <v>124</v>
      </c>
      <c r="L428" s="39" t="s">
        <v>1319</v>
      </c>
      <c r="M428" s="39" t="s">
        <v>875</v>
      </c>
      <c r="N428" s="105" t="s">
        <v>1320</v>
      </c>
      <c r="O428" s="39" t="s">
        <v>54</v>
      </c>
      <c r="P428" s="39" t="s">
        <v>806</v>
      </c>
      <c r="Q428" s="40">
        <v>64.8</v>
      </c>
      <c r="R428" s="40">
        <v>49.472534533868206</v>
      </c>
    </row>
    <row r="429" spans="1:18" s="39" customFormat="1" ht="31.25" customHeight="1" x14ac:dyDescent="0.2">
      <c r="A429" s="39" t="s">
        <v>1321</v>
      </c>
      <c r="B429" s="39" t="s">
        <v>59</v>
      </c>
      <c r="C429" s="39" t="s">
        <v>120</v>
      </c>
      <c r="D429" s="39" t="s">
        <v>121</v>
      </c>
      <c r="E429" s="39" t="s">
        <v>122</v>
      </c>
      <c r="F429" s="39" t="s">
        <v>1322</v>
      </c>
      <c r="G429" s="39" t="s">
        <v>125</v>
      </c>
      <c r="H429" s="39" t="s">
        <v>162</v>
      </c>
      <c r="J429" s="39" t="s">
        <v>124</v>
      </c>
      <c r="L429" s="39" t="s">
        <v>1323</v>
      </c>
      <c r="M429" s="39" t="s">
        <v>875</v>
      </c>
      <c r="N429" s="105" t="s">
        <v>1324</v>
      </c>
      <c r="O429" s="39" t="s">
        <v>54</v>
      </c>
      <c r="P429" s="39" t="s">
        <v>806</v>
      </c>
      <c r="Q429" s="40">
        <v>186</v>
      </c>
      <c r="R429" s="40">
        <v>142.00449727314023</v>
      </c>
    </row>
    <row r="430" spans="1:18" s="39" customFormat="1" ht="31.25" customHeight="1" x14ac:dyDescent="0.2">
      <c r="A430" s="39" t="s">
        <v>1325</v>
      </c>
      <c r="B430" s="39" t="s">
        <v>59</v>
      </c>
      <c r="C430" s="39" t="s">
        <v>120</v>
      </c>
      <c r="D430" s="39" t="s">
        <v>121</v>
      </c>
      <c r="E430" s="39" t="s">
        <v>122</v>
      </c>
      <c r="F430" s="39" t="s">
        <v>1326</v>
      </c>
      <c r="G430" s="39" t="s">
        <v>125</v>
      </c>
      <c r="H430" s="39" t="s">
        <v>162</v>
      </c>
      <c r="J430" s="39" t="s">
        <v>124</v>
      </c>
      <c r="L430" s="39" t="s">
        <v>1327</v>
      </c>
      <c r="M430" s="39" t="s">
        <v>875</v>
      </c>
      <c r="N430" s="105" t="s">
        <v>1328</v>
      </c>
      <c r="O430" s="39" t="s">
        <v>54</v>
      </c>
      <c r="P430" s="39" t="s">
        <v>806</v>
      </c>
      <c r="Q430" s="40">
        <v>489.6</v>
      </c>
      <c r="R430" s="40">
        <v>373.79248314478201</v>
      </c>
    </row>
    <row r="431" spans="1:18" s="39" customFormat="1" ht="31.25" customHeight="1" x14ac:dyDescent="0.2">
      <c r="A431" s="39" t="s">
        <v>1329</v>
      </c>
      <c r="B431" s="39" t="s">
        <v>59</v>
      </c>
      <c r="C431" s="39" t="s">
        <v>188</v>
      </c>
      <c r="D431" s="39" t="s">
        <v>160</v>
      </c>
      <c r="E431" s="39" t="s">
        <v>251</v>
      </c>
      <c r="G431" s="39" t="s">
        <v>125</v>
      </c>
      <c r="H431" s="39" t="s">
        <v>162</v>
      </c>
      <c r="J431" s="39" t="s">
        <v>124</v>
      </c>
      <c r="L431" s="39" t="s">
        <v>1330</v>
      </c>
      <c r="M431" s="39" t="s">
        <v>875</v>
      </c>
      <c r="N431" s="105" t="s">
        <v>1331</v>
      </c>
      <c r="O431" s="39" t="s">
        <v>52</v>
      </c>
      <c r="Q431" s="40"/>
      <c r="R431" s="40" t="s">
        <v>1604</v>
      </c>
    </row>
    <row r="432" spans="1:18" s="39" customFormat="1" ht="31.25" customHeight="1" x14ac:dyDescent="0.2">
      <c r="A432" s="39" t="s">
        <v>1332</v>
      </c>
      <c r="B432" s="39" t="s">
        <v>59</v>
      </c>
      <c r="C432" s="39" t="s">
        <v>120</v>
      </c>
      <c r="D432" s="39" t="s">
        <v>121</v>
      </c>
      <c r="E432" s="39" t="s">
        <v>151</v>
      </c>
      <c r="F432" s="39" t="s">
        <v>1333</v>
      </c>
      <c r="G432" s="39" t="s">
        <v>125</v>
      </c>
      <c r="H432" s="39" t="s">
        <v>162</v>
      </c>
      <c r="J432" s="39" t="s">
        <v>124</v>
      </c>
      <c r="L432" s="39" t="s">
        <v>1334</v>
      </c>
      <c r="M432" s="39" t="s">
        <v>875</v>
      </c>
      <c r="N432" s="105" t="s">
        <v>1335</v>
      </c>
      <c r="O432" s="39" t="s">
        <v>52</v>
      </c>
      <c r="P432" s="39" t="s">
        <v>806</v>
      </c>
      <c r="Q432" s="40">
        <v>1.34</v>
      </c>
      <c r="R432" s="40">
        <v>1.023043152397892</v>
      </c>
    </row>
    <row r="433" spans="1:18" s="39" customFormat="1" ht="31.25" customHeight="1" x14ac:dyDescent="0.2">
      <c r="A433" s="39" t="s">
        <v>1336</v>
      </c>
      <c r="B433" s="39" t="s">
        <v>59</v>
      </c>
      <c r="C433" s="39" t="s">
        <v>120</v>
      </c>
      <c r="D433" s="39" t="s">
        <v>121</v>
      </c>
      <c r="E433" s="39" t="s">
        <v>151</v>
      </c>
      <c r="F433" s="39" t="s">
        <v>1337</v>
      </c>
      <c r="G433" s="39" t="s">
        <v>125</v>
      </c>
      <c r="J433" s="39" t="s">
        <v>124</v>
      </c>
      <c r="L433" s="39" t="s">
        <v>1338</v>
      </c>
      <c r="M433" s="39" t="s">
        <v>875</v>
      </c>
      <c r="N433" s="76" t="s">
        <v>1339</v>
      </c>
      <c r="O433" s="39" t="s">
        <v>52</v>
      </c>
      <c r="P433" s="39" t="s">
        <v>806</v>
      </c>
      <c r="Q433" s="40">
        <v>14.1</v>
      </c>
      <c r="R433" s="40">
        <v>10.764857051350951</v>
      </c>
    </row>
    <row r="434" spans="1:18" s="39" customFormat="1" ht="31.25" customHeight="1" x14ac:dyDescent="0.2">
      <c r="A434" s="39" t="s">
        <v>1340</v>
      </c>
      <c r="B434" s="39" t="s">
        <v>59</v>
      </c>
      <c r="C434" s="39" t="s">
        <v>177</v>
      </c>
      <c r="D434" s="39" t="s">
        <v>121</v>
      </c>
      <c r="E434" s="39" t="s">
        <v>122</v>
      </c>
      <c r="F434" s="39" t="s">
        <v>1341</v>
      </c>
      <c r="G434" s="39" t="s">
        <v>125</v>
      </c>
      <c r="J434" s="39" t="s">
        <v>124</v>
      </c>
      <c r="L434" s="39" t="s">
        <v>1342</v>
      </c>
      <c r="M434" s="39" t="s">
        <v>875</v>
      </c>
      <c r="N434" s="105" t="s">
        <v>1343</v>
      </c>
      <c r="O434" s="39" t="s">
        <v>53</v>
      </c>
      <c r="P434" s="39" t="s">
        <v>806</v>
      </c>
      <c r="Q434" s="40">
        <v>700</v>
      </c>
      <c r="R434" s="40">
        <v>534.42552737203312</v>
      </c>
    </row>
    <row r="435" spans="1:18" s="39" customFormat="1" ht="31.25" customHeight="1" x14ac:dyDescent="0.2">
      <c r="A435" s="39" t="s">
        <v>1344</v>
      </c>
      <c r="B435" s="39" t="s">
        <v>59</v>
      </c>
      <c r="C435" s="39" t="s">
        <v>177</v>
      </c>
      <c r="D435" s="39" t="s">
        <v>121</v>
      </c>
      <c r="E435" s="39" t="s">
        <v>122</v>
      </c>
      <c r="F435" s="39" t="s">
        <v>1103</v>
      </c>
      <c r="G435" s="39" t="s">
        <v>125</v>
      </c>
      <c r="J435" s="39" t="s">
        <v>124</v>
      </c>
      <c r="L435" s="39" t="s">
        <v>1345</v>
      </c>
      <c r="M435" s="39" t="s">
        <v>875</v>
      </c>
      <c r="N435" s="105" t="s">
        <v>1346</v>
      </c>
      <c r="O435" s="39" t="s">
        <v>54</v>
      </c>
      <c r="P435" s="39" t="s">
        <v>806</v>
      </c>
      <c r="Q435" s="40">
        <v>1.5</v>
      </c>
      <c r="R435" s="40">
        <v>1.1451975586543566</v>
      </c>
    </row>
    <row r="436" spans="1:18" s="39" customFormat="1" ht="31.25" customHeight="1" x14ac:dyDescent="0.2">
      <c r="A436" s="39" t="s">
        <v>1347</v>
      </c>
      <c r="B436" s="39" t="s">
        <v>59</v>
      </c>
      <c r="C436" s="39" t="s">
        <v>226</v>
      </c>
      <c r="D436" s="39" t="s">
        <v>121</v>
      </c>
      <c r="E436" s="39" t="s">
        <v>147</v>
      </c>
      <c r="G436" s="39" t="s">
        <v>125</v>
      </c>
      <c r="H436" s="39" t="s">
        <v>152</v>
      </c>
      <c r="J436" s="39" t="s">
        <v>124</v>
      </c>
      <c r="L436" s="39" t="s">
        <v>1348</v>
      </c>
      <c r="M436" s="39" t="s">
        <v>875</v>
      </c>
      <c r="N436" s="39" t="s">
        <v>1349</v>
      </c>
      <c r="O436" s="39" t="s">
        <v>52</v>
      </c>
      <c r="Q436" s="40"/>
      <c r="R436" s="40" t="s">
        <v>1604</v>
      </c>
    </row>
    <row r="437" spans="1:18" s="39" customFormat="1" ht="31.25" customHeight="1" x14ac:dyDescent="0.2">
      <c r="A437" s="39" t="s">
        <v>1350</v>
      </c>
      <c r="B437" s="39" t="s">
        <v>59</v>
      </c>
      <c r="C437" s="39" t="s">
        <v>120</v>
      </c>
      <c r="D437" s="39" t="s">
        <v>137</v>
      </c>
      <c r="E437" s="39" t="s">
        <v>251</v>
      </c>
      <c r="F437" s="39" t="s">
        <v>1351</v>
      </c>
      <c r="G437" s="39" t="s">
        <v>125</v>
      </c>
      <c r="H437" s="39" t="s">
        <v>162</v>
      </c>
      <c r="J437" s="39" t="s">
        <v>124</v>
      </c>
      <c r="L437" s="39" t="s">
        <v>1352</v>
      </c>
      <c r="M437" s="39" t="s">
        <v>875</v>
      </c>
      <c r="N437" s="76" t="s">
        <v>1353</v>
      </c>
      <c r="O437" s="39" t="s">
        <v>52</v>
      </c>
      <c r="P437" s="39" t="s">
        <v>806</v>
      </c>
      <c r="Q437" s="40">
        <v>7.34</v>
      </c>
      <c r="R437" s="40">
        <v>5.6038333870153183</v>
      </c>
    </row>
    <row r="438" spans="1:18" s="39" customFormat="1" ht="31.25" customHeight="1" x14ac:dyDescent="0.2">
      <c r="A438" s="39" t="s">
        <v>1354</v>
      </c>
      <c r="B438" s="39" t="s">
        <v>59</v>
      </c>
      <c r="C438" s="39" t="s">
        <v>177</v>
      </c>
      <c r="D438" s="39" t="s">
        <v>160</v>
      </c>
      <c r="E438" s="39" t="s">
        <v>151</v>
      </c>
      <c r="F438" s="39" t="s">
        <v>1355</v>
      </c>
      <c r="G438" s="39" t="s">
        <v>125</v>
      </c>
      <c r="H438" s="39" t="s">
        <v>162</v>
      </c>
      <c r="I438" s="39" t="s">
        <v>134</v>
      </c>
      <c r="J438" s="39" t="s">
        <v>124</v>
      </c>
      <c r="L438" s="39" t="s">
        <v>1356</v>
      </c>
      <c r="M438" s="39" t="s">
        <v>875</v>
      </c>
      <c r="N438" s="39" t="s">
        <v>1357</v>
      </c>
      <c r="O438" s="39" t="s">
        <v>53</v>
      </c>
      <c r="P438" s="39" t="s">
        <v>806</v>
      </c>
      <c r="Q438" s="40">
        <v>234</v>
      </c>
      <c r="R438" s="40">
        <v>178.65081915007963</v>
      </c>
    </row>
    <row r="439" spans="1:18" s="39" customFormat="1" ht="31.25" customHeight="1" x14ac:dyDescent="0.2">
      <c r="A439" s="39" t="s">
        <v>1358</v>
      </c>
      <c r="B439" s="39" t="s">
        <v>59</v>
      </c>
      <c r="C439" s="39" t="s">
        <v>280</v>
      </c>
      <c r="D439" s="39" t="s">
        <v>160</v>
      </c>
      <c r="E439" s="39" t="s">
        <v>151</v>
      </c>
      <c r="F439" s="39" t="s">
        <v>1359</v>
      </c>
      <c r="G439" s="39" t="s">
        <v>125</v>
      </c>
      <c r="H439" s="39" t="s">
        <v>162</v>
      </c>
      <c r="J439" s="39" t="s">
        <v>124</v>
      </c>
      <c r="L439" s="39" t="s">
        <v>1360</v>
      </c>
      <c r="M439" s="39" t="s">
        <v>875</v>
      </c>
      <c r="N439" s="76" t="s">
        <v>1361</v>
      </c>
      <c r="O439" s="39" t="s">
        <v>52</v>
      </c>
      <c r="P439" s="39" t="s">
        <v>806</v>
      </c>
      <c r="Q439" s="40">
        <v>15</v>
      </c>
      <c r="R439" s="40">
        <v>11.451975586543567</v>
      </c>
    </row>
    <row r="440" spans="1:18" s="39" customFormat="1" ht="31.25" customHeight="1" x14ac:dyDescent="0.2">
      <c r="A440" s="39" t="s">
        <v>1362</v>
      </c>
      <c r="B440" s="39" t="s">
        <v>59</v>
      </c>
      <c r="C440" s="39" t="s">
        <v>188</v>
      </c>
      <c r="D440" s="39" t="s">
        <v>121</v>
      </c>
      <c r="E440" s="39" t="s">
        <v>151</v>
      </c>
      <c r="F440" s="39" t="s">
        <v>958</v>
      </c>
      <c r="G440" s="39" t="s">
        <v>125</v>
      </c>
      <c r="J440" s="39" t="s">
        <v>124</v>
      </c>
      <c r="L440" s="39" t="s">
        <v>1363</v>
      </c>
      <c r="M440" s="39" t="s">
        <v>875</v>
      </c>
      <c r="N440" s="39" t="s">
        <v>1364</v>
      </c>
      <c r="O440" s="39" t="s">
        <v>54</v>
      </c>
      <c r="P440" s="39" t="s">
        <v>806</v>
      </c>
      <c r="Q440" s="40">
        <v>300</v>
      </c>
      <c r="R440" s="40">
        <v>229.03951173087131</v>
      </c>
    </row>
    <row r="441" spans="1:18" s="39" customFormat="1" ht="31.25" customHeight="1" x14ac:dyDescent="0.2">
      <c r="A441" s="39" t="s">
        <v>1365</v>
      </c>
      <c r="B441" s="39" t="s">
        <v>59</v>
      </c>
      <c r="C441" s="39" t="s">
        <v>120</v>
      </c>
      <c r="D441" s="39" t="s">
        <v>137</v>
      </c>
      <c r="E441" s="39" t="s">
        <v>151</v>
      </c>
      <c r="F441" s="39" t="s">
        <v>1366</v>
      </c>
      <c r="G441" s="39" t="s">
        <v>125</v>
      </c>
      <c r="H441" s="39" t="s">
        <v>162</v>
      </c>
      <c r="J441" s="39" t="s">
        <v>124</v>
      </c>
      <c r="L441" s="39" t="s">
        <v>1367</v>
      </c>
      <c r="M441" s="39" t="s">
        <v>875</v>
      </c>
      <c r="N441" s="105" t="s">
        <v>1368</v>
      </c>
      <c r="O441" s="39" t="s">
        <v>52</v>
      </c>
      <c r="P441" s="39" t="s">
        <v>806</v>
      </c>
      <c r="Q441" s="40">
        <v>0.19</v>
      </c>
      <c r="R441" s="40">
        <v>0.14505835742955184</v>
      </c>
    </row>
    <row r="442" spans="1:18" s="39" customFormat="1" ht="31.25" customHeight="1" x14ac:dyDescent="0.2">
      <c r="A442" s="39" t="s">
        <v>1369</v>
      </c>
      <c r="B442" s="39" t="s">
        <v>59</v>
      </c>
      <c r="C442" s="39" t="s">
        <v>188</v>
      </c>
      <c r="D442" s="39" t="s">
        <v>160</v>
      </c>
      <c r="E442" s="39" t="s">
        <v>151</v>
      </c>
      <c r="F442" s="39" t="s">
        <v>1370</v>
      </c>
      <c r="G442" s="39" t="s">
        <v>125</v>
      </c>
      <c r="J442" s="39" t="s">
        <v>124</v>
      </c>
      <c r="L442" s="39" t="s">
        <v>1371</v>
      </c>
      <c r="M442" s="39" t="s">
        <v>875</v>
      </c>
      <c r="N442" s="105" t="s">
        <v>1372</v>
      </c>
      <c r="O442" s="39" t="s">
        <v>54</v>
      </c>
      <c r="P442" s="39" t="s">
        <v>806</v>
      </c>
      <c r="Q442" s="40">
        <v>3.8</v>
      </c>
      <c r="R442" s="40">
        <v>2.9011671485910364</v>
      </c>
    </row>
    <row r="443" spans="1:18" s="39" customFormat="1" ht="31.25" customHeight="1" x14ac:dyDescent="0.2">
      <c r="A443" s="39" t="s">
        <v>1373</v>
      </c>
      <c r="B443" s="39" t="s">
        <v>59</v>
      </c>
      <c r="C443" s="39" t="s">
        <v>177</v>
      </c>
      <c r="D443" s="39" t="s">
        <v>160</v>
      </c>
      <c r="E443" s="39" t="s">
        <v>251</v>
      </c>
      <c r="F443" s="39" t="s">
        <v>1374</v>
      </c>
      <c r="G443" s="39" t="s">
        <v>125</v>
      </c>
      <c r="H443" s="39" t="s">
        <v>162</v>
      </c>
      <c r="J443" s="39" t="s">
        <v>124</v>
      </c>
      <c r="L443" s="39" t="s">
        <v>1375</v>
      </c>
      <c r="M443" s="39" t="s">
        <v>875</v>
      </c>
      <c r="N443" s="105" t="s">
        <v>1372</v>
      </c>
      <c r="O443" s="39" t="s">
        <v>54</v>
      </c>
      <c r="P443" s="39" t="s">
        <v>806</v>
      </c>
      <c r="Q443" s="40">
        <v>444.6</v>
      </c>
      <c r="R443" s="40">
        <v>339.43655638515133</v>
      </c>
    </row>
    <row r="444" spans="1:18" s="39" customFormat="1" ht="31.25" customHeight="1" x14ac:dyDescent="0.2">
      <c r="A444" s="75" t="s">
        <v>1376</v>
      </c>
      <c r="B444" s="75" t="s">
        <v>90</v>
      </c>
      <c r="C444" s="75" t="s">
        <v>120</v>
      </c>
      <c r="D444" s="75" t="s">
        <v>137</v>
      </c>
      <c r="E444" s="75" t="s">
        <v>133</v>
      </c>
      <c r="F444" s="75" t="s">
        <v>1377</v>
      </c>
      <c r="G444" s="75"/>
      <c r="H444" s="75"/>
      <c r="I444" s="75"/>
      <c r="J444" s="75"/>
      <c r="K444" s="75"/>
      <c r="L444" s="75" t="s">
        <v>1378</v>
      </c>
      <c r="M444" s="99" t="s">
        <v>1379</v>
      </c>
      <c r="N444" s="75" t="s">
        <v>1380</v>
      </c>
      <c r="O444" s="75" t="s">
        <v>55</v>
      </c>
      <c r="P444" s="106" t="s">
        <v>601</v>
      </c>
      <c r="Q444" s="106">
        <v>59100</v>
      </c>
      <c r="R444" s="40">
        <v>59100</v>
      </c>
    </row>
    <row r="445" spans="1:18" s="39" customFormat="1" ht="31.25" customHeight="1" x14ac:dyDescent="0.2">
      <c r="A445" s="39" t="s">
        <v>1381</v>
      </c>
      <c r="B445" s="39" t="s">
        <v>90</v>
      </c>
      <c r="C445" s="39" t="s">
        <v>120</v>
      </c>
      <c r="D445" s="39" t="s">
        <v>121</v>
      </c>
      <c r="E445" s="39" t="s">
        <v>251</v>
      </c>
      <c r="F445" s="39" t="s">
        <v>1382</v>
      </c>
      <c r="G445" s="39" t="s">
        <v>125</v>
      </c>
      <c r="H445" s="39" t="s">
        <v>162</v>
      </c>
      <c r="L445" s="39" t="s">
        <v>1383</v>
      </c>
      <c r="M445" s="39" t="s">
        <v>1384</v>
      </c>
      <c r="N445" s="39" t="s">
        <v>1384</v>
      </c>
      <c r="O445" s="39" t="s">
        <v>52</v>
      </c>
      <c r="P445" s="62" t="s">
        <v>601</v>
      </c>
      <c r="Q445" s="62">
        <v>873</v>
      </c>
      <c r="R445" s="40">
        <v>873</v>
      </c>
    </row>
    <row r="446" spans="1:18" s="39" customFormat="1" ht="31.25" customHeight="1" x14ac:dyDescent="0.2">
      <c r="A446" s="39" t="s">
        <v>1385</v>
      </c>
      <c r="B446" s="39" t="s">
        <v>90</v>
      </c>
      <c r="C446" s="39" t="s">
        <v>120</v>
      </c>
      <c r="D446" s="39" t="s">
        <v>121</v>
      </c>
      <c r="E446" s="39" t="s">
        <v>122</v>
      </c>
      <c r="F446" s="39" t="s">
        <v>1386</v>
      </c>
      <c r="G446" s="39" t="s">
        <v>125</v>
      </c>
      <c r="L446" s="39" t="s">
        <v>1387</v>
      </c>
      <c r="M446" s="39" t="s">
        <v>1388</v>
      </c>
      <c r="N446" s="39" t="s">
        <v>1389</v>
      </c>
      <c r="O446" s="39" t="s">
        <v>54</v>
      </c>
      <c r="P446" s="62" t="s">
        <v>601</v>
      </c>
      <c r="Q446" s="62">
        <v>1980</v>
      </c>
      <c r="R446" s="40">
        <v>1980</v>
      </c>
    </row>
    <row r="447" spans="1:18" s="39" customFormat="1" ht="31.25" customHeight="1" x14ac:dyDescent="0.2">
      <c r="A447" s="39" t="s">
        <v>1390</v>
      </c>
      <c r="B447" s="39" t="s">
        <v>90</v>
      </c>
      <c r="C447" s="39" t="s">
        <v>120</v>
      </c>
      <c r="D447" s="39" t="s">
        <v>121</v>
      </c>
      <c r="E447" s="39" t="s">
        <v>151</v>
      </c>
      <c r="F447" s="39" t="s">
        <v>1391</v>
      </c>
      <c r="G447" s="39" t="s">
        <v>125</v>
      </c>
      <c r="H447" s="39" t="s">
        <v>158</v>
      </c>
      <c r="L447" s="39" t="s">
        <v>1392</v>
      </c>
      <c r="M447" s="39" t="s">
        <v>1393</v>
      </c>
      <c r="O447" s="39" t="s">
        <v>52</v>
      </c>
      <c r="P447" s="62" t="s">
        <v>601</v>
      </c>
      <c r="Q447" s="62">
        <v>47</v>
      </c>
      <c r="R447" s="40">
        <v>47</v>
      </c>
    </row>
    <row r="448" spans="1:18" s="39" customFormat="1" ht="31.25" customHeight="1" x14ac:dyDescent="0.2">
      <c r="A448" s="39" t="s">
        <v>1394</v>
      </c>
      <c r="B448" s="39" t="s">
        <v>90</v>
      </c>
      <c r="C448" s="39" t="s">
        <v>280</v>
      </c>
      <c r="D448" s="39" t="s">
        <v>137</v>
      </c>
      <c r="E448" s="39" t="s">
        <v>151</v>
      </c>
      <c r="F448" s="39" t="s">
        <v>1395</v>
      </c>
      <c r="G448" s="39" t="s">
        <v>125</v>
      </c>
      <c r="L448" s="39" t="s">
        <v>1396</v>
      </c>
      <c r="M448" s="39" t="s">
        <v>1393</v>
      </c>
      <c r="N448" s="39" t="s">
        <v>1380</v>
      </c>
      <c r="O448" s="39" t="s">
        <v>53</v>
      </c>
      <c r="P448" s="62" t="s">
        <v>601</v>
      </c>
      <c r="Q448" s="62">
        <v>168</v>
      </c>
      <c r="R448" s="40">
        <v>168</v>
      </c>
    </row>
    <row r="449" spans="1:18" s="39" customFormat="1" ht="31.25" customHeight="1" x14ac:dyDescent="0.2">
      <c r="A449" s="39" t="s">
        <v>1397</v>
      </c>
      <c r="B449" s="39" t="s">
        <v>90</v>
      </c>
      <c r="C449" s="39" t="s">
        <v>171</v>
      </c>
      <c r="D449" s="39" t="s">
        <v>137</v>
      </c>
      <c r="E449" s="39" t="s">
        <v>122</v>
      </c>
      <c r="F449" s="39" t="s">
        <v>1398</v>
      </c>
      <c r="G449" s="39" t="s">
        <v>125</v>
      </c>
      <c r="H449" s="39" t="s">
        <v>134</v>
      </c>
      <c r="I449" s="39" t="s">
        <v>162</v>
      </c>
      <c r="L449" s="39" t="s">
        <v>1399</v>
      </c>
      <c r="M449" s="39" t="s">
        <v>1400</v>
      </c>
      <c r="O449" s="39" t="s">
        <v>53</v>
      </c>
      <c r="P449" s="62" t="s">
        <v>601</v>
      </c>
      <c r="Q449" s="39" t="s">
        <v>40</v>
      </c>
      <c r="R449" s="40" t="s">
        <v>1604</v>
      </c>
    </row>
    <row r="450" spans="1:18" s="39" customFormat="1" ht="31.25" customHeight="1" x14ac:dyDescent="0.2">
      <c r="A450" s="39" t="s">
        <v>1401</v>
      </c>
      <c r="B450" s="39" t="s">
        <v>90</v>
      </c>
      <c r="C450" s="39" t="s">
        <v>280</v>
      </c>
      <c r="D450" s="39" t="s">
        <v>137</v>
      </c>
      <c r="E450" s="39" t="s">
        <v>151</v>
      </c>
      <c r="F450" s="39" t="s">
        <v>1402</v>
      </c>
      <c r="G450" s="39" t="s">
        <v>125</v>
      </c>
      <c r="L450" s="39" t="s">
        <v>1403</v>
      </c>
      <c r="M450" s="39" t="s">
        <v>1388</v>
      </c>
      <c r="O450" s="39" t="s">
        <v>52</v>
      </c>
      <c r="P450" s="62" t="s">
        <v>601</v>
      </c>
      <c r="Q450" s="62">
        <v>221.1</v>
      </c>
      <c r="R450" s="40">
        <v>221.1</v>
      </c>
    </row>
    <row r="451" spans="1:18" s="39" customFormat="1" ht="31.25" customHeight="1" x14ac:dyDescent="0.2">
      <c r="A451" s="39" t="s">
        <v>1404</v>
      </c>
      <c r="B451" s="39" t="s">
        <v>90</v>
      </c>
      <c r="C451" s="39" t="s">
        <v>132</v>
      </c>
      <c r="D451" s="39" t="s">
        <v>137</v>
      </c>
      <c r="E451" s="39" t="s">
        <v>133</v>
      </c>
      <c r="G451" s="39" t="s">
        <v>125</v>
      </c>
      <c r="H451" s="39" t="s">
        <v>208</v>
      </c>
      <c r="L451" s="39" t="s">
        <v>1405</v>
      </c>
      <c r="M451" s="39" t="s">
        <v>1406</v>
      </c>
      <c r="N451" s="39" t="s">
        <v>1407</v>
      </c>
      <c r="O451" s="39" t="s">
        <v>52</v>
      </c>
      <c r="Q451" s="62"/>
      <c r="R451" s="40" t="s">
        <v>1604</v>
      </c>
    </row>
    <row r="452" spans="1:18" s="39" customFormat="1" ht="31.25" customHeight="1" x14ac:dyDescent="0.2">
      <c r="A452" s="39" t="s">
        <v>1408</v>
      </c>
      <c r="B452" s="39" t="s">
        <v>90</v>
      </c>
      <c r="C452" s="39" t="s">
        <v>177</v>
      </c>
      <c r="D452" s="39" t="s">
        <v>121</v>
      </c>
      <c r="E452" s="39" t="s">
        <v>133</v>
      </c>
      <c r="F452" s="39" t="s">
        <v>1409</v>
      </c>
      <c r="G452" s="39" t="s">
        <v>125</v>
      </c>
      <c r="L452" s="39" t="s">
        <v>1410</v>
      </c>
      <c r="M452" s="39" t="s">
        <v>1411</v>
      </c>
      <c r="O452" s="39" t="s">
        <v>55</v>
      </c>
      <c r="P452" s="62" t="s">
        <v>601</v>
      </c>
      <c r="Q452" s="62">
        <v>150</v>
      </c>
      <c r="R452" s="40">
        <v>150</v>
      </c>
    </row>
    <row r="453" spans="1:18" s="39" customFormat="1" ht="31.25" customHeight="1" x14ac:dyDescent="0.2">
      <c r="A453" s="50" t="s">
        <v>1412</v>
      </c>
      <c r="B453" s="50" t="s">
        <v>90</v>
      </c>
      <c r="C453" s="50" t="s">
        <v>120</v>
      </c>
      <c r="D453" s="50" t="s">
        <v>137</v>
      </c>
      <c r="E453" s="50" t="s">
        <v>133</v>
      </c>
      <c r="F453" s="50" t="s">
        <v>1413</v>
      </c>
      <c r="G453" s="50" t="s">
        <v>125</v>
      </c>
      <c r="H453" s="50" t="s">
        <v>208</v>
      </c>
      <c r="I453" s="50"/>
      <c r="J453" s="50"/>
      <c r="K453" s="50"/>
      <c r="L453" s="50" t="s">
        <v>1414</v>
      </c>
      <c r="M453" s="50" t="s">
        <v>1415</v>
      </c>
      <c r="N453" s="50"/>
      <c r="O453" s="50" t="s">
        <v>55</v>
      </c>
      <c r="P453" s="107" t="s">
        <v>601</v>
      </c>
      <c r="Q453" s="107">
        <v>70</v>
      </c>
      <c r="R453" s="40">
        <v>70</v>
      </c>
    </row>
    <row r="454" spans="1:18" s="39" customFormat="1" ht="31.25" customHeight="1" x14ac:dyDescent="0.2">
      <c r="A454" s="39" t="s">
        <v>1416</v>
      </c>
      <c r="B454" s="39" t="s">
        <v>90</v>
      </c>
      <c r="C454" s="39" t="s">
        <v>177</v>
      </c>
      <c r="D454" s="39" t="s">
        <v>121</v>
      </c>
      <c r="E454" s="39" t="s">
        <v>133</v>
      </c>
      <c r="G454" s="39" t="s">
        <v>125</v>
      </c>
      <c r="I454" s="39" t="s">
        <v>162</v>
      </c>
      <c r="L454" s="39" t="s">
        <v>1417</v>
      </c>
      <c r="M454" s="39" t="s">
        <v>1418</v>
      </c>
      <c r="N454" s="39" t="s">
        <v>1419</v>
      </c>
      <c r="O454" s="39" t="s">
        <v>54</v>
      </c>
      <c r="Q454" s="40"/>
      <c r="R454" s="40" t="s">
        <v>1604</v>
      </c>
    </row>
    <row r="455" spans="1:18" s="39" customFormat="1" ht="31.25" customHeight="1" x14ac:dyDescent="0.2">
      <c r="A455" s="39" t="s">
        <v>1421</v>
      </c>
      <c r="B455" s="39" t="s">
        <v>60</v>
      </c>
      <c r="C455" s="39" t="s">
        <v>132</v>
      </c>
      <c r="D455" s="39" t="s">
        <v>137</v>
      </c>
      <c r="E455" s="39" t="s">
        <v>133</v>
      </c>
      <c r="F455" s="39" t="s">
        <v>1422</v>
      </c>
      <c r="G455" s="39" t="s">
        <v>158</v>
      </c>
      <c r="L455" s="39" t="s">
        <v>1423</v>
      </c>
      <c r="M455" s="39" t="s">
        <v>1424</v>
      </c>
      <c r="O455" s="39" t="s">
        <v>52</v>
      </c>
      <c r="P455" s="39" t="s">
        <v>601</v>
      </c>
      <c r="Q455" s="40">
        <v>75</v>
      </c>
      <c r="R455" s="40">
        <v>75</v>
      </c>
    </row>
    <row r="456" spans="1:18" s="39" customFormat="1" ht="31.25" customHeight="1" x14ac:dyDescent="0.2">
      <c r="A456" s="39" t="s">
        <v>1425</v>
      </c>
      <c r="B456" s="39" t="s">
        <v>60</v>
      </c>
      <c r="C456" s="39" t="s">
        <v>171</v>
      </c>
      <c r="D456" s="39" t="s">
        <v>121</v>
      </c>
      <c r="E456" s="39" t="s">
        <v>151</v>
      </c>
      <c r="G456" s="39" t="s">
        <v>125</v>
      </c>
      <c r="H456" s="39" t="s">
        <v>162</v>
      </c>
      <c r="L456" s="39" t="s">
        <v>1426</v>
      </c>
      <c r="O456" s="39" t="s">
        <v>55</v>
      </c>
      <c r="Q456" s="40"/>
      <c r="R456" s="40" t="s">
        <v>1604</v>
      </c>
    </row>
    <row r="457" spans="1:18" s="39" customFormat="1" ht="31.25" customHeight="1" x14ac:dyDescent="0.2">
      <c r="A457" s="39" t="s">
        <v>1427</v>
      </c>
      <c r="B457" s="39" t="s">
        <v>60</v>
      </c>
      <c r="C457" s="39" t="s">
        <v>171</v>
      </c>
      <c r="D457" s="39" t="s">
        <v>121</v>
      </c>
      <c r="E457" s="39" t="s">
        <v>251</v>
      </c>
      <c r="G457" s="39" t="s">
        <v>162</v>
      </c>
      <c r="H457" s="39" t="s">
        <v>125</v>
      </c>
      <c r="L457" s="39" t="s">
        <v>1428</v>
      </c>
      <c r="M457" s="39" t="s">
        <v>1429</v>
      </c>
      <c r="O457" s="39" t="s">
        <v>54</v>
      </c>
      <c r="Q457" s="40"/>
      <c r="R457" s="40" t="s">
        <v>1604</v>
      </c>
    </row>
    <row r="458" spans="1:18" s="39" customFormat="1" ht="31.25" customHeight="1" x14ac:dyDescent="0.2">
      <c r="A458" s="39" t="s">
        <v>1430</v>
      </c>
      <c r="B458" s="39" t="s">
        <v>60</v>
      </c>
      <c r="C458" s="39" t="s">
        <v>120</v>
      </c>
      <c r="D458" s="39" t="s">
        <v>121</v>
      </c>
      <c r="E458" s="39" t="s">
        <v>251</v>
      </c>
      <c r="F458" s="108" t="s">
        <v>1431</v>
      </c>
      <c r="G458" s="39" t="s">
        <v>125</v>
      </c>
      <c r="H458" s="39" t="s">
        <v>162</v>
      </c>
      <c r="L458" s="109" t="s">
        <v>1432</v>
      </c>
      <c r="M458" s="76" t="s">
        <v>1433</v>
      </c>
      <c r="O458" s="39" t="s">
        <v>52</v>
      </c>
      <c r="P458" s="39" t="s">
        <v>1434</v>
      </c>
      <c r="Q458" s="40">
        <v>5000</v>
      </c>
      <c r="R458" s="40">
        <v>8.0313701868519054</v>
      </c>
    </row>
    <row r="459" spans="1:18" s="39" customFormat="1" ht="31.25" customHeight="1" x14ac:dyDescent="0.2">
      <c r="A459" s="39" t="s">
        <v>1435</v>
      </c>
      <c r="B459" s="39" t="s">
        <v>60</v>
      </c>
      <c r="C459" s="39" t="s">
        <v>120</v>
      </c>
      <c r="D459" s="39" t="s">
        <v>121</v>
      </c>
      <c r="E459" s="39" t="s">
        <v>251</v>
      </c>
      <c r="F459" s="108" t="s">
        <v>1436</v>
      </c>
      <c r="L459" s="109" t="s">
        <v>1437</v>
      </c>
      <c r="O459" s="39" t="s">
        <v>52</v>
      </c>
      <c r="P459" s="39" t="s">
        <v>1434</v>
      </c>
      <c r="Q459" s="40">
        <v>124700</v>
      </c>
      <c r="R459" s="40">
        <v>200.30237246008653</v>
      </c>
    </row>
    <row r="460" spans="1:18" s="39" customFormat="1" ht="31.25" customHeight="1" x14ac:dyDescent="0.2">
      <c r="A460" s="39" t="s">
        <v>1438</v>
      </c>
      <c r="B460" s="39" t="s">
        <v>60</v>
      </c>
      <c r="C460" s="39" t="s">
        <v>177</v>
      </c>
      <c r="D460" s="39" t="s">
        <v>121</v>
      </c>
      <c r="E460" s="39" t="s">
        <v>172</v>
      </c>
      <c r="F460" s="109" t="s">
        <v>1439</v>
      </c>
      <c r="G460" s="39" t="s">
        <v>1440</v>
      </c>
      <c r="H460" s="39" t="s">
        <v>1441</v>
      </c>
      <c r="I460" s="60" t="s">
        <v>208</v>
      </c>
      <c r="J460" s="39" t="s">
        <v>124</v>
      </c>
      <c r="K460" s="39" t="s">
        <v>5557</v>
      </c>
      <c r="L460" s="109" t="s">
        <v>1442</v>
      </c>
      <c r="M460" s="110" t="s">
        <v>1420</v>
      </c>
      <c r="O460" s="39" t="s">
        <v>52</v>
      </c>
      <c r="P460" s="39" t="s">
        <v>601</v>
      </c>
      <c r="Q460" s="40">
        <v>455</v>
      </c>
      <c r="R460" s="40">
        <v>455</v>
      </c>
    </row>
    <row r="461" spans="1:18" s="39" customFormat="1" ht="31.25" customHeight="1" x14ac:dyDescent="0.2">
      <c r="A461" s="39" t="s">
        <v>1443</v>
      </c>
      <c r="B461" s="39" t="s">
        <v>60</v>
      </c>
      <c r="C461" s="39" t="s">
        <v>177</v>
      </c>
      <c r="D461" s="39" t="s">
        <v>121</v>
      </c>
      <c r="E461" s="39" t="s">
        <v>133</v>
      </c>
      <c r="F461" s="111" t="s">
        <v>1444</v>
      </c>
      <c r="G461" s="39" t="s">
        <v>153</v>
      </c>
      <c r="H461" s="39" t="s">
        <v>208</v>
      </c>
      <c r="J461" s="39" t="s">
        <v>295</v>
      </c>
      <c r="K461" s="39" t="s">
        <v>5557</v>
      </c>
      <c r="L461" s="109" t="s">
        <v>1445</v>
      </c>
      <c r="M461" s="112" t="s">
        <v>1420</v>
      </c>
      <c r="O461" s="39" t="s">
        <v>55</v>
      </c>
      <c r="P461" s="39" t="s">
        <v>601</v>
      </c>
      <c r="Q461" s="40">
        <v>481</v>
      </c>
      <c r="R461" s="40">
        <v>481</v>
      </c>
    </row>
    <row r="462" spans="1:18" s="39" customFormat="1" ht="31.25" customHeight="1" x14ac:dyDescent="0.2">
      <c r="A462" s="39" t="s">
        <v>1446</v>
      </c>
      <c r="B462" s="39" t="s">
        <v>60</v>
      </c>
      <c r="C462" s="39" t="s">
        <v>177</v>
      </c>
      <c r="D462" s="39" t="s">
        <v>121</v>
      </c>
      <c r="E462" s="39" t="s">
        <v>251</v>
      </c>
      <c r="F462" s="109" t="s">
        <v>1447</v>
      </c>
      <c r="G462" s="39" t="s">
        <v>1448</v>
      </c>
      <c r="J462" s="39" t="s">
        <v>124</v>
      </c>
      <c r="K462" s="39" t="s">
        <v>5557</v>
      </c>
      <c r="L462" s="109" t="s">
        <v>1449</v>
      </c>
      <c r="M462" s="112" t="s">
        <v>1420</v>
      </c>
      <c r="O462" s="39" t="s">
        <v>55</v>
      </c>
      <c r="P462" s="39" t="s">
        <v>601</v>
      </c>
      <c r="Q462" s="40">
        <v>376</v>
      </c>
      <c r="R462" s="40">
        <v>376</v>
      </c>
    </row>
    <row r="463" spans="1:18" s="39" customFormat="1" ht="31.25" customHeight="1" x14ac:dyDescent="0.2">
      <c r="A463" s="39" t="s">
        <v>1450</v>
      </c>
      <c r="B463" s="39" t="s">
        <v>60</v>
      </c>
      <c r="C463" s="39" t="s">
        <v>177</v>
      </c>
      <c r="D463" s="39" t="s">
        <v>137</v>
      </c>
      <c r="E463" s="39" t="s">
        <v>133</v>
      </c>
      <c r="F463" s="109" t="s">
        <v>1451</v>
      </c>
      <c r="G463" s="39" t="s">
        <v>208</v>
      </c>
      <c r="J463" s="39" t="s">
        <v>124</v>
      </c>
      <c r="K463" s="39" t="s">
        <v>5557</v>
      </c>
      <c r="L463" s="109" t="s">
        <v>1452</v>
      </c>
      <c r="M463" s="112" t="s">
        <v>1420</v>
      </c>
      <c r="O463" s="39" t="s">
        <v>53</v>
      </c>
      <c r="P463" s="39" t="s">
        <v>601</v>
      </c>
      <c r="Q463" s="40">
        <v>235</v>
      </c>
      <c r="R463" s="40">
        <v>235</v>
      </c>
    </row>
    <row r="464" spans="1:18" s="39" customFormat="1" ht="31.25" customHeight="1" x14ac:dyDescent="0.2">
      <c r="A464" s="39" t="s">
        <v>1453</v>
      </c>
      <c r="B464" s="39" t="s">
        <v>60</v>
      </c>
      <c r="C464" s="39" t="s">
        <v>177</v>
      </c>
      <c r="D464" s="39" t="s">
        <v>121</v>
      </c>
      <c r="E464" s="39" t="s">
        <v>133</v>
      </c>
      <c r="F464" s="109" t="s">
        <v>1454</v>
      </c>
      <c r="G464" s="39" t="s">
        <v>153</v>
      </c>
      <c r="H464" s="39" t="s">
        <v>208</v>
      </c>
      <c r="J464" s="39" t="s">
        <v>124</v>
      </c>
      <c r="K464" s="39" t="s">
        <v>5557</v>
      </c>
      <c r="L464" s="109" t="s">
        <v>1455</v>
      </c>
      <c r="M464" s="112" t="s">
        <v>1420</v>
      </c>
      <c r="O464" s="39" t="s">
        <v>52</v>
      </c>
      <c r="P464" s="39" t="s">
        <v>601</v>
      </c>
      <c r="Q464" s="40">
        <v>39</v>
      </c>
      <c r="R464" s="40">
        <v>39</v>
      </c>
    </row>
    <row r="465" spans="1:18" s="39" customFormat="1" ht="31.25" customHeight="1" x14ac:dyDescent="0.2">
      <c r="A465" s="50" t="s">
        <v>1456</v>
      </c>
      <c r="B465" s="50" t="s">
        <v>60</v>
      </c>
      <c r="C465" s="50" t="s">
        <v>177</v>
      </c>
      <c r="D465" s="50" t="s">
        <v>121</v>
      </c>
      <c r="E465" s="50" t="s">
        <v>151</v>
      </c>
      <c r="F465" s="113" t="s">
        <v>1457</v>
      </c>
      <c r="G465" s="39" t="s">
        <v>125</v>
      </c>
      <c r="H465" s="39" t="s">
        <v>162</v>
      </c>
      <c r="J465" s="50" t="s">
        <v>124</v>
      </c>
      <c r="K465" s="50" t="s">
        <v>5557</v>
      </c>
      <c r="L465" s="113" t="s">
        <v>1458</v>
      </c>
      <c r="M465" s="114" t="s">
        <v>1420</v>
      </c>
      <c r="N465" s="50"/>
      <c r="O465" s="50" t="s">
        <v>52</v>
      </c>
      <c r="P465" s="50" t="s">
        <v>601</v>
      </c>
      <c r="Q465" s="97">
        <v>403</v>
      </c>
      <c r="R465" s="40">
        <v>403</v>
      </c>
    </row>
    <row r="466" spans="1:18" s="39" customFormat="1" ht="31.25" customHeight="1" x14ac:dyDescent="0.2">
      <c r="A466" s="39" t="s">
        <v>1459</v>
      </c>
      <c r="B466" s="39" t="s">
        <v>60</v>
      </c>
      <c r="C466" s="39" t="s">
        <v>177</v>
      </c>
      <c r="D466" s="39" t="s">
        <v>121</v>
      </c>
      <c r="E466" s="39" t="s">
        <v>251</v>
      </c>
      <c r="F466" s="115" t="s">
        <v>1460</v>
      </c>
      <c r="G466" s="39" t="s">
        <v>125</v>
      </c>
      <c r="H466" s="39" t="s">
        <v>125</v>
      </c>
      <c r="I466" s="39" t="s">
        <v>162</v>
      </c>
      <c r="J466" s="50" t="s">
        <v>124</v>
      </c>
      <c r="K466" s="39" t="s">
        <v>124</v>
      </c>
      <c r="L466" s="39" t="s">
        <v>1461</v>
      </c>
      <c r="M466" s="116" t="s">
        <v>1420</v>
      </c>
      <c r="O466" s="50" t="s">
        <v>52</v>
      </c>
      <c r="P466" s="50" t="s">
        <v>601</v>
      </c>
      <c r="Q466" s="40">
        <v>3000</v>
      </c>
      <c r="R466" s="40">
        <v>3000</v>
      </c>
    </row>
    <row r="467" spans="1:18" s="39" customFormat="1" ht="31.25" customHeight="1" x14ac:dyDescent="0.2">
      <c r="A467" s="39" t="s">
        <v>1462</v>
      </c>
      <c r="B467" s="39" t="s">
        <v>60</v>
      </c>
      <c r="C467" s="39" t="s">
        <v>177</v>
      </c>
      <c r="D467" s="39" t="s">
        <v>121</v>
      </c>
      <c r="E467" s="39" t="s">
        <v>166</v>
      </c>
      <c r="G467" s="39" t="s">
        <v>125</v>
      </c>
      <c r="H467" s="39" t="s">
        <v>162</v>
      </c>
      <c r="J467" s="39" t="s">
        <v>157</v>
      </c>
      <c r="K467" s="50" t="s">
        <v>5557</v>
      </c>
      <c r="L467" s="39" t="s">
        <v>1463</v>
      </c>
      <c r="M467" s="114" t="s">
        <v>1420</v>
      </c>
      <c r="N467" s="117"/>
      <c r="O467" s="39" t="s">
        <v>52</v>
      </c>
      <c r="P467" s="50"/>
      <c r="Q467" s="117"/>
      <c r="R467" s="40" t="s">
        <v>1604</v>
      </c>
    </row>
    <row r="468" spans="1:18" s="39" customFormat="1" ht="31.25" customHeight="1" x14ac:dyDescent="0.2">
      <c r="A468" s="39" t="s">
        <v>1464</v>
      </c>
      <c r="B468" s="39" t="s">
        <v>60</v>
      </c>
      <c r="C468" s="39" t="s">
        <v>177</v>
      </c>
      <c r="D468" s="39" t="s">
        <v>121</v>
      </c>
      <c r="E468" s="39" t="s">
        <v>292</v>
      </c>
      <c r="F468" s="39" t="s">
        <v>1465</v>
      </c>
      <c r="G468" s="60" t="s">
        <v>134</v>
      </c>
      <c r="H468" s="60" t="s">
        <v>125</v>
      </c>
      <c r="J468" s="39" t="s">
        <v>124</v>
      </c>
      <c r="K468" s="39" t="s">
        <v>124</v>
      </c>
      <c r="L468" s="39" t="s">
        <v>1466</v>
      </c>
      <c r="M468" s="114" t="s">
        <v>1420</v>
      </c>
      <c r="O468" s="39" t="s">
        <v>52</v>
      </c>
      <c r="P468" s="94" t="s">
        <v>601</v>
      </c>
      <c r="Q468" s="40">
        <v>152</v>
      </c>
      <c r="R468" s="40">
        <v>152</v>
      </c>
    </row>
    <row r="469" spans="1:18" s="39" customFormat="1" ht="31.25" customHeight="1" x14ac:dyDescent="0.2">
      <c r="A469" s="39" t="s">
        <v>1467</v>
      </c>
      <c r="B469" s="39" t="s">
        <v>60</v>
      </c>
      <c r="C469" s="39" t="s">
        <v>177</v>
      </c>
      <c r="D469" s="39" t="s">
        <v>137</v>
      </c>
      <c r="E469" s="39" t="s">
        <v>133</v>
      </c>
      <c r="F469" s="39" t="s">
        <v>1468</v>
      </c>
      <c r="J469" s="39" t="s">
        <v>157</v>
      </c>
      <c r="K469" s="39" t="s">
        <v>124</v>
      </c>
      <c r="L469" s="39" t="s">
        <v>1469</v>
      </c>
      <c r="M469" s="116" t="s">
        <v>1420</v>
      </c>
      <c r="O469" s="39" t="s">
        <v>55</v>
      </c>
      <c r="P469" s="94" t="s">
        <v>601</v>
      </c>
      <c r="Q469" s="40">
        <v>125</v>
      </c>
      <c r="R469" s="40">
        <v>125</v>
      </c>
    </row>
    <row r="470" spans="1:18" s="39" customFormat="1" ht="31.25" customHeight="1" x14ac:dyDescent="0.2">
      <c r="A470" s="39" t="s">
        <v>1470</v>
      </c>
      <c r="B470" s="39" t="s">
        <v>60</v>
      </c>
      <c r="C470" s="39" t="s">
        <v>177</v>
      </c>
      <c r="D470" s="39" t="s">
        <v>121</v>
      </c>
      <c r="E470" s="39" t="s">
        <v>133</v>
      </c>
      <c r="G470" s="39" t="s">
        <v>153</v>
      </c>
      <c r="H470" s="39" t="s">
        <v>208</v>
      </c>
      <c r="J470" s="39" t="s">
        <v>124</v>
      </c>
      <c r="K470" s="39" t="s">
        <v>124</v>
      </c>
      <c r="L470" s="39" t="s">
        <v>1471</v>
      </c>
      <c r="M470" s="114" t="s">
        <v>1420</v>
      </c>
      <c r="O470" s="39" t="s">
        <v>52</v>
      </c>
      <c r="P470" s="94"/>
      <c r="Q470" s="40"/>
      <c r="R470" s="40" t="s">
        <v>1604</v>
      </c>
    </row>
    <row r="471" spans="1:18" s="39" customFormat="1" ht="31.25" customHeight="1" x14ac:dyDescent="0.2">
      <c r="A471" s="39" t="s">
        <v>1472</v>
      </c>
      <c r="B471" s="39" t="s">
        <v>60</v>
      </c>
      <c r="C471" s="39" t="s">
        <v>177</v>
      </c>
      <c r="D471" s="39" t="s">
        <v>121</v>
      </c>
      <c r="E471" s="39" t="s">
        <v>122</v>
      </c>
      <c r="G471" s="39" t="s">
        <v>125</v>
      </c>
      <c r="H471" s="39" t="s">
        <v>162</v>
      </c>
      <c r="J471" s="39" t="s">
        <v>124</v>
      </c>
      <c r="K471" s="39" t="s">
        <v>124</v>
      </c>
      <c r="L471" s="39" t="s">
        <v>1473</v>
      </c>
      <c r="M471" s="114" t="s">
        <v>1420</v>
      </c>
      <c r="O471" s="39" t="s">
        <v>54</v>
      </c>
      <c r="P471" s="94"/>
      <c r="Q471" s="40"/>
      <c r="R471" s="40" t="s">
        <v>1604</v>
      </c>
    </row>
    <row r="472" spans="1:18" s="39" customFormat="1" ht="31.25" customHeight="1" x14ac:dyDescent="0.2">
      <c r="A472" s="39" t="s">
        <v>1474</v>
      </c>
      <c r="B472" s="39" t="s">
        <v>60</v>
      </c>
      <c r="C472" s="39" t="s">
        <v>171</v>
      </c>
      <c r="D472" s="39" t="s">
        <v>137</v>
      </c>
      <c r="E472" s="39" t="s">
        <v>133</v>
      </c>
      <c r="G472" s="39" t="s">
        <v>125</v>
      </c>
      <c r="H472" s="39" t="s">
        <v>162</v>
      </c>
      <c r="I472" s="39" t="s">
        <v>208</v>
      </c>
      <c r="J472" s="39" t="s">
        <v>124</v>
      </c>
      <c r="K472" s="39" t="s">
        <v>124</v>
      </c>
      <c r="L472" s="39" t="s">
        <v>1475</v>
      </c>
      <c r="M472" s="118" t="s">
        <v>1476</v>
      </c>
      <c r="N472" s="39" t="s">
        <v>1477</v>
      </c>
      <c r="O472" s="39" t="s">
        <v>1478</v>
      </c>
      <c r="P472" s="94"/>
      <c r="Q472" s="40"/>
      <c r="R472" s="40"/>
    </row>
    <row r="473" spans="1:18" s="39" customFormat="1" ht="31.25" customHeight="1" x14ac:dyDescent="0.25">
      <c r="A473" s="39" t="s">
        <v>1479</v>
      </c>
      <c r="B473" s="39" t="s">
        <v>60</v>
      </c>
      <c r="C473" s="39" t="s">
        <v>171</v>
      </c>
      <c r="D473" s="39" t="s">
        <v>137</v>
      </c>
      <c r="E473" s="39" t="s">
        <v>133</v>
      </c>
      <c r="G473" s="39" t="s">
        <v>125</v>
      </c>
      <c r="H473" s="39" t="s">
        <v>162</v>
      </c>
      <c r="J473" s="39" t="s">
        <v>124</v>
      </c>
      <c r="K473" s="39" t="s">
        <v>124</v>
      </c>
      <c r="L473" s="119" t="s">
        <v>1480</v>
      </c>
      <c r="M473" s="39" t="s">
        <v>1481</v>
      </c>
      <c r="O473" s="39" t="s">
        <v>1478</v>
      </c>
      <c r="P473" s="94"/>
      <c r="Q473" s="40"/>
      <c r="R473" s="40"/>
    </row>
    <row r="474" spans="1:18" s="39" customFormat="1" ht="31.25" customHeight="1" x14ac:dyDescent="0.2">
      <c r="A474" s="39" t="s">
        <v>1482</v>
      </c>
      <c r="B474" s="39" t="s">
        <v>61</v>
      </c>
      <c r="C474" s="39" t="s">
        <v>188</v>
      </c>
      <c r="D474" s="39" t="s">
        <v>137</v>
      </c>
      <c r="E474" s="39" t="s">
        <v>133</v>
      </c>
      <c r="G474" s="39" t="s">
        <v>153</v>
      </c>
      <c r="J474" s="39" t="s">
        <v>124</v>
      </c>
      <c r="K474" s="39" t="s">
        <v>5557</v>
      </c>
      <c r="L474" s="39" t="s">
        <v>1483</v>
      </c>
      <c r="M474" s="39" t="s">
        <v>1484</v>
      </c>
      <c r="N474" s="120" t="s">
        <v>1485</v>
      </c>
      <c r="O474" s="39" t="s">
        <v>53</v>
      </c>
      <c r="Q474" s="40"/>
      <c r="R474" s="40" t="s">
        <v>1604</v>
      </c>
    </row>
    <row r="475" spans="1:18" s="39" customFormat="1" ht="31.25" customHeight="1" x14ac:dyDescent="0.2">
      <c r="A475" s="39" t="s">
        <v>1486</v>
      </c>
      <c r="B475" s="39" t="s">
        <v>61</v>
      </c>
      <c r="C475" s="39" t="s">
        <v>132</v>
      </c>
      <c r="D475" s="39" t="s">
        <v>137</v>
      </c>
      <c r="E475" s="39" t="s">
        <v>133</v>
      </c>
      <c r="J475" s="39" t="s">
        <v>295</v>
      </c>
      <c r="K475" s="39" t="s">
        <v>5557</v>
      </c>
      <c r="L475" s="39" t="s">
        <v>1487</v>
      </c>
      <c r="M475" s="120" t="s">
        <v>1488</v>
      </c>
      <c r="O475" s="39" t="s">
        <v>55</v>
      </c>
      <c r="Q475" s="40"/>
      <c r="R475" s="40" t="s">
        <v>1604</v>
      </c>
    </row>
    <row r="476" spans="1:18" s="39" customFormat="1" ht="31.25" customHeight="1" x14ac:dyDescent="0.2">
      <c r="A476" s="39" t="s">
        <v>1489</v>
      </c>
      <c r="B476" s="39" t="s">
        <v>61</v>
      </c>
      <c r="C476" s="39" t="s">
        <v>132</v>
      </c>
      <c r="D476" s="39" t="s">
        <v>137</v>
      </c>
      <c r="E476" s="39" t="s">
        <v>133</v>
      </c>
      <c r="J476" s="39" t="s">
        <v>295</v>
      </c>
      <c r="K476" s="39" t="s">
        <v>5557</v>
      </c>
      <c r="L476" s="39" t="s">
        <v>1490</v>
      </c>
      <c r="M476" s="120" t="s">
        <v>1488</v>
      </c>
      <c r="O476" s="39" t="s">
        <v>55</v>
      </c>
      <c r="Q476" s="40"/>
      <c r="R476" s="40" t="s">
        <v>1604</v>
      </c>
    </row>
    <row r="477" spans="1:18" s="39" customFormat="1" ht="31.25" customHeight="1" x14ac:dyDescent="0.2">
      <c r="A477" s="39" t="s">
        <v>1491</v>
      </c>
      <c r="B477" s="39" t="s">
        <v>61</v>
      </c>
      <c r="C477" s="39" t="s">
        <v>177</v>
      </c>
      <c r="D477" s="39" t="s">
        <v>137</v>
      </c>
      <c r="E477" s="39" t="s">
        <v>133</v>
      </c>
      <c r="J477" s="39" t="s">
        <v>295</v>
      </c>
      <c r="K477" s="39" t="s">
        <v>5557</v>
      </c>
      <c r="L477" s="39" t="s">
        <v>1492</v>
      </c>
      <c r="M477" s="76" t="s">
        <v>1493</v>
      </c>
      <c r="N477" s="76" t="s">
        <v>1494</v>
      </c>
      <c r="O477" s="39" t="s">
        <v>55</v>
      </c>
      <c r="Q477" s="40"/>
      <c r="R477" s="40" t="s">
        <v>1604</v>
      </c>
    </row>
    <row r="478" spans="1:18" s="39" customFormat="1" ht="31.25" customHeight="1" x14ac:dyDescent="0.2">
      <c r="A478" s="39" t="s">
        <v>1495</v>
      </c>
      <c r="B478" s="39" t="s">
        <v>61</v>
      </c>
      <c r="C478" s="39" t="s">
        <v>132</v>
      </c>
      <c r="D478" s="39" t="s">
        <v>137</v>
      </c>
      <c r="E478" s="39" t="s">
        <v>133</v>
      </c>
      <c r="J478" s="39" t="s">
        <v>295</v>
      </c>
      <c r="K478" s="39" t="s">
        <v>5557</v>
      </c>
      <c r="L478" s="39" t="s">
        <v>1496</v>
      </c>
      <c r="M478" s="120" t="s">
        <v>1497</v>
      </c>
      <c r="O478" s="39" t="s">
        <v>55</v>
      </c>
      <c r="Q478" s="40"/>
      <c r="R478" s="40" t="s">
        <v>1604</v>
      </c>
    </row>
    <row r="479" spans="1:18" s="39" customFormat="1" ht="31.25" customHeight="1" x14ac:dyDescent="0.2">
      <c r="A479" s="39" t="s">
        <v>1498</v>
      </c>
      <c r="B479" s="39" t="s">
        <v>61</v>
      </c>
      <c r="C479" s="39" t="s">
        <v>132</v>
      </c>
      <c r="D479" s="39" t="s">
        <v>137</v>
      </c>
      <c r="E479" s="39" t="s">
        <v>133</v>
      </c>
      <c r="G479" s="39" t="s">
        <v>125</v>
      </c>
      <c r="H479" s="39" t="s">
        <v>134</v>
      </c>
      <c r="J479" s="39" t="s">
        <v>295</v>
      </c>
      <c r="K479" s="39" t="s">
        <v>5557</v>
      </c>
      <c r="L479" s="39" t="s">
        <v>1499</v>
      </c>
      <c r="O479" s="39" t="s">
        <v>55</v>
      </c>
      <c r="Q479" s="40"/>
      <c r="R479" s="40" t="s">
        <v>1604</v>
      </c>
    </row>
    <row r="480" spans="1:18" s="39" customFormat="1" ht="31.25" customHeight="1" x14ac:dyDescent="0.2">
      <c r="A480" s="39" t="s">
        <v>1500</v>
      </c>
      <c r="B480" s="39" t="s">
        <v>61</v>
      </c>
      <c r="C480" s="39" t="s">
        <v>120</v>
      </c>
      <c r="D480" s="39" t="s">
        <v>137</v>
      </c>
      <c r="E480" s="39" t="s">
        <v>133</v>
      </c>
      <c r="F480" s="39" t="s">
        <v>1501</v>
      </c>
      <c r="G480" s="39" t="s">
        <v>125</v>
      </c>
      <c r="H480" s="39" t="s">
        <v>134</v>
      </c>
      <c r="J480" s="39" t="s">
        <v>295</v>
      </c>
      <c r="K480" s="39" t="s">
        <v>5557</v>
      </c>
      <c r="L480" s="39" t="s">
        <v>1502</v>
      </c>
      <c r="M480" s="120" t="s">
        <v>1503</v>
      </c>
      <c r="N480" s="120" t="s">
        <v>1497</v>
      </c>
      <c r="O480" s="39" t="s">
        <v>54</v>
      </c>
      <c r="P480" s="40" t="s">
        <v>1504</v>
      </c>
      <c r="Q480" s="40">
        <v>60000</v>
      </c>
      <c r="R480" s="40">
        <v>20.830841715693083</v>
      </c>
    </row>
    <row r="481" spans="1:18" s="39" customFormat="1" ht="31.25" customHeight="1" x14ac:dyDescent="0.2">
      <c r="A481" s="39" t="s">
        <v>1505</v>
      </c>
      <c r="B481" s="39" t="s">
        <v>61</v>
      </c>
      <c r="C481" s="39" t="s">
        <v>177</v>
      </c>
      <c r="D481" s="39" t="s">
        <v>137</v>
      </c>
      <c r="E481" s="39" t="s">
        <v>251</v>
      </c>
      <c r="G481" s="39" t="s">
        <v>125</v>
      </c>
      <c r="H481" s="39" t="s">
        <v>162</v>
      </c>
      <c r="J481" s="39" t="s">
        <v>295</v>
      </c>
      <c r="K481" s="39" t="s">
        <v>5557</v>
      </c>
      <c r="L481" s="39" t="s">
        <v>1506</v>
      </c>
      <c r="M481" s="39" t="s">
        <v>1507</v>
      </c>
      <c r="N481" s="76" t="s">
        <v>1508</v>
      </c>
      <c r="O481" s="39" t="s">
        <v>54</v>
      </c>
      <c r="Q481" s="40"/>
      <c r="R481" s="40" t="s">
        <v>1604</v>
      </c>
    </row>
    <row r="482" spans="1:18" s="39" customFormat="1" ht="31.25" customHeight="1" x14ac:dyDescent="0.2">
      <c r="A482" s="39" t="s">
        <v>1509</v>
      </c>
      <c r="B482" s="39" t="s">
        <v>61</v>
      </c>
      <c r="C482" s="39" t="s">
        <v>132</v>
      </c>
      <c r="D482" s="39" t="s">
        <v>137</v>
      </c>
      <c r="E482" s="39" t="s">
        <v>133</v>
      </c>
      <c r="F482" s="39" t="s">
        <v>1510</v>
      </c>
      <c r="J482" s="39" t="s">
        <v>295</v>
      </c>
      <c r="K482" s="39" t="s">
        <v>5557</v>
      </c>
      <c r="L482" s="39" t="s">
        <v>1511</v>
      </c>
      <c r="N482" s="120" t="s">
        <v>1512</v>
      </c>
      <c r="O482" s="39" t="s">
        <v>55</v>
      </c>
      <c r="P482" s="40" t="s">
        <v>1504</v>
      </c>
      <c r="Q482" s="40">
        <v>70000</v>
      </c>
      <c r="R482" s="40">
        <v>24.302648668308599</v>
      </c>
    </row>
    <row r="483" spans="1:18" s="39" customFormat="1" ht="31.25" customHeight="1" x14ac:dyDescent="0.2">
      <c r="A483" s="39" t="s">
        <v>1513</v>
      </c>
      <c r="B483" s="39" t="s">
        <v>61</v>
      </c>
      <c r="C483" s="39" t="s">
        <v>120</v>
      </c>
      <c r="D483" s="39" t="s">
        <v>137</v>
      </c>
      <c r="E483" s="39" t="s">
        <v>133</v>
      </c>
      <c r="J483" s="39" t="s">
        <v>295</v>
      </c>
      <c r="K483" s="39" t="s">
        <v>5557</v>
      </c>
      <c r="L483" s="39" t="s">
        <v>1514</v>
      </c>
      <c r="O483" s="39" t="s">
        <v>55</v>
      </c>
      <c r="Q483" s="40"/>
      <c r="R483" s="40" t="s">
        <v>1604</v>
      </c>
    </row>
    <row r="484" spans="1:18" s="39" customFormat="1" ht="31.25" customHeight="1" x14ac:dyDescent="0.2">
      <c r="A484" s="39" t="s">
        <v>1515</v>
      </c>
      <c r="B484" s="39" t="s">
        <v>61</v>
      </c>
      <c r="C484" s="39" t="s">
        <v>177</v>
      </c>
      <c r="D484" s="39" t="s">
        <v>137</v>
      </c>
      <c r="E484" s="39" t="s">
        <v>133</v>
      </c>
      <c r="J484" s="39" t="s">
        <v>295</v>
      </c>
      <c r="K484" s="39" t="s">
        <v>5557</v>
      </c>
      <c r="L484" s="39" t="s">
        <v>1516</v>
      </c>
      <c r="O484" s="39" t="s">
        <v>55</v>
      </c>
      <c r="Q484" s="40"/>
      <c r="R484" s="40" t="s">
        <v>1604</v>
      </c>
    </row>
    <row r="485" spans="1:18" s="39" customFormat="1" ht="31.25" customHeight="1" x14ac:dyDescent="0.2">
      <c r="A485" s="39" t="s">
        <v>1517</v>
      </c>
      <c r="B485" s="39" t="s">
        <v>61</v>
      </c>
      <c r="C485" s="39" t="s">
        <v>177</v>
      </c>
      <c r="D485" s="39" t="s">
        <v>137</v>
      </c>
      <c r="E485" s="39" t="s">
        <v>133</v>
      </c>
      <c r="J485" s="39" t="s">
        <v>295</v>
      </c>
      <c r="K485" s="39" t="s">
        <v>5557</v>
      </c>
      <c r="L485" s="39" t="s">
        <v>1518</v>
      </c>
      <c r="O485" s="39" t="s">
        <v>55</v>
      </c>
      <c r="Q485" s="40"/>
      <c r="R485" s="40" t="s">
        <v>1604</v>
      </c>
    </row>
    <row r="486" spans="1:18" s="39" customFormat="1" ht="31.25" customHeight="1" x14ac:dyDescent="0.2">
      <c r="A486" s="39" t="s">
        <v>1519</v>
      </c>
      <c r="B486" s="39" t="s">
        <v>61</v>
      </c>
      <c r="C486" s="39" t="s">
        <v>177</v>
      </c>
      <c r="D486" s="39" t="s">
        <v>121</v>
      </c>
      <c r="E486" s="39" t="s">
        <v>133</v>
      </c>
      <c r="J486" s="39" t="s">
        <v>295</v>
      </c>
      <c r="K486" s="39" t="s">
        <v>5557</v>
      </c>
      <c r="L486" s="39" t="s">
        <v>1520</v>
      </c>
      <c r="O486" s="39" t="s">
        <v>55</v>
      </c>
      <c r="Q486" s="40"/>
      <c r="R486" s="40" t="s">
        <v>1604</v>
      </c>
    </row>
    <row r="487" spans="1:18" s="39" customFormat="1" ht="31.25" customHeight="1" x14ac:dyDescent="0.2">
      <c r="A487" s="39" t="s">
        <v>1521</v>
      </c>
      <c r="B487" s="39" t="s">
        <v>61</v>
      </c>
      <c r="C487" s="59" t="s">
        <v>177</v>
      </c>
      <c r="D487" s="39" t="s">
        <v>121</v>
      </c>
      <c r="E487" s="39" t="s">
        <v>151</v>
      </c>
      <c r="F487" s="39" t="s">
        <v>1522</v>
      </c>
      <c r="G487" s="39" t="s">
        <v>125</v>
      </c>
      <c r="H487" s="39" t="s">
        <v>162</v>
      </c>
      <c r="J487" s="39" t="s">
        <v>295</v>
      </c>
      <c r="K487" s="39" t="s">
        <v>5557</v>
      </c>
      <c r="L487" s="39" t="s">
        <v>1523</v>
      </c>
      <c r="M487" s="121" t="s">
        <v>1524</v>
      </c>
      <c r="O487" s="39" t="s">
        <v>52</v>
      </c>
      <c r="P487" s="40" t="s">
        <v>1504</v>
      </c>
      <c r="Q487" s="40">
        <v>17300</v>
      </c>
      <c r="R487" s="40">
        <v>6.0062260280248392</v>
      </c>
    </row>
    <row r="488" spans="1:18" s="39" customFormat="1" ht="31.25" customHeight="1" x14ac:dyDescent="0.2">
      <c r="A488" s="39" t="s">
        <v>1525</v>
      </c>
      <c r="B488" s="39" t="s">
        <v>61</v>
      </c>
      <c r="C488" s="59" t="s">
        <v>177</v>
      </c>
      <c r="D488" s="39" t="s">
        <v>121</v>
      </c>
      <c r="E488" s="39" t="s">
        <v>172</v>
      </c>
      <c r="G488" s="39" t="s">
        <v>134</v>
      </c>
      <c r="H488" s="39" t="s">
        <v>125</v>
      </c>
      <c r="J488" s="39" t="s">
        <v>295</v>
      </c>
      <c r="K488" s="39" t="s">
        <v>5557</v>
      </c>
      <c r="L488" s="39" t="s">
        <v>1526</v>
      </c>
      <c r="M488" s="120" t="s">
        <v>1527</v>
      </c>
      <c r="N488" s="76" t="s">
        <v>1528</v>
      </c>
      <c r="O488" s="39" t="s">
        <v>52</v>
      </c>
      <c r="P488" s="40"/>
      <c r="Q488" s="40"/>
      <c r="R488" s="40" t="s">
        <v>1604</v>
      </c>
    </row>
    <row r="489" spans="1:18" s="39" customFormat="1" ht="31.25" customHeight="1" x14ac:dyDescent="0.2">
      <c r="A489" s="39" t="s">
        <v>1529</v>
      </c>
      <c r="B489" s="39" t="s">
        <v>61</v>
      </c>
      <c r="C489" s="59" t="s">
        <v>177</v>
      </c>
      <c r="D489" s="39" t="s">
        <v>137</v>
      </c>
      <c r="E489" s="39" t="s">
        <v>133</v>
      </c>
      <c r="F489" s="39" t="s">
        <v>1530</v>
      </c>
      <c r="G489" s="39" t="s">
        <v>125</v>
      </c>
      <c r="H489" s="39" t="s">
        <v>134</v>
      </c>
      <c r="J489" s="39" t="s">
        <v>295</v>
      </c>
      <c r="K489" s="39" t="s">
        <v>5557</v>
      </c>
      <c r="L489" s="39" t="s">
        <v>1531</v>
      </c>
      <c r="M489" s="76" t="s">
        <v>1532</v>
      </c>
      <c r="N489" s="76" t="s">
        <v>1533</v>
      </c>
      <c r="O489" s="39" t="s">
        <v>54</v>
      </c>
      <c r="P489" s="40" t="s">
        <v>1504</v>
      </c>
      <c r="Q489" s="40">
        <v>1500</v>
      </c>
      <c r="R489" s="40">
        <v>0.52077104289232712</v>
      </c>
    </row>
    <row r="490" spans="1:18" s="39" customFormat="1" ht="31.25" customHeight="1" x14ac:dyDescent="0.2">
      <c r="A490" s="39" t="s">
        <v>1534</v>
      </c>
      <c r="B490" s="39" t="s">
        <v>61</v>
      </c>
      <c r="C490" s="39" t="s">
        <v>171</v>
      </c>
      <c r="D490" s="39" t="s">
        <v>137</v>
      </c>
      <c r="E490" s="39" t="s">
        <v>133</v>
      </c>
      <c r="G490" s="39" t="s">
        <v>125</v>
      </c>
      <c r="H490" s="39" t="s">
        <v>134</v>
      </c>
      <c r="I490" s="39" t="s">
        <v>153</v>
      </c>
      <c r="J490" s="39" t="s">
        <v>295</v>
      </c>
      <c r="K490" s="39" t="s">
        <v>5557</v>
      </c>
      <c r="L490" s="39" t="s">
        <v>1535</v>
      </c>
      <c r="N490" s="39" t="s">
        <v>1533</v>
      </c>
      <c r="O490" s="39" t="s">
        <v>55</v>
      </c>
      <c r="Q490" s="40"/>
      <c r="R490" s="40" t="s">
        <v>1604</v>
      </c>
    </row>
    <row r="491" spans="1:18" s="39" customFormat="1" ht="31.25" customHeight="1" x14ac:dyDescent="0.2">
      <c r="A491" s="39" t="s">
        <v>1536</v>
      </c>
      <c r="B491" s="39" t="s">
        <v>61</v>
      </c>
      <c r="C491" s="39" t="s">
        <v>171</v>
      </c>
      <c r="D491" s="39" t="s">
        <v>121</v>
      </c>
      <c r="E491" s="39" t="s">
        <v>147</v>
      </c>
      <c r="G491" s="39" t="s">
        <v>134</v>
      </c>
      <c r="H491" s="39" t="s">
        <v>153</v>
      </c>
      <c r="I491" s="39" t="s">
        <v>125</v>
      </c>
      <c r="J491" s="39" t="s">
        <v>295</v>
      </c>
      <c r="K491" s="39" t="s">
        <v>5557</v>
      </c>
      <c r="L491" s="39" t="s">
        <v>1537</v>
      </c>
      <c r="N491" s="39" t="s">
        <v>1533</v>
      </c>
      <c r="O491" s="39" t="s">
        <v>52</v>
      </c>
      <c r="Q491" s="40"/>
      <c r="R491" s="40" t="s">
        <v>1604</v>
      </c>
    </row>
    <row r="492" spans="1:18" s="39" customFormat="1" ht="31.25" customHeight="1" x14ac:dyDescent="0.2">
      <c r="A492" s="39" t="s">
        <v>1538</v>
      </c>
      <c r="B492" s="39" t="s">
        <v>61</v>
      </c>
      <c r="C492" s="59" t="s">
        <v>177</v>
      </c>
      <c r="D492" s="39" t="s">
        <v>137</v>
      </c>
      <c r="E492" s="39" t="s">
        <v>734</v>
      </c>
      <c r="G492" s="39" t="s">
        <v>125</v>
      </c>
      <c r="H492" s="39" t="s">
        <v>208</v>
      </c>
      <c r="J492" s="39" t="s">
        <v>295</v>
      </c>
      <c r="K492" s="39" t="s">
        <v>5557</v>
      </c>
      <c r="L492" s="39" t="s">
        <v>1539</v>
      </c>
      <c r="N492" s="39" t="s">
        <v>1533</v>
      </c>
      <c r="O492" s="39" t="s">
        <v>53</v>
      </c>
      <c r="Q492" s="40"/>
      <c r="R492" s="40" t="s">
        <v>1604</v>
      </c>
    </row>
    <row r="493" spans="1:18" s="39" customFormat="1" ht="31.25" customHeight="1" x14ac:dyDescent="0.2">
      <c r="A493" s="39" t="s">
        <v>1540</v>
      </c>
      <c r="B493" s="39" t="s">
        <v>61</v>
      </c>
      <c r="C493" s="59" t="s">
        <v>177</v>
      </c>
      <c r="D493" s="39" t="s">
        <v>121</v>
      </c>
      <c r="E493" s="39" t="s">
        <v>133</v>
      </c>
      <c r="G493" s="39" t="s">
        <v>134</v>
      </c>
      <c r="H493" s="39" t="s">
        <v>125</v>
      </c>
      <c r="J493" s="39" t="s">
        <v>295</v>
      </c>
      <c r="K493" s="39" t="s">
        <v>5557</v>
      </c>
      <c r="L493" s="39" t="s">
        <v>1541</v>
      </c>
      <c r="N493" s="39" t="s">
        <v>1533</v>
      </c>
      <c r="O493" s="39" t="s">
        <v>53</v>
      </c>
      <c r="Q493" s="40"/>
      <c r="R493" s="40" t="s">
        <v>1604</v>
      </c>
    </row>
    <row r="494" spans="1:18" s="39" customFormat="1" ht="31.25" customHeight="1" x14ac:dyDescent="0.2">
      <c r="A494" s="39" t="s">
        <v>1542</v>
      </c>
      <c r="B494" s="39" t="s">
        <v>61</v>
      </c>
      <c r="C494" s="39" t="s">
        <v>120</v>
      </c>
      <c r="D494" s="39" t="s">
        <v>121</v>
      </c>
      <c r="E494" s="39" t="s">
        <v>172</v>
      </c>
      <c r="F494" s="39" t="s">
        <v>1543</v>
      </c>
      <c r="G494" s="39" t="s">
        <v>134</v>
      </c>
      <c r="H494" s="39" t="s">
        <v>158</v>
      </c>
      <c r="J494" s="39" t="s">
        <v>295</v>
      </c>
      <c r="K494" s="39" t="s">
        <v>5557</v>
      </c>
      <c r="L494" s="39" t="s">
        <v>1544</v>
      </c>
      <c r="M494" s="120" t="s">
        <v>1545</v>
      </c>
      <c r="N494" s="76" t="s">
        <v>1546</v>
      </c>
      <c r="O494" s="39" t="s">
        <v>53</v>
      </c>
      <c r="P494" s="40" t="s">
        <v>1504</v>
      </c>
      <c r="Q494" s="40">
        <v>1500000</v>
      </c>
      <c r="R494" s="40">
        <v>520.77104289232716</v>
      </c>
    </row>
    <row r="495" spans="1:18" s="39" customFormat="1" ht="31.25" customHeight="1" x14ac:dyDescent="0.2">
      <c r="A495" s="39" t="s">
        <v>1547</v>
      </c>
      <c r="B495" s="39" t="s">
        <v>61</v>
      </c>
      <c r="C495" s="39" t="s">
        <v>132</v>
      </c>
      <c r="D495" s="39" t="s">
        <v>121</v>
      </c>
      <c r="E495" s="39" t="s">
        <v>133</v>
      </c>
      <c r="G495" s="39" t="s">
        <v>153</v>
      </c>
      <c r="J495" s="39" t="s">
        <v>295</v>
      </c>
      <c r="K495" s="39" t="s">
        <v>5557</v>
      </c>
      <c r="L495" s="39" t="s">
        <v>1548</v>
      </c>
      <c r="N495" s="39" t="s">
        <v>1484</v>
      </c>
      <c r="O495" s="39" t="s">
        <v>53</v>
      </c>
      <c r="Q495" s="40"/>
      <c r="R495" s="40" t="s">
        <v>1604</v>
      </c>
    </row>
    <row r="496" spans="1:18" s="39" customFormat="1" ht="31.25" customHeight="1" x14ac:dyDescent="0.2">
      <c r="A496" s="39" t="s">
        <v>1549</v>
      </c>
      <c r="B496" s="39" t="s">
        <v>61</v>
      </c>
      <c r="C496" s="39" t="s">
        <v>188</v>
      </c>
      <c r="D496" s="39" t="s">
        <v>160</v>
      </c>
      <c r="E496" s="39" t="s">
        <v>151</v>
      </c>
      <c r="F496" s="39" t="s">
        <v>295</v>
      </c>
      <c r="G496" s="39" t="s">
        <v>125</v>
      </c>
      <c r="H496" s="39" t="s">
        <v>162</v>
      </c>
      <c r="J496" s="39" t="s">
        <v>295</v>
      </c>
      <c r="K496" s="39" t="s">
        <v>5557</v>
      </c>
      <c r="L496" s="39" t="s">
        <v>1550</v>
      </c>
      <c r="M496" s="120" t="s">
        <v>1551</v>
      </c>
      <c r="N496" s="120" t="s">
        <v>1552</v>
      </c>
      <c r="O496" s="39" t="s">
        <v>55</v>
      </c>
      <c r="Q496" s="39" t="s">
        <v>5397</v>
      </c>
      <c r="R496" s="40" t="s">
        <v>1604</v>
      </c>
    </row>
    <row r="497" spans="1:18" s="39" customFormat="1" ht="31.25" customHeight="1" x14ac:dyDescent="0.2">
      <c r="A497" s="39" t="s">
        <v>1553</v>
      </c>
      <c r="B497" s="39" t="s">
        <v>61</v>
      </c>
      <c r="C497" s="39" t="s">
        <v>120</v>
      </c>
      <c r="E497" s="39" t="s">
        <v>151</v>
      </c>
      <c r="F497" s="39" t="s">
        <v>1554</v>
      </c>
      <c r="J497" s="39" t="s">
        <v>295</v>
      </c>
      <c r="K497" s="39" t="s">
        <v>5557</v>
      </c>
      <c r="L497" s="39" t="s">
        <v>1555</v>
      </c>
      <c r="M497" s="120" t="s">
        <v>1556</v>
      </c>
      <c r="N497" s="122" t="s">
        <v>1557</v>
      </c>
      <c r="O497" s="39" t="s">
        <v>52</v>
      </c>
      <c r="P497" s="40" t="s">
        <v>1504</v>
      </c>
      <c r="Q497" s="40">
        <v>573896</v>
      </c>
      <c r="R497" s="40">
        <v>199.24561228782332</v>
      </c>
    </row>
    <row r="498" spans="1:18" s="39" customFormat="1" ht="31.25" customHeight="1" x14ac:dyDescent="0.2">
      <c r="A498" s="39" t="s">
        <v>1558</v>
      </c>
      <c r="B498" s="39" t="s">
        <v>61</v>
      </c>
      <c r="C498" s="39" t="s">
        <v>188</v>
      </c>
      <c r="D498" s="55" t="s">
        <v>121</v>
      </c>
      <c r="E498" s="39" t="s">
        <v>151</v>
      </c>
      <c r="F498" s="39" t="s">
        <v>295</v>
      </c>
      <c r="J498" s="39" t="s">
        <v>295</v>
      </c>
      <c r="K498" s="39" t="s">
        <v>5557</v>
      </c>
      <c r="L498" s="39" t="s">
        <v>1559</v>
      </c>
      <c r="M498" s="122" t="s">
        <v>1556</v>
      </c>
      <c r="N498" s="120" t="s">
        <v>1560</v>
      </c>
      <c r="O498" s="39" t="s">
        <v>52</v>
      </c>
      <c r="R498" s="40" t="s">
        <v>1604</v>
      </c>
    </row>
    <row r="499" spans="1:18" s="39" customFormat="1" ht="31.25" customHeight="1" x14ac:dyDescent="0.2">
      <c r="A499" s="39" t="s">
        <v>1561</v>
      </c>
      <c r="B499" s="39" t="s">
        <v>61</v>
      </c>
      <c r="C499" s="39" t="s">
        <v>188</v>
      </c>
      <c r="D499" s="55" t="s">
        <v>121</v>
      </c>
      <c r="E499" s="39" t="s">
        <v>133</v>
      </c>
      <c r="G499" s="39" t="s">
        <v>125</v>
      </c>
      <c r="H499" s="39" t="s">
        <v>162</v>
      </c>
      <c r="J499" s="39" t="s">
        <v>295</v>
      </c>
      <c r="K499" s="39" t="s">
        <v>5557</v>
      </c>
      <c r="L499" s="39" t="s">
        <v>1562</v>
      </c>
      <c r="N499" s="120" t="s">
        <v>1560</v>
      </c>
      <c r="O499" s="39" t="s">
        <v>54</v>
      </c>
      <c r="P499" s="94"/>
      <c r="Q499" s="40"/>
      <c r="R499" s="40" t="s">
        <v>1604</v>
      </c>
    </row>
    <row r="500" spans="1:18" s="39" customFormat="1" ht="31.25" customHeight="1" x14ac:dyDescent="0.2">
      <c r="A500" s="39" t="s">
        <v>1563</v>
      </c>
      <c r="B500" s="39" t="s">
        <v>61</v>
      </c>
      <c r="C500" s="39" t="s">
        <v>120</v>
      </c>
      <c r="D500" s="55" t="s">
        <v>121</v>
      </c>
      <c r="E500" s="39" t="s">
        <v>151</v>
      </c>
      <c r="F500" s="39" t="s">
        <v>1564</v>
      </c>
      <c r="G500" s="39" t="s">
        <v>125</v>
      </c>
      <c r="H500" s="39" t="s">
        <v>162</v>
      </c>
      <c r="J500" s="39" t="s">
        <v>295</v>
      </c>
      <c r="K500" s="39" t="s">
        <v>5557</v>
      </c>
      <c r="L500" s="39" t="s">
        <v>1565</v>
      </c>
      <c r="M500" s="120" t="s">
        <v>1512</v>
      </c>
      <c r="O500" s="39" t="s">
        <v>55</v>
      </c>
      <c r="P500" s="40" t="s">
        <v>1504</v>
      </c>
      <c r="Q500" s="40">
        <v>300000</v>
      </c>
      <c r="R500" s="40">
        <v>104.15420857846543</v>
      </c>
    </row>
    <row r="501" spans="1:18" s="39" customFormat="1" ht="31.25" customHeight="1" x14ac:dyDescent="0.2">
      <c r="A501" s="39" t="s">
        <v>1566</v>
      </c>
      <c r="B501" s="39" t="s">
        <v>61</v>
      </c>
      <c r="C501" s="39" t="s">
        <v>171</v>
      </c>
      <c r="D501" s="55" t="s">
        <v>121</v>
      </c>
      <c r="E501" s="39" t="s">
        <v>133</v>
      </c>
      <c r="G501" s="39" t="s">
        <v>134</v>
      </c>
      <c r="H501" s="39" t="s">
        <v>158</v>
      </c>
      <c r="J501" s="39" t="s">
        <v>295</v>
      </c>
      <c r="K501" s="39" t="s">
        <v>5557</v>
      </c>
      <c r="L501" s="123" t="s">
        <v>1567</v>
      </c>
      <c r="M501" s="120" t="s">
        <v>1568</v>
      </c>
      <c r="N501" s="120" t="s">
        <v>1569</v>
      </c>
      <c r="O501" s="39" t="s">
        <v>55</v>
      </c>
      <c r="P501" s="94"/>
      <c r="Q501" s="40"/>
      <c r="R501" s="40" t="s">
        <v>1604</v>
      </c>
    </row>
    <row r="502" spans="1:18" s="39" customFormat="1" ht="31.25" customHeight="1" x14ac:dyDescent="0.2">
      <c r="A502" s="39" t="s">
        <v>1570</v>
      </c>
      <c r="B502" s="39" t="s">
        <v>61</v>
      </c>
      <c r="C502" s="39" t="s">
        <v>120</v>
      </c>
      <c r="D502" s="39" t="s">
        <v>137</v>
      </c>
      <c r="E502" s="39" t="s">
        <v>133</v>
      </c>
      <c r="J502" s="39" t="s">
        <v>157</v>
      </c>
      <c r="K502" s="39" t="s">
        <v>5558</v>
      </c>
      <c r="L502" s="39" t="s">
        <v>1571</v>
      </c>
      <c r="M502" s="76" t="s">
        <v>1572</v>
      </c>
      <c r="N502" s="39" t="s">
        <v>1573</v>
      </c>
      <c r="O502" s="39" t="s">
        <v>55</v>
      </c>
      <c r="Q502" s="40"/>
      <c r="R502" s="40" t="s">
        <v>1604</v>
      </c>
    </row>
    <row r="503" spans="1:18" s="39" customFormat="1" ht="31.25" customHeight="1" x14ac:dyDescent="0.2">
      <c r="A503" s="39" t="s">
        <v>1574</v>
      </c>
      <c r="B503" s="39" t="s">
        <v>61</v>
      </c>
      <c r="C503" s="39" t="s">
        <v>120</v>
      </c>
      <c r="D503" s="55" t="s">
        <v>121</v>
      </c>
      <c r="E503" s="39" t="s">
        <v>122</v>
      </c>
      <c r="G503" s="39" t="s">
        <v>125</v>
      </c>
      <c r="H503" s="39" t="s">
        <v>162</v>
      </c>
      <c r="J503" s="39" t="s">
        <v>124</v>
      </c>
      <c r="K503" s="39" t="s">
        <v>5557</v>
      </c>
      <c r="L503" s="54" t="s">
        <v>1575</v>
      </c>
      <c r="M503" s="85" t="s">
        <v>1576</v>
      </c>
      <c r="N503" s="76" t="s">
        <v>1577</v>
      </c>
      <c r="O503" s="39" t="s">
        <v>55</v>
      </c>
      <c r="P503" s="124"/>
      <c r="Q503" s="40"/>
      <c r="R503" s="40" t="s">
        <v>1604</v>
      </c>
    </row>
    <row r="504" spans="1:18" s="39" customFormat="1" ht="31.25" customHeight="1" x14ac:dyDescent="0.2">
      <c r="A504" s="39" t="s">
        <v>1578</v>
      </c>
      <c r="B504" s="39" t="s">
        <v>61</v>
      </c>
      <c r="C504" s="39" t="s">
        <v>188</v>
      </c>
      <c r="D504" s="55" t="s">
        <v>121</v>
      </c>
      <c r="E504" s="39" t="s">
        <v>151</v>
      </c>
      <c r="F504" s="39" t="s">
        <v>1579</v>
      </c>
      <c r="G504" s="39" t="s">
        <v>125</v>
      </c>
      <c r="H504" s="39" t="s">
        <v>162</v>
      </c>
      <c r="J504" s="39" t="s">
        <v>124</v>
      </c>
      <c r="K504" s="39" t="s">
        <v>5557</v>
      </c>
      <c r="L504" s="39" t="s">
        <v>1580</v>
      </c>
      <c r="M504" s="85" t="s">
        <v>1581</v>
      </c>
      <c r="N504" s="85" t="s">
        <v>1582</v>
      </c>
      <c r="O504" s="39" t="s">
        <v>54</v>
      </c>
      <c r="P504" s="124" t="s">
        <v>1504</v>
      </c>
      <c r="Q504" s="124">
        <v>4305</v>
      </c>
      <c r="R504" s="40">
        <v>1.4946128931009788</v>
      </c>
    </row>
    <row r="505" spans="1:18" s="39" customFormat="1" ht="31.25" customHeight="1" x14ac:dyDescent="0.2">
      <c r="A505" s="39" t="s">
        <v>1583</v>
      </c>
      <c r="B505" s="39" t="s">
        <v>61</v>
      </c>
      <c r="C505" s="39" t="s">
        <v>177</v>
      </c>
      <c r="D505" s="39" t="s">
        <v>160</v>
      </c>
      <c r="E505" s="39" t="s">
        <v>251</v>
      </c>
      <c r="G505" s="39" t="s">
        <v>125</v>
      </c>
      <c r="H505" s="39" t="s">
        <v>162</v>
      </c>
      <c r="J505" s="39" t="s">
        <v>124</v>
      </c>
      <c r="K505" s="39" t="s">
        <v>5557</v>
      </c>
      <c r="L505" s="39" t="s">
        <v>1584</v>
      </c>
      <c r="M505" s="39" t="s">
        <v>1585</v>
      </c>
      <c r="N505" s="76" t="s">
        <v>1586</v>
      </c>
      <c r="O505" s="39" t="s">
        <v>52</v>
      </c>
      <c r="Q505" s="40"/>
      <c r="R505" s="40" t="s">
        <v>1604</v>
      </c>
    </row>
    <row r="506" spans="1:18" s="39" customFormat="1" ht="31.25" customHeight="1" x14ac:dyDescent="0.2">
      <c r="A506" s="39" t="s">
        <v>1587</v>
      </c>
      <c r="B506" s="39" t="s">
        <v>61</v>
      </c>
      <c r="C506" s="59" t="s">
        <v>177</v>
      </c>
      <c r="D506" s="39" t="s">
        <v>137</v>
      </c>
      <c r="E506" s="39" t="s">
        <v>151</v>
      </c>
      <c r="F506" s="39" t="s">
        <v>1588</v>
      </c>
      <c r="G506" s="39" t="s">
        <v>125</v>
      </c>
      <c r="H506" s="39" t="s">
        <v>162</v>
      </c>
      <c r="J506" s="39" t="s">
        <v>124</v>
      </c>
      <c r="K506" s="39" t="s">
        <v>5557</v>
      </c>
      <c r="L506" s="39" t="s">
        <v>1589</v>
      </c>
      <c r="M506" s="121" t="s">
        <v>1524</v>
      </c>
      <c r="O506" s="125" t="s">
        <v>52</v>
      </c>
      <c r="R506" s="40" t="s">
        <v>1604</v>
      </c>
    </row>
    <row r="507" spans="1:18" s="39" customFormat="1" ht="31.25" customHeight="1" x14ac:dyDescent="0.2">
      <c r="A507" s="75" t="s">
        <v>1590</v>
      </c>
      <c r="B507" s="75" t="s">
        <v>94</v>
      </c>
      <c r="C507" s="75" t="s">
        <v>132</v>
      </c>
      <c r="D507" s="75" t="s">
        <v>137</v>
      </c>
      <c r="E507" s="75" t="s">
        <v>133</v>
      </c>
      <c r="F507" s="75"/>
      <c r="G507" s="75" t="s">
        <v>158</v>
      </c>
      <c r="H507" s="75"/>
      <c r="I507" s="75"/>
      <c r="J507" s="75"/>
      <c r="K507" s="75"/>
      <c r="L507" s="75" t="s">
        <v>1591</v>
      </c>
      <c r="M507" s="75" t="s">
        <v>1592</v>
      </c>
      <c r="N507" s="75"/>
      <c r="O507" s="75" t="s">
        <v>55</v>
      </c>
      <c r="P507" s="75"/>
      <c r="Q507" s="100"/>
      <c r="R507" s="40" t="s">
        <v>1604</v>
      </c>
    </row>
    <row r="508" spans="1:18" s="39" customFormat="1" ht="31.25" customHeight="1" x14ac:dyDescent="0.2">
      <c r="A508" s="39" t="s">
        <v>1593</v>
      </c>
      <c r="B508" s="39" t="s">
        <v>94</v>
      </c>
      <c r="C508" s="39" t="s">
        <v>120</v>
      </c>
      <c r="D508" s="39" t="s">
        <v>137</v>
      </c>
      <c r="E508" s="39" t="s">
        <v>133</v>
      </c>
      <c r="F508" s="39" t="s">
        <v>1594</v>
      </c>
      <c r="G508" s="39" t="s">
        <v>158</v>
      </c>
      <c r="L508" s="39" t="s">
        <v>1595</v>
      </c>
      <c r="M508" s="39" t="s">
        <v>1596</v>
      </c>
      <c r="O508" s="39" t="s">
        <v>55</v>
      </c>
      <c r="P508" s="39" t="s">
        <v>601</v>
      </c>
      <c r="Q508" s="40">
        <v>1600</v>
      </c>
      <c r="R508" s="40">
        <v>1600</v>
      </c>
    </row>
    <row r="509" spans="1:18" s="39" customFormat="1" ht="31.25" customHeight="1" x14ac:dyDescent="0.2">
      <c r="A509" s="39" t="s">
        <v>1597</v>
      </c>
      <c r="B509" s="39" t="s">
        <v>94</v>
      </c>
      <c r="C509" s="39" t="s">
        <v>120</v>
      </c>
      <c r="D509" s="39" t="s">
        <v>121</v>
      </c>
      <c r="E509" s="39" t="s">
        <v>251</v>
      </c>
      <c r="F509" s="39" t="s">
        <v>1598</v>
      </c>
      <c r="G509" s="39" t="s">
        <v>125</v>
      </c>
      <c r="H509" s="39" t="s">
        <v>162</v>
      </c>
      <c r="L509" s="39" t="s">
        <v>1599</v>
      </c>
      <c r="M509" s="39" t="s">
        <v>1600</v>
      </c>
      <c r="O509" s="39" t="s">
        <v>53</v>
      </c>
      <c r="P509" s="39" t="s">
        <v>601</v>
      </c>
      <c r="Q509" s="40">
        <v>5500</v>
      </c>
      <c r="R509" s="40">
        <v>5500</v>
      </c>
    </row>
    <row r="510" spans="1:18" s="39" customFormat="1" ht="31.25" customHeight="1" x14ac:dyDescent="0.2">
      <c r="A510" s="39" t="s">
        <v>1601</v>
      </c>
      <c r="B510" s="39" t="s">
        <v>94</v>
      </c>
      <c r="C510" s="39" t="s">
        <v>226</v>
      </c>
      <c r="D510" s="39" t="s">
        <v>137</v>
      </c>
      <c r="E510" s="39" t="s">
        <v>133</v>
      </c>
      <c r="G510" s="39" t="s">
        <v>158</v>
      </c>
      <c r="L510" s="39" t="s">
        <v>1602</v>
      </c>
      <c r="M510" s="39" t="s">
        <v>1603</v>
      </c>
      <c r="O510" s="39" t="s">
        <v>55</v>
      </c>
      <c r="Q510" s="40"/>
      <c r="R510" s="40" t="s">
        <v>1604</v>
      </c>
    </row>
    <row r="511" spans="1:18" s="39" customFormat="1" ht="31.25" customHeight="1" x14ac:dyDescent="0.2">
      <c r="A511" s="39" t="s">
        <v>1605</v>
      </c>
      <c r="B511" s="39" t="s">
        <v>94</v>
      </c>
      <c r="C511" s="39" t="s">
        <v>177</v>
      </c>
      <c r="D511" s="39" t="s">
        <v>121</v>
      </c>
      <c r="E511" s="39" t="s">
        <v>172</v>
      </c>
      <c r="G511" s="39" t="s">
        <v>134</v>
      </c>
      <c r="L511" s="39" t="s">
        <v>1606</v>
      </c>
      <c r="O511" s="39" t="s">
        <v>55</v>
      </c>
      <c r="Q511" s="40"/>
      <c r="R511" s="40" t="s">
        <v>1604</v>
      </c>
    </row>
    <row r="512" spans="1:18" s="39" customFormat="1" ht="31.25" customHeight="1" x14ac:dyDescent="0.2">
      <c r="A512" s="39" t="s">
        <v>1607</v>
      </c>
      <c r="B512" s="39" t="s">
        <v>94</v>
      </c>
      <c r="C512" s="60" t="s">
        <v>177</v>
      </c>
      <c r="D512" s="39" t="s">
        <v>137</v>
      </c>
      <c r="E512" s="39" t="s">
        <v>133</v>
      </c>
      <c r="F512" s="39" t="s">
        <v>1608</v>
      </c>
      <c r="G512" s="39" t="s">
        <v>125</v>
      </c>
      <c r="H512" s="39" t="s">
        <v>208</v>
      </c>
      <c r="I512" s="39" t="s">
        <v>162</v>
      </c>
      <c r="L512" s="39" t="s">
        <v>1609</v>
      </c>
      <c r="M512" s="39" t="s">
        <v>1610</v>
      </c>
      <c r="O512" s="39" t="s">
        <v>52</v>
      </c>
      <c r="P512" s="39" t="s">
        <v>601</v>
      </c>
      <c r="Q512" s="40">
        <v>300</v>
      </c>
      <c r="R512" s="40">
        <v>300</v>
      </c>
    </row>
    <row r="513" spans="1:18" s="39" customFormat="1" ht="31.25" customHeight="1" x14ac:dyDescent="0.2">
      <c r="A513" s="39" t="s">
        <v>1611</v>
      </c>
      <c r="B513" s="39" t="s">
        <v>94</v>
      </c>
      <c r="C513" s="60" t="s">
        <v>177</v>
      </c>
      <c r="D513" s="39" t="s">
        <v>137</v>
      </c>
      <c r="E513" s="39" t="s">
        <v>133</v>
      </c>
      <c r="F513" s="39" t="s">
        <v>1608</v>
      </c>
      <c r="G513" s="39" t="s">
        <v>125</v>
      </c>
      <c r="L513" s="39" t="s">
        <v>1612</v>
      </c>
      <c r="M513" s="39" t="s">
        <v>1613</v>
      </c>
      <c r="O513" s="39" t="s">
        <v>52</v>
      </c>
      <c r="P513" s="39" t="s">
        <v>601</v>
      </c>
      <c r="Q513" s="40">
        <v>300</v>
      </c>
      <c r="R513" s="40">
        <v>300</v>
      </c>
    </row>
    <row r="514" spans="1:18" s="39" customFormat="1" ht="31.25" customHeight="1" x14ac:dyDescent="0.2">
      <c r="A514" s="50" t="s">
        <v>1614</v>
      </c>
      <c r="B514" s="50" t="s">
        <v>94</v>
      </c>
      <c r="C514" s="50" t="s">
        <v>132</v>
      </c>
      <c r="D514" s="50" t="s">
        <v>137</v>
      </c>
      <c r="E514" s="50" t="s">
        <v>133</v>
      </c>
      <c r="F514" s="50" t="s">
        <v>1615</v>
      </c>
      <c r="G514" s="50" t="s">
        <v>125</v>
      </c>
      <c r="H514" s="50" t="s">
        <v>162</v>
      </c>
      <c r="I514" s="50"/>
      <c r="J514" s="50" t="s">
        <v>124</v>
      </c>
      <c r="K514" s="50" t="s">
        <v>5557</v>
      </c>
      <c r="L514" s="50" t="s">
        <v>1616</v>
      </c>
      <c r="M514" s="50" t="s">
        <v>1617</v>
      </c>
      <c r="N514" s="50"/>
      <c r="O514" s="50" t="s">
        <v>52</v>
      </c>
      <c r="P514" s="50" t="s">
        <v>601</v>
      </c>
      <c r="Q514" s="97">
        <v>44.244</v>
      </c>
      <c r="R514" s="40">
        <v>44.244</v>
      </c>
    </row>
    <row r="515" spans="1:18" s="39" customFormat="1" ht="31.25" customHeight="1" x14ac:dyDescent="0.2">
      <c r="A515" s="39" t="s">
        <v>1618</v>
      </c>
      <c r="B515" s="39" t="s">
        <v>94</v>
      </c>
      <c r="C515" s="39" t="s">
        <v>120</v>
      </c>
      <c r="D515" s="39" t="s">
        <v>137</v>
      </c>
      <c r="E515" s="39" t="s">
        <v>133</v>
      </c>
      <c r="F515" s="39" t="s">
        <v>1619</v>
      </c>
      <c r="G515" s="39" t="s">
        <v>1448</v>
      </c>
      <c r="J515" s="39" t="s">
        <v>124</v>
      </c>
      <c r="K515" s="39" t="s">
        <v>5557</v>
      </c>
      <c r="L515" s="39" t="s">
        <v>1620</v>
      </c>
      <c r="M515" s="76" t="s">
        <v>1621</v>
      </c>
      <c r="O515" s="39" t="s">
        <v>55</v>
      </c>
      <c r="P515" s="39" t="s">
        <v>601</v>
      </c>
      <c r="Q515" s="40">
        <v>1750</v>
      </c>
      <c r="R515" s="40">
        <v>1750</v>
      </c>
    </row>
    <row r="516" spans="1:18" s="39" customFormat="1" ht="31.25" customHeight="1" x14ac:dyDescent="0.2">
      <c r="A516" s="39" t="s">
        <v>1622</v>
      </c>
      <c r="B516" s="39" t="s">
        <v>94</v>
      </c>
      <c r="C516" s="39" t="s">
        <v>132</v>
      </c>
      <c r="D516" s="39" t="s">
        <v>121</v>
      </c>
      <c r="E516" s="39" t="s">
        <v>133</v>
      </c>
      <c r="F516" s="39" t="s">
        <v>1623</v>
      </c>
      <c r="G516" s="39" t="s">
        <v>125</v>
      </c>
      <c r="J516" s="39" t="s">
        <v>124</v>
      </c>
      <c r="K516" s="39" t="s">
        <v>5557</v>
      </c>
      <c r="L516" s="39" t="s">
        <v>1624</v>
      </c>
      <c r="M516" s="76" t="s">
        <v>1625</v>
      </c>
      <c r="O516" s="39" t="s">
        <v>55</v>
      </c>
      <c r="Q516" s="39" t="s">
        <v>40</v>
      </c>
      <c r="R516" s="40" t="s">
        <v>1604</v>
      </c>
    </row>
    <row r="517" spans="1:18" s="39" customFormat="1" ht="31.25" customHeight="1" x14ac:dyDescent="0.2">
      <c r="A517" s="39" t="s">
        <v>1626</v>
      </c>
      <c r="B517" s="39" t="s">
        <v>94</v>
      </c>
      <c r="C517" s="39" t="s">
        <v>171</v>
      </c>
      <c r="D517" s="39" t="s">
        <v>121</v>
      </c>
      <c r="E517" s="39" t="s">
        <v>251</v>
      </c>
      <c r="F517" s="39" t="s">
        <v>1398</v>
      </c>
      <c r="G517" s="39" t="s">
        <v>162</v>
      </c>
      <c r="J517" s="39" t="s">
        <v>124</v>
      </c>
      <c r="K517" s="39" t="s">
        <v>5557</v>
      </c>
      <c r="L517" s="39" t="s">
        <v>1627</v>
      </c>
      <c r="M517" s="76" t="s">
        <v>1628</v>
      </c>
      <c r="O517" s="39" t="s">
        <v>52</v>
      </c>
      <c r="P517" s="94"/>
      <c r="Q517" s="39" t="s">
        <v>5395</v>
      </c>
      <c r="R517" s="40" t="s">
        <v>1604</v>
      </c>
    </row>
    <row r="518" spans="1:18" s="39" customFormat="1" ht="31.25" customHeight="1" x14ac:dyDescent="0.2">
      <c r="A518" s="39" t="s">
        <v>1629</v>
      </c>
      <c r="B518" s="39" t="s">
        <v>94</v>
      </c>
      <c r="C518" s="60" t="s">
        <v>177</v>
      </c>
      <c r="D518" s="39" t="s">
        <v>137</v>
      </c>
      <c r="E518" s="39" t="s">
        <v>133</v>
      </c>
      <c r="F518" s="39" t="s">
        <v>1608</v>
      </c>
      <c r="G518" s="39" t="s">
        <v>125</v>
      </c>
      <c r="H518" s="39" t="s">
        <v>208</v>
      </c>
      <c r="I518" s="39" t="s">
        <v>162</v>
      </c>
      <c r="L518" s="39" t="s">
        <v>1630</v>
      </c>
      <c r="M518" s="39" t="s">
        <v>1631</v>
      </c>
      <c r="O518" s="39" t="s">
        <v>52</v>
      </c>
      <c r="P518" s="94" t="s">
        <v>601</v>
      </c>
      <c r="Q518" s="40">
        <v>300</v>
      </c>
      <c r="R518" s="40">
        <v>300</v>
      </c>
    </row>
    <row r="519" spans="1:18" s="39" customFormat="1" ht="31.25" customHeight="1" x14ac:dyDescent="0.2">
      <c r="A519" s="75" t="s">
        <v>1632</v>
      </c>
      <c r="B519" s="75" t="s">
        <v>62</v>
      </c>
      <c r="C519" s="75" t="s">
        <v>120</v>
      </c>
      <c r="D519" s="75" t="s">
        <v>121</v>
      </c>
      <c r="E519" s="75" t="s">
        <v>172</v>
      </c>
      <c r="F519" s="75" t="s">
        <v>1633</v>
      </c>
      <c r="G519" s="75"/>
      <c r="H519" s="75"/>
      <c r="I519" s="75"/>
      <c r="J519" s="75"/>
      <c r="K519" s="75"/>
      <c r="L519" s="75" t="s">
        <v>1634</v>
      </c>
      <c r="M519" s="126" t="s">
        <v>1635</v>
      </c>
      <c r="N519" s="75"/>
      <c r="O519" s="75" t="s">
        <v>55</v>
      </c>
      <c r="P519" s="75" t="s">
        <v>1636</v>
      </c>
      <c r="Q519" s="100">
        <v>3300</v>
      </c>
      <c r="R519" s="40">
        <v>146.59691293739169</v>
      </c>
    </row>
    <row r="520" spans="1:18" s="39" customFormat="1" ht="31.25" customHeight="1" x14ac:dyDescent="0.2">
      <c r="A520" s="39" t="s">
        <v>1637</v>
      </c>
      <c r="B520" s="39" t="s">
        <v>62</v>
      </c>
      <c r="C520" s="39" t="s">
        <v>177</v>
      </c>
      <c r="D520" s="39" t="s">
        <v>121</v>
      </c>
      <c r="E520" s="39" t="s">
        <v>251</v>
      </c>
      <c r="G520" s="39" t="s">
        <v>125</v>
      </c>
      <c r="L520" s="39" t="s">
        <v>1638</v>
      </c>
      <c r="M520" s="120" t="s">
        <v>1635</v>
      </c>
      <c r="O520" s="39" t="s">
        <v>52</v>
      </c>
      <c r="Q520" s="40"/>
      <c r="R520" s="40" t="s">
        <v>1604</v>
      </c>
    </row>
    <row r="521" spans="1:18" s="39" customFormat="1" ht="31.25" customHeight="1" x14ac:dyDescent="0.2">
      <c r="A521" s="39" t="s">
        <v>1639</v>
      </c>
      <c r="B521" s="39" t="s">
        <v>62</v>
      </c>
      <c r="C521" s="39" t="s">
        <v>132</v>
      </c>
      <c r="D521" s="39" t="s">
        <v>121</v>
      </c>
      <c r="E521" s="39" t="s">
        <v>251</v>
      </c>
      <c r="G521" s="39" t="s">
        <v>125</v>
      </c>
      <c r="L521" s="39" t="s">
        <v>1640</v>
      </c>
      <c r="M521" s="120" t="s">
        <v>1635</v>
      </c>
      <c r="O521" s="39" t="s">
        <v>54</v>
      </c>
      <c r="Q521" s="40"/>
      <c r="R521" s="40" t="s">
        <v>1604</v>
      </c>
    </row>
    <row r="522" spans="1:18" s="39" customFormat="1" ht="31.25" customHeight="1" x14ac:dyDescent="0.2">
      <c r="A522" s="39" t="s">
        <v>1641</v>
      </c>
      <c r="B522" s="50" t="s">
        <v>62</v>
      </c>
      <c r="C522" s="50" t="s">
        <v>120</v>
      </c>
      <c r="D522" s="50" t="s">
        <v>121</v>
      </c>
      <c r="E522" s="50" t="s">
        <v>133</v>
      </c>
      <c r="F522" s="50" t="s">
        <v>1642</v>
      </c>
      <c r="G522" s="50"/>
      <c r="H522" s="50"/>
      <c r="I522" s="50"/>
      <c r="J522" s="50"/>
      <c r="K522" s="50"/>
      <c r="L522" s="50" t="s">
        <v>1643</v>
      </c>
      <c r="M522" s="120" t="s">
        <v>1635</v>
      </c>
      <c r="N522" s="50"/>
      <c r="O522" s="50" t="s">
        <v>55</v>
      </c>
      <c r="P522" s="39" t="s">
        <v>1636</v>
      </c>
      <c r="Q522" s="40">
        <v>6500</v>
      </c>
      <c r="R522" s="40">
        <v>288.7514951797109</v>
      </c>
    </row>
    <row r="523" spans="1:18" s="39" customFormat="1" ht="31.25" customHeight="1" x14ac:dyDescent="0.2">
      <c r="A523" s="75" t="s">
        <v>1644</v>
      </c>
      <c r="B523" s="39" t="s">
        <v>62</v>
      </c>
      <c r="C523" s="39" t="s">
        <v>120</v>
      </c>
      <c r="D523" s="55" t="s">
        <v>121</v>
      </c>
      <c r="E523" s="39" t="s">
        <v>133</v>
      </c>
      <c r="F523" s="39" t="s">
        <v>1645</v>
      </c>
      <c r="G523" s="39" t="s">
        <v>125</v>
      </c>
      <c r="H523" s="39" t="s">
        <v>162</v>
      </c>
      <c r="I523" s="39" t="s">
        <v>208</v>
      </c>
      <c r="L523" s="39" t="s">
        <v>1646</v>
      </c>
      <c r="M523" s="120" t="s">
        <v>1647</v>
      </c>
      <c r="O523" s="39" t="s">
        <v>624</v>
      </c>
      <c r="P523" s="75" t="s">
        <v>1636</v>
      </c>
      <c r="Q523" s="40">
        <v>67500</v>
      </c>
      <c r="R523" s="40">
        <v>2998.5732191739212</v>
      </c>
    </row>
    <row r="524" spans="1:18" s="39" customFormat="1" ht="31.25" customHeight="1" x14ac:dyDescent="0.2">
      <c r="A524" s="39" t="s">
        <v>1648</v>
      </c>
      <c r="B524" s="39" t="s">
        <v>62</v>
      </c>
      <c r="C524" s="39" t="s">
        <v>120</v>
      </c>
      <c r="D524" s="55" t="s">
        <v>121</v>
      </c>
      <c r="E524" s="39" t="s">
        <v>133</v>
      </c>
      <c r="F524" s="39" t="s">
        <v>1649</v>
      </c>
      <c r="L524" s="39" t="s">
        <v>1650</v>
      </c>
      <c r="M524" s="120" t="s">
        <v>1647</v>
      </c>
      <c r="O524" s="39" t="s">
        <v>55</v>
      </c>
      <c r="P524" s="39" t="s">
        <v>1636</v>
      </c>
      <c r="Q524" s="40">
        <v>17700</v>
      </c>
      <c r="R524" s="40">
        <v>786.2925330278282</v>
      </c>
    </row>
    <row r="525" spans="1:18" s="39" customFormat="1" ht="31.25" customHeight="1" x14ac:dyDescent="0.2">
      <c r="A525" s="39" t="s">
        <v>1651</v>
      </c>
      <c r="B525" s="39" t="s">
        <v>62</v>
      </c>
      <c r="C525" s="39" t="s">
        <v>226</v>
      </c>
      <c r="D525" s="39" t="s">
        <v>137</v>
      </c>
      <c r="E525" s="39" t="s">
        <v>133</v>
      </c>
      <c r="F525" s="39" t="s">
        <v>1652</v>
      </c>
      <c r="G525" s="39" t="s">
        <v>125</v>
      </c>
      <c r="H525" s="39" t="s">
        <v>208</v>
      </c>
      <c r="I525" s="39" t="s">
        <v>153</v>
      </c>
      <c r="J525" s="39" t="s">
        <v>157</v>
      </c>
      <c r="L525" s="39" t="s">
        <v>1653</v>
      </c>
      <c r="M525" s="120" t="s">
        <v>1647</v>
      </c>
      <c r="O525" s="39" t="s">
        <v>624</v>
      </c>
      <c r="P525" s="39" t="s">
        <v>1636</v>
      </c>
      <c r="Q525" s="40">
        <v>8600</v>
      </c>
      <c r="R525" s="40">
        <v>382.04043977623292</v>
      </c>
    </row>
    <row r="526" spans="1:18" s="39" customFormat="1" ht="31.25" customHeight="1" x14ac:dyDescent="0.2">
      <c r="A526" s="39" t="s">
        <v>1654</v>
      </c>
      <c r="B526" s="39" t="s">
        <v>62</v>
      </c>
      <c r="C526" s="39" t="s">
        <v>226</v>
      </c>
      <c r="D526" s="39" t="s">
        <v>137</v>
      </c>
      <c r="E526" s="39" t="s">
        <v>133</v>
      </c>
      <c r="F526" s="39" t="s">
        <v>1655</v>
      </c>
      <c r="L526" s="39" t="s">
        <v>1656</v>
      </c>
      <c r="M526" s="120" t="s">
        <v>1647</v>
      </c>
      <c r="O526" s="39" t="s">
        <v>55</v>
      </c>
      <c r="P526" s="39" t="s">
        <v>1636</v>
      </c>
      <c r="Q526" s="40">
        <v>33200</v>
      </c>
      <c r="R526" s="40">
        <v>1474.8537907640618</v>
      </c>
    </row>
    <row r="527" spans="1:18" s="39" customFormat="1" ht="31.25" customHeight="1" x14ac:dyDescent="0.2">
      <c r="A527" s="39" t="s">
        <v>1657</v>
      </c>
      <c r="B527" s="39" t="s">
        <v>62</v>
      </c>
      <c r="C527" s="39" t="s">
        <v>171</v>
      </c>
      <c r="D527" s="39" t="s">
        <v>137</v>
      </c>
      <c r="E527" s="39" t="s">
        <v>133</v>
      </c>
      <c r="F527" s="39" t="s">
        <v>1658</v>
      </c>
      <c r="G527" s="39" t="s">
        <v>125</v>
      </c>
      <c r="H527" s="39" t="s">
        <v>152</v>
      </c>
      <c r="L527" s="39" t="s">
        <v>1659</v>
      </c>
      <c r="M527" s="120" t="s">
        <v>1647</v>
      </c>
      <c r="O527" s="39" t="s">
        <v>624</v>
      </c>
      <c r="P527" s="39" t="s">
        <v>1636</v>
      </c>
      <c r="Q527" s="40">
        <v>400</v>
      </c>
      <c r="R527" s="40">
        <v>17.769322780289905</v>
      </c>
    </row>
    <row r="528" spans="1:18" s="39" customFormat="1" ht="31.25" customHeight="1" x14ac:dyDescent="0.2">
      <c r="A528" s="39" t="s">
        <v>1660</v>
      </c>
      <c r="B528" s="39" t="s">
        <v>62</v>
      </c>
      <c r="C528" s="39" t="s">
        <v>171</v>
      </c>
      <c r="D528" s="39" t="s">
        <v>137</v>
      </c>
      <c r="E528" s="39" t="s">
        <v>133</v>
      </c>
      <c r="F528" s="39" t="s">
        <v>1661</v>
      </c>
      <c r="L528" s="39" t="s">
        <v>1662</v>
      </c>
      <c r="M528" s="120" t="s">
        <v>1647</v>
      </c>
      <c r="O528" s="39" t="s">
        <v>55</v>
      </c>
      <c r="P528" s="39" t="s">
        <v>1636</v>
      </c>
      <c r="Q528" s="40">
        <v>10900</v>
      </c>
      <c r="R528" s="40">
        <v>484.21404576289984</v>
      </c>
    </row>
    <row r="529" spans="1:18" s="39" customFormat="1" ht="31.25" customHeight="1" x14ac:dyDescent="0.2">
      <c r="A529" s="39" t="s">
        <v>1663</v>
      </c>
      <c r="B529" s="39" t="s">
        <v>62</v>
      </c>
      <c r="C529" s="39" t="s">
        <v>280</v>
      </c>
      <c r="D529" s="39" t="s">
        <v>137</v>
      </c>
      <c r="E529" s="39" t="s">
        <v>133</v>
      </c>
      <c r="F529" s="39" t="s">
        <v>1664</v>
      </c>
      <c r="G529" s="39" t="s">
        <v>125</v>
      </c>
      <c r="H529" s="39" t="s">
        <v>208</v>
      </c>
      <c r="L529" s="39" t="s">
        <v>1665</v>
      </c>
      <c r="M529" s="120" t="s">
        <v>1647</v>
      </c>
      <c r="O529" s="39" t="s">
        <v>624</v>
      </c>
      <c r="P529" s="39" t="s">
        <v>1636</v>
      </c>
      <c r="Q529" s="40">
        <v>200</v>
      </c>
      <c r="R529" s="40">
        <v>8.8846613901449523</v>
      </c>
    </row>
    <row r="530" spans="1:18" s="39" customFormat="1" ht="31.25" customHeight="1" x14ac:dyDescent="0.2">
      <c r="A530" s="39" t="s">
        <v>1666</v>
      </c>
      <c r="B530" s="39" t="s">
        <v>62</v>
      </c>
      <c r="C530" s="39" t="s">
        <v>280</v>
      </c>
      <c r="D530" s="39" t="s">
        <v>137</v>
      </c>
      <c r="E530" s="39" t="s">
        <v>133</v>
      </c>
      <c r="F530" s="39" t="s">
        <v>1667</v>
      </c>
      <c r="L530" s="39" t="s">
        <v>1668</v>
      </c>
      <c r="M530" s="120" t="s">
        <v>1647</v>
      </c>
      <c r="O530" s="39" t="s">
        <v>55</v>
      </c>
      <c r="P530" s="39" t="s">
        <v>1636</v>
      </c>
      <c r="Q530" s="40">
        <v>13200</v>
      </c>
      <c r="R530" s="40">
        <v>586.38765174956677</v>
      </c>
    </row>
    <row r="531" spans="1:18" s="39" customFormat="1" ht="31.25" customHeight="1" x14ac:dyDescent="0.2">
      <c r="A531" s="39" t="s">
        <v>1669</v>
      </c>
      <c r="B531" s="39" t="s">
        <v>62</v>
      </c>
      <c r="C531" s="39" t="s">
        <v>171</v>
      </c>
      <c r="D531" s="39" t="s">
        <v>121</v>
      </c>
      <c r="E531" s="39" t="s">
        <v>172</v>
      </c>
      <c r="G531" s="39" t="s">
        <v>158</v>
      </c>
      <c r="H531" s="39" t="s">
        <v>208</v>
      </c>
      <c r="L531" s="62" t="s">
        <v>1670</v>
      </c>
      <c r="M531" s="120" t="s">
        <v>1671</v>
      </c>
      <c r="O531" s="39" t="s">
        <v>624</v>
      </c>
      <c r="Q531" s="40"/>
      <c r="R531" s="40" t="s">
        <v>1604</v>
      </c>
    </row>
    <row r="532" spans="1:18" s="39" customFormat="1" ht="31.25" customHeight="1" x14ac:dyDescent="0.2">
      <c r="A532" s="39" t="s">
        <v>1672</v>
      </c>
      <c r="B532" s="39" t="s">
        <v>62</v>
      </c>
      <c r="C532" s="39" t="s">
        <v>120</v>
      </c>
      <c r="D532" s="39" t="s">
        <v>137</v>
      </c>
      <c r="E532" s="39" t="s">
        <v>133</v>
      </c>
      <c r="F532" s="39" t="s">
        <v>1673</v>
      </c>
      <c r="G532" s="39" t="s">
        <v>125</v>
      </c>
      <c r="L532" s="62" t="s">
        <v>1674</v>
      </c>
      <c r="M532" s="120" t="s">
        <v>1675</v>
      </c>
      <c r="O532" s="39" t="s">
        <v>624</v>
      </c>
      <c r="P532" s="39" t="s">
        <v>1636</v>
      </c>
      <c r="Q532" s="40">
        <v>1300</v>
      </c>
      <c r="R532" s="40">
        <v>57.750299035942184</v>
      </c>
    </row>
    <row r="533" spans="1:18" s="39" customFormat="1" ht="31.25" customHeight="1" x14ac:dyDescent="0.2">
      <c r="A533" s="39" t="s">
        <v>1676</v>
      </c>
      <c r="B533" s="39" t="s">
        <v>62</v>
      </c>
      <c r="C533" s="39" t="s">
        <v>171</v>
      </c>
      <c r="D533" s="39" t="s">
        <v>121</v>
      </c>
      <c r="E533" s="39" t="s">
        <v>151</v>
      </c>
      <c r="G533" s="39" t="s">
        <v>125</v>
      </c>
      <c r="L533" s="62" t="s">
        <v>1677</v>
      </c>
      <c r="M533" s="120" t="s">
        <v>1678</v>
      </c>
      <c r="O533" s="39" t="s">
        <v>55</v>
      </c>
      <c r="Q533" s="40"/>
      <c r="R533" s="40" t="s">
        <v>1604</v>
      </c>
    </row>
    <row r="534" spans="1:18" s="39" customFormat="1" ht="31.25" customHeight="1" x14ac:dyDescent="0.2">
      <c r="A534" s="39" t="s">
        <v>1679</v>
      </c>
      <c r="B534" s="39" t="s">
        <v>62</v>
      </c>
      <c r="C534" s="39" t="s">
        <v>171</v>
      </c>
      <c r="D534" s="39" t="s">
        <v>121</v>
      </c>
      <c r="E534" s="39" t="s">
        <v>172</v>
      </c>
      <c r="G534" s="39" t="s">
        <v>158</v>
      </c>
      <c r="H534" s="39" t="s">
        <v>208</v>
      </c>
      <c r="L534" s="62" t="s">
        <v>1680</v>
      </c>
      <c r="M534" s="120" t="s">
        <v>1681</v>
      </c>
      <c r="O534" s="39" t="s">
        <v>624</v>
      </c>
      <c r="Q534" s="40"/>
      <c r="R534" s="40" t="s">
        <v>1604</v>
      </c>
    </row>
    <row r="535" spans="1:18" s="39" customFormat="1" ht="31.25" customHeight="1" x14ac:dyDescent="0.2">
      <c r="A535" s="39" t="s">
        <v>1682</v>
      </c>
      <c r="B535" s="39" t="s">
        <v>62</v>
      </c>
      <c r="C535" s="39" t="s">
        <v>171</v>
      </c>
      <c r="D535" s="39" t="s">
        <v>121</v>
      </c>
      <c r="E535" s="39" t="s">
        <v>172</v>
      </c>
      <c r="G535" s="39" t="s">
        <v>208</v>
      </c>
      <c r="L535" s="62" t="s">
        <v>1683</v>
      </c>
      <c r="M535" s="120" t="s">
        <v>1681</v>
      </c>
      <c r="O535" s="39" t="s">
        <v>624</v>
      </c>
      <c r="Q535" s="40"/>
      <c r="R535" s="40" t="s">
        <v>1604</v>
      </c>
    </row>
    <row r="536" spans="1:18" s="39" customFormat="1" ht="31.25" customHeight="1" x14ac:dyDescent="0.2">
      <c r="A536" s="39" t="s">
        <v>1684</v>
      </c>
      <c r="B536" s="39" t="s">
        <v>62</v>
      </c>
      <c r="C536" s="39" t="s">
        <v>120</v>
      </c>
      <c r="E536" s="39" t="s">
        <v>147</v>
      </c>
      <c r="G536" s="39" t="s">
        <v>125</v>
      </c>
      <c r="L536" s="62" t="s">
        <v>1685</v>
      </c>
      <c r="M536" s="120" t="s">
        <v>1686</v>
      </c>
      <c r="O536" s="39" t="s">
        <v>624</v>
      </c>
      <c r="Q536" s="40"/>
      <c r="R536" s="40" t="s">
        <v>1604</v>
      </c>
    </row>
    <row r="537" spans="1:18" s="39" customFormat="1" ht="31.25" customHeight="1" x14ac:dyDescent="0.2">
      <c r="A537" s="39" t="s">
        <v>1687</v>
      </c>
      <c r="B537" s="39" t="s">
        <v>62</v>
      </c>
      <c r="C537" s="39" t="s">
        <v>120</v>
      </c>
      <c r="E537" s="39" t="s">
        <v>166</v>
      </c>
      <c r="F537" s="39" t="s">
        <v>109</v>
      </c>
      <c r="G537" s="39" t="s">
        <v>158</v>
      </c>
      <c r="L537" s="62" t="s">
        <v>1688</v>
      </c>
      <c r="M537" s="120" t="s">
        <v>1689</v>
      </c>
      <c r="O537" s="39" t="s">
        <v>55</v>
      </c>
      <c r="R537" s="40" t="s">
        <v>1604</v>
      </c>
    </row>
    <row r="538" spans="1:18" s="39" customFormat="1" ht="31.25" customHeight="1" x14ac:dyDescent="0.2">
      <c r="A538" s="39" t="s">
        <v>1690</v>
      </c>
      <c r="B538" s="39" t="s">
        <v>62</v>
      </c>
      <c r="C538" s="39" t="s">
        <v>177</v>
      </c>
      <c r="D538" s="39" t="s">
        <v>137</v>
      </c>
      <c r="E538" s="39" t="s">
        <v>151</v>
      </c>
      <c r="F538" s="39" t="s">
        <v>1691</v>
      </c>
      <c r="G538" s="39" t="s">
        <v>125</v>
      </c>
      <c r="L538" s="62" t="s">
        <v>1692</v>
      </c>
      <c r="M538" s="120" t="s">
        <v>1693</v>
      </c>
      <c r="O538" s="39" t="s">
        <v>55</v>
      </c>
      <c r="P538" s="39" t="s">
        <v>1636</v>
      </c>
      <c r="Q538" s="40">
        <v>27000</v>
      </c>
      <c r="R538" s="40">
        <v>1199.4292876695683</v>
      </c>
    </row>
    <row r="539" spans="1:18" s="39" customFormat="1" ht="31.25" customHeight="1" x14ac:dyDescent="0.2">
      <c r="A539" s="39" t="s">
        <v>1694</v>
      </c>
      <c r="B539" s="39" t="s">
        <v>62</v>
      </c>
      <c r="C539" s="39" t="s">
        <v>171</v>
      </c>
      <c r="D539" s="39" t="s">
        <v>137</v>
      </c>
      <c r="E539" s="39" t="s">
        <v>133</v>
      </c>
      <c r="G539" s="39" t="s">
        <v>158</v>
      </c>
      <c r="H539" s="39" t="s">
        <v>153</v>
      </c>
      <c r="I539" s="39" t="s">
        <v>134</v>
      </c>
      <c r="L539" s="62" t="s">
        <v>1695</v>
      </c>
      <c r="M539" s="120" t="s">
        <v>1696</v>
      </c>
      <c r="O539" s="39" t="s">
        <v>624</v>
      </c>
      <c r="Q539" s="40"/>
      <c r="R539" s="40" t="s">
        <v>1604</v>
      </c>
    </row>
    <row r="540" spans="1:18" s="39" customFormat="1" ht="31.25" customHeight="1" x14ac:dyDescent="0.2">
      <c r="A540" s="39" t="s">
        <v>1697</v>
      </c>
      <c r="B540" s="39" t="s">
        <v>62</v>
      </c>
      <c r="C540" s="39" t="s">
        <v>171</v>
      </c>
      <c r="D540" s="39" t="s">
        <v>137</v>
      </c>
      <c r="E540" s="39" t="s">
        <v>251</v>
      </c>
      <c r="G540" s="39" t="s">
        <v>162</v>
      </c>
      <c r="H540" s="39" t="s">
        <v>125</v>
      </c>
      <c r="L540" s="62" t="s">
        <v>1698</v>
      </c>
      <c r="M540" s="120" t="s">
        <v>1699</v>
      </c>
      <c r="O540" s="39" t="s">
        <v>55</v>
      </c>
      <c r="Q540" s="40"/>
      <c r="R540" s="40" t="s">
        <v>1604</v>
      </c>
    </row>
    <row r="541" spans="1:18" s="39" customFormat="1" ht="31.25" customHeight="1" x14ac:dyDescent="0.2">
      <c r="A541" s="39" t="s">
        <v>1700</v>
      </c>
      <c r="B541" s="39" t="s">
        <v>62</v>
      </c>
      <c r="C541" s="39" t="s">
        <v>171</v>
      </c>
      <c r="D541" s="39" t="s">
        <v>160</v>
      </c>
      <c r="E541" s="39" t="s">
        <v>172</v>
      </c>
      <c r="G541" s="39" t="s">
        <v>158</v>
      </c>
      <c r="H541" s="39" t="s">
        <v>153</v>
      </c>
      <c r="I541" s="39" t="s">
        <v>134</v>
      </c>
      <c r="L541" s="62" t="s">
        <v>1701</v>
      </c>
      <c r="M541" s="120" t="s">
        <v>1702</v>
      </c>
      <c r="O541" s="39" t="s">
        <v>624</v>
      </c>
      <c r="Q541" s="40"/>
      <c r="R541" s="40" t="s">
        <v>1604</v>
      </c>
    </row>
    <row r="542" spans="1:18" s="39" customFormat="1" ht="31.25" customHeight="1" x14ac:dyDescent="0.2">
      <c r="A542" s="127" t="s">
        <v>1703</v>
      </c>
      <c r="B542" s="127" t="s">
        <v>68</v>
      </c>
      <c r="C542" s="127" t="s">
        <v>171</v>
      </c>
      <c r="D542" s="127" t="s">
        <v>121</v>
      </c>
      <c r="E542" s="127" t="s">
        <v>151</v>
      </c>
      <c r="F542" s="127" t="s">
        <v>1704</v>
      </c>
      <c r="G542" s="127" t="s">
        <v>125</v>
      </c>
      <c r="H542" s="127"/>
      <c r="I542" s="127"/>
      <c r="J542" s="129"/>
      <c r="K542" s="129"/>
      <c r="L542" s="127" t="s">
        <v>1705</v>
      </c>
      <c r="M542" s="128" t="s">
        <v>1706</v>
      </c>
      <c r="N542" s="129"/>
      <c r="O542" s="127" t="s">
        <v>52</v>
      </c>
      <c r="P542" s="75" t="s">
        <v>65</v>
      </c>
      <c r="Q542" s="39" t="s">
        <v>5394</v>
      </c>
      <c r="R542" s="40" t="s">
        <v>1604</v>
      </c>
    </row>
    <row r="543" spans="1:18" s="39" customFormat="1" ht="31.25" customHeight="1" x14ac:dyDescent="0.2">
      <c r="A543" s="59" t="s">
        <v>1707</v>
      </c>
      <c r="B543" s="59" t="s">
        <v>68</v>
      </c>
      <c r="C543" s="59" t="s">
        <v>120</v>
      </c>
      <c r="D543" s="59" t="s">
        <v>121</v>
      </c>
      <c r="E543" s="59" t="s">
        <v>166</v>
      </c>
      <c r="F543" s="130" t="s">
        <v>1708</v>
      </c>
      <c r="G543" s="59" t="s">
        <v>125</v>
      </c>
      <c r="H543" s="59"/>
      <c r="I543" s="104"/>
      <c r="J543" s="59"/>
      <c r="K543" s="59"/>
      <c r="L543" s="59" t="s">
        <v>1709</v>
      </c>
      <c r="M543" s="131" t="s">
        <v>1706</v>
      </c>
      <c r="N543" s="104"/>
      <c r="O543" s="59" t="s">
        <v>52</v>
      </c>
      <c r="P543" s="39" t="s">
        <v>65</v>
      </c>
      <c r="Q543" s="40">
        <v>2000</v>
      </c>
      <c r="R543" s="40">
        <v>2205.3378821483766</v>
      </c>
    </row>
    <row r="544" spans="1:18" s="39" customFormat="1" ht="31.25" customHeight="1" x14ac:dyDescent="0.2">
      <c r="A544" s="59" t="s">
        <v>1710</v>
      </c>
      <c r="B544" s="59" t="s">
        <v>68</v>
      </c>
      <c r="C544" s="59" t="s">
        <v>280</v>
      </c>
      <c r="D544" s="59" t="s">
        <v>121</v>
      </c>
      <c r="E544" s="59" t="s">
        <v>122</v>
      </c>
      <c r="F544" s="130" t="s">
        <v>1711</v>
      </c>
      <c r="G544" s="59" t="s">
        <v>125</v>
      </c>
      <c r="H544" s="59"/>
      <c r="I544" s="59"/>
      <c r="J544" s="59"/>
      <c r="K544" s="59"/>
      <c r="L544" s="59" t="s">
        <v>1712</v>
      </c>
      <c r="M544" s="76" t="s">
        <v>1706</v>
      </c>
      <c r="N544" s="131" t="s">
        <v>1713</v>
      </c>
      <c r="O544" s="59" t="s">
        <v>52</v>
      </c>
      <c r="P544" s="39" t="s">
        <v>65</v>
      </c>
      <c r="Q544" s="40">
        <v>1000</v>
      </c>
      <c r="R544" s="40">
        <v>1102.6689410741883</v>
      </c>
    </row>
    <row r="545" spans="1:18" s="39" customFormat="1" ht="31.25" customHeight="1" x14ac:dyDescent="0.2">
      <c r="A545" s="59" t="s">
        <v>1714</v>
      </c>
      <c r="B545" s="59" t="s">
        <v>68</v>
      </c>
      <c r="C545" s="59" t="s">
        <v>177</v>
      </c>
      <c r="D545" s="59" t="s">
        <v>121</v>
      </c>
      <c r="E545" s="59" t="s">
        <v>151</v>
      </c>
      <c r="F545" s="130" t="s">
        <v>1715</v>
      </c>
      <c r="G545" s="59" t="s">
        <v>125</v>
      </c>
      <c r="H545" s="59" t="s">
        <v>162</v>
      </c>
      <c r="I545" s="59"/>
      <c r="J545" s="59"/>
      <c r="K545" s="59"/>
      <c r="L545" s="59" t="s">
        <v>1716</v>
      </c>
      <c r="M545" s="76" t="s">
        <v>1706</v>
      </c>
      <c r="N545" s="131" t="s">
        <v>1713</v>
      </c>
      <c r="O545" s="59" t="s">
        <v>52</v>
      </c>
      <c r="P545" s="39" t="s">
        <v>65</v>
      </c>
      <c r="Q545" s="40">
        <v>9000</v>
      </c>
      <c r="R545" s="40">
        <v>9924.0204696676938</v>
      </c>
    </row>
    <row r="546" spans="1:18" s="39" customFormat="1" ht="31.25" customHeight="1" x14ac:dyDescent="0.2">
      <c r="A546" s="59" t="s">
        <v>1717</v>
      </c>
      <c r="B546" s="59" t="s">
        <v>68</v>
      </c>
      <c r="C546" s="59" t="s">
        <v>120</v>
      </c>
      <c r="D546" s="59" t="s">
        <v>121</v>
      </c>
      <c r="E546" s="59" t="s">
        <v>172</v>
      </c>
      <c r="F546" s="132" t="s">
        <v>1718</v>
      </c>
      <c r="G546" s="59" t="s">
        <v>125</v>
      </c>
      <c r="H546" s="104" t="s">
        <v>134</v>
      </c>
      <c r="I546" s="104"/>
      <c r="J546" s="59"/>
      <c r="K546" s="59"/>
      <c r="L546" s="59" t="s">
        <v>1719</v>
      </c>
      <c r="M546" s="131" t="s">
        <v>1706</v>
      </c>
      <c r="N546" s="104"/>
      <c r="O546" s="59" t="s">
        <v>52</v>
      </c>
      <c r="P546" s="39" t="s">
        <v>65</v>
      </c>
      <c r="Q546" s="40">
        <v>700</v>
      </c>
      <c r="R546" s="40">
        <v>771.86825875193176</v>
      </c>
    </row>
    <row r="547" spans="1:18" s="39" customFormat="1" ht="31.25" customHeight="1" x14ac:dyDescent="0.2">
      <c r="A547" s="59" t="s">
        <v>1720</v>
      </c>
      <c r="B547" s="59" t="s">
        <v>68</v>
      </c>
      <c r="C547" s="59" t="s">
        <v>120</v>
      </c>
      <c r="D547" s="59" t="s">
        <v>121</v>
      </c>
      <c r="E547" s="59" t="s">
        <v>251</v>
      </c>
      <c r="F547" s="130" t="s">
        <v>1721</v>
      </c>
      <c r="G547" s="59" t="s">
        <v>162</v>
      </c>
      <c r="H547" s="59" t="s">
        <v>125</v>
      </c>
      <c r="I547" s="104"/>
      <c r="J547" s="59"/>
      <c r="K547" s="59"/>
      <c r="L547" s="59" t="s">
        <v>1722</v>
      </c>
      <c r="M547" s="131" t="s">
        <v>1706</v>
      </c>
      <c r="N547" s="131" t="s">
        <v>1713</v>
      </c>
      <c r="O547" s="59" t="s">
        <v>52</v>
      </c>
      <c r="P547" s="39" t="s">
        <v>65</v>
      </c>
      <c r="Q547" s="40">
        <v>5000</v>
      </c>
      <c r="R547" s="40">
        <v>5513.3447053709415</v>
      </c>
    </row>
    <row r="548" spans="1:18" s="39" customFormat="1" ht="31.25" customHeight="1" x14ac:dyDescent="0.2">
      <c r="A548" s="59" t="s">
        <v>1723</v>
      </c>
      <c r="B548" s="59" t="s">
        <v>68</v>
      </c>
      <c r="C548" s="39" t="s">
        <v>132</v>
      </c>
      <c r="D548" s="59" t="s">
        <v>121</v>
      </c>
      <c r="E548" s="59" t="s">
        <v>151</v>
      </c>
      <c r="F548" s="133" t="s">
        <v>1724</v>
      </c>
      <c r="G548" s="59" t="s">
        <v>125</v>
      </c>
      <c r="H548" s="59" t="s">
        <v>162</v>
      </c>
      <c r="I548" s="104"/>
      <c r="J548" s="59"/>
      <c r="K548" s="59"/>
      <c r="L548" s="59" t="s">
        <v>1725</v>
      </c>
      <c r="M548" s="131" t="s">
        <v>1706</v>
      </c>
      <c r="N548" s="104"/>
      <c r="O548" s="59" t="s">
        <v>52</v>
      </c>
      <c r="P548" s="39" t="s">
        <v>65</v>
      </c>
      <c r="Q548" s="40">
        <v>11000</v>
      </c>
      <c r="R548" s="40">
        <v>12129.35835181607</v>
      </c>
    </row>
    <row r="549" spans="1:18" s="39" customFormat="1" ht="31.25" customHeight="1" x14ac:dyDescent="0.2">
      <c r="A549" s="59" t="s">
        <v>1726</v>
      </c>
      <c r="B549" s="59" t="s">
        <v>68</v>
      </c>
      <c r="C549" s="59" t="s">
        <v>120</v>
      </c>
      <c r="D549" s="59" t="s">
        <v>121</v>
      </c>
      <c r="E549" s="59" t="s">
        <v>251</v>
      </c>
      <c r="F549" s="134" t="s">
        <v>1727</v>
      </c>
      <c r="G549" s="59" t="s">
        <v>125</v>
      </c>
      <c r="H549" s="59" t="s">
        <v>162</v>
      </c>
      <c r="I549" s="104"/>
      <c r="J549" s="59"/>
      <c r="K549" s="59"/>
      <c r="L549" s="59" t="s">
        <v>1728</v>
      </c>
      <c r="M549" s="131" t="s">
        <v>1706</v>
      </c>
      <c r="N549" s="104"/>
      <c r="O549" s="59" t="s">
        <v>52</v>
      </c>
      <c r="P549" s="39" t="s">
        <v>65</v>
      </c>
      <c r="Q549" s="40">
        <v>1200</v>
      </c>
      <c r="R549" s="40">
        <v>1323.2027292890259</v>
      </c>
    </row>
    <row r="550" spans="1:18" s="39" customFormat="1" ht="31.25" customHeight="1" x14ac:dyDescent="0.2">
      <c r="A550" s="59" t="s">
        <v>1729</v>
      </c>
      <c r="B550" s="59" t="s">
        <v>68</v>
      </c>
      <c r="C550" s="59" t="s">
        <v>280</v>
      </c>
      <c r="D550" s="59" t="s">
        <v>121</v>
      </c>
      <c r="E550" s="59" t="s">
        <v>734</v>
      </c>
      <c r="F550" s="134" t="s">
        <v>1711</v>
      </c>
      <c r="G550" s="59" t="s">
        <v>125</v>
      </c>
      <c r="H550" s="59" t="s">
        <v>162</v>
      </c>
      <c r="I550" s="104"/>
      <c r="J550" s="59"/>
      <c r="K550" s="59"/>
      <c r="L550" s="59" t="s">
        <v>1730</v>
      </c>
      <c r="M550" s="131" t="s">
        <v>1706</v>
      </c>
      <c r="N550" s="104"/>
      <c r="O550" s="59" t="s">
        <v>52</v>
      </c>
      <c r="P550" s="39" t="s">
        <v>65</v>
      </c>
      <c r="Q550" s="40">
        <v>1000</v>
      </c>
      <c r="R550" s="40">
        <v>1102.6689410741883</v>
      </c>
    </row>
    <row r="551" spans="1:18" s="39" customFormat="1" ht="31.25" customHeight="1" x14ac:dyDescent="0.2">
      <c r="A551" s="59" t="s">
        <v>1731</v>
      </c>
      <c r="B551" s="59" t="s">
        <v>68</v>
      </c>
      <c r="C551" s="59" t="s">
        <v>177</v>
      </c>
      <c r="D551" s="59" t="s">
        <v>121</v>
      </c>
      <c r="E551" s="59" t="s">
        <v>251</v>
      </c>
      <c r="F551" s="134" t="s">
        <v>1732</v>
      </c>
      <c r="G551" s="59" t="s">
        <v>125</v>
      </c>
      <c r="H551" s="59" t="s">
        <v>162</v>
      </c>
      <c r="I551" s="104"/>
      <c r="J551" s="59"/>
      <c r="K551" s="59"/>
      <c r="L551" s="59" t="s">
        <v>1733</v>
      </c>
      <c r="M551" s="131" t="s">
        <v>1706</v>
      </c>
      <c r="N551" s="104"/>
      <c r="O551" s="59" t="s">
        <v>52</v>
      </c>
      <c r="P551" s="39" t="s">
        <v>65</v>
      </c>
      <c r="Q551" s="40">
        <v>2500</v>
      </c>
      <c r="R551" s="40">
        <v>2756.6723526854707</v>
      </c>
    </row>
    <row r="552" spans="1:18" s="39" customFormat="1" ht="31.25" customHeight="1" x14ac:dyDescent="0.2">
      <c r="A552" s="59" t="s">
        <v>1734</v>
      </c>
      <c r="B552" s="59" t="s">
        <v>68</v>
      </c>
      <c r="C552" s="59" t="s">
        <v>120</v>
      </c>
      <c r="D552" s="59" t="s">
        <v>121</v>
      </c>
      <c r="E552" s="59" t="s">
        <v>251</v>
      </c>
      <c r="F552" s="134" t="s">
        <v>1735</v>
      </c>
      <c r="G552" s="59" t="s">
        <v>125</v>
      </c>
      <c r="H552" s="59" t="s">
        <v>162</v>
      </c>
      <c r="I552" s="104"/>
      <c r="J552" s="59"/>
      <c r="K552" s="59"/>
      <c r="L552" s="104" t="s">
        <v>1736</v>
      </c>
      <c r="M552" s="131" t="s">
        <v>1706</v>
      </c>
      <c r="N552" s="104"/>
      <c r="O552" s="59" t="s">
        <v>52</v>
      </c>
      <c r="P552" s="39" t="s">
        <v>65</v>
      </c>
      <c r="Q552" s="40">
        <v>2</v>
      </c>
      <c r="R552" s="40">
        <v>2.2053378821483767</v>
      </c>
    </row>
    <row r="553" spans="1:18" s="39" customFormat="1" ht="31.25" customHeight="1" x14ac:dyDescent="0.2">
      <c r="A553" s="59" t="s">
        <v>1737</v>
      </c>
      <c r="B553" s="59" t="s">
        <v>68</v>
      </c>
      <c r="C553" s="59" t="s">
        <v>280</v>
      </c>
      <c r="D553" s="59" t="s">
        <v>121</v>
      </c>
      <c r="E553" s="59" t="s">
        <v>251</v>
      </c>
      <c r="F553" s="134" t="s">
        <v>1708</v>
      </c>
      <c r="G553" s="59" t="s">
        <v>125</v>
      </c>
      <c r="H553" s="59" t="s">
        <v>162</v>
      </c>
      <c r="I553" s="104"/>
      <c r="J553" s="59"/>
      <c r="K553" s="59"/>
      <c r="L553" s="59" t="s">
        <v>1738</v>
      </c>
      <c r="M553" s="131" t="s">
        <v>1706</v>
      </c>
      <c r="N553" s="104"/>
      <c r="O553" s="59" t="s">
        <v>52</v>
      </c>
      <c r="P553" s="39" t="s">
        <v>65</v>
      </c>
      <c r="Q553" s="40">
        <v>2000</v>
      </c>
      <c r="R553" s="40">
        <v>2205.3378821483766</v>
      </c>
    </row>
    <row r="554" spans="1:18" s="39" customFormat="1" ht="31.25" customHeight="1" x14ac:dyDescent="0.2">
      <c r="A554" s="59" t="s">
        <v>1739</v>
      </c>
      <c r="B554" s="59" t="s">
        <v>68</v>
      </c>
      <c r="C554" s="39" t="s">
        <v>132</v>
      </c>
      <c r="D554" s="59" t="s">
        <v>121</v>
      </c>
      <c r="E554" s="59" t="s">
        <v>251</v>
      </c>
      <c r="F554" s="133" t="s">
        <v>1740</v>
      </c>
      <c r="G554" s="59" t="s">
        <v>162</v>
      </c>
      <c r="H554" s="59" t="s">
        <v>125</v>
      </c>
      <c r="I554" s="104"/>
      <c r="J554" s="59"/>
      <c r="K554" s="59"/>
      <c r="L554" s="59" t="s">
        <v>1741</v>
      </c>
      <c r="M554" s="131" t="s">
        <v>1706</v>
      </c>
      <c r="N554" s="104"/>
      <c r="O554" s="59" t="s">
        <v>52</v>
      </c>
      <c r="P554" s="39" t="s">
        <v>65</v>
      </c>
      <c r="Q554" s="40">
        <v>2300</v>
      </c>
      <c r="R554" s="40">
        <v>2536.1385644706329</v>
      </c>
    </row>
    <row r="555" spans="1:18" s="39" customFormat="1" ht="31.25" customHeight="1" x14ac:dyDescent="0.2">
      <c r="A555" s="59" t="s">
        <v>1742</v>
      </c>
      <c r="B555" s="59" t="s">
        <v>68</v>
      </c>
      <c r="C555" s="59" t="s">
        <v>171</v>
      </c>
      <c r="D555" s="59" t="s">
        <v>121</v>
      </c>
      <c r="E555" s="59" t="s">
        <v>251</v>
      </c>
      <c r="F555" s="134">
        <v>0</v>
      </c>
      <c r="G555" s="59" t="s">
        <v>162</v>
      </c>
      <c r="H555" s="59" t="s">
        <v>125</v>
      </c>
      <c r="I555" s="104"/>
      <c r="J555" s="104"/>
      <c r="K555" s="104"/>
      <c r="L555" s="104" t="s">
        <v>1743</v>
      </c>
      <c r="M555" s="131" t="s">
        <v>1706</v>
      </c>
      <c r="N555" s="104"/>
      <c r="O555" s="59" t="s">
        <v>52</v>
      </c>
      <c r="P555" s="39" t="s">
        <v>65</v>
      </c>
      <c r="Q555" s="40">
        <v>0</v>
      </c>
      <c r="R555" s="40">
        <v>0</v>
      </c>
    </row>
    <row r="556" spans="1:18" s="39" customFormat="1" ht="31.25" customHeight="1" x14ac:dyDescent="0.2">
      <c r="A556" s="59" t="s">
        <v>1744</v>
      </c>
      <c r="B556" s="59" t="s">
        <v>68</v>
      </c>
      <c r="C556" s="59" t="s">
        <v>280</v>
      </c>
      <c r="D556" s="59" t="s">
        <v>121</v>
      </c>
      <c r="E556" s="59" t="s">
        <v>151</v>
      </c>
      <c r="F556" s="134" t="s">
        <v>1745</v>
      </c>
      <c r="G556" s="59" t="s">
        <v>125</v>
      </c>
      <c r="H556" s="104"/>
      <c r="I556" s="104"/>
      <c r="J556" s="59"/>
      <c r="K556" s="59"/>
      <c r="L556" s="59" t="s">
        <v>1746</v>
      </c>
      <c r="M556" s="131" t="s">
        <v>1706</v>
      </c>
      <c r="N556" s="104"/>
      <c r="O556" s="59" t="s">
        <v>52</v>
      </c>
      <c r="P556" s="39" t="s">
        <v>65</v>
      </c>
      <c r="Q556" s="40">
        <v>3</v>
      </c>
      <c r="R556" s="40">
        <v>3.308006823222565</v>
      </c>
    </row>
    <row r="557" spans="1:18" s="39" customFormat="1" ht="31.25" customHeight="1" x14ac:dyDescent="0.2">
      <c r="A557" s="59" t="s">
        <v>1747</v>
      </c>
      <c r="B557" s="59" t="s">
        <v>68</v>
      </c>
      <c r="C557" s="104" t="s">
        <v>177</v>
      </c>
      <c r="D557" s="59" t="s">
        <v>121</v>
      </c>
      <c r="E557" s="59" t="s">
        <v>122</v>
      </c>
      <c r="F557" s="62" t="s">
        <v>1748</v>
      </c>
      <c r="G557" s="59" t="s">
        <v>125</v>
      </c>
      <c r="H557" s="59"/>
      <c r="I557" s="62"/>
      <c r="J557" s="59"/>
      <c r="K557" s="59"/>
      <c r="L557" s="104" t="s">
        <v>1749</v>
      </c>
      <c r="M557" s="62" t="s">
        <v>1750</v>
      </c>
      <c r="N557" s="62"/>
      <c r="O557" s="62" t="s">
        <v>54</v>
      </c>
      <c r="P557" s="39" t="s">
        <v>65</v>
      </c>
      <c r="Q557" s="40">
        <v>550</v>
      </c>
      <c r="R557" s="40">
        <v>606.46791759080361</v>
      </c>
    </row>
    <row r="558" spans="1:18" s="39" customFormat="1" ht="31.25" customHeight="1" x14ac:dyDescent="0.2">
      <c r="A558" s="59" t="s">
        <v>1751</v>
      </c>
      <c r="B558" s="59" t="s">
        <v>68</v>
      </c>
      <c r="C558" s="104" t="s">
        <v>120</v>
      </c>
      <c r="D558" s="59" t="s">
        <v>121</v>
      </c>
      <c r="E558" s="59" t="s">
        <v>122</v>
      </c>
      <c r="F558" s="62" t="s">
        <v>1752</v>
      </c>
      <c r="G558" s="59" t="s">
        <v>125</v>
      </c>
      <c r="H558" s="59"/>
      <c r="I558" s="62"/>
      <c r="J558" s="59"/>
      <c r="K558" s="59"/>
      <c r="L558" s="104" t="s">
        <v>1753</v>
      </c>
      <c r="M558" s="62" t="s">
        <v>1754</v>
      </c>
      <c r="N558" s="62"/>
      <c r="O558" s="62" t="s">
        <v>54</v>
      </c>
      <c r="P558" s="39" t="s">
        <v>65</v>
      </c>
      <c r="Q558" s="40">
        <v>1800</v>
      </c>
      <c r="R558" s="40">
        <v>1984.804093933539</v>
      </c>
    </row>
    <row r="559" spans="1:18" s="39" customFormat="1" ht="31.25" customHeight="1" x14ac:dyDescent="0.2">
      <c r="A559" s="59" t="s">
        <v>1755</v>
      </c>
      <c r="B559" s="59" t="s">
        <v>68</v>
      </c>
      <c r="C559" s="104" t="s">
        <v>177</v>
      </c>
      <c r="D559" s="59" t="s">
        <v>121</v>
      </c>
      <c r="E559" s="59" t="s">
        <v>122</v>
      </c>
      <c r="F559" s="62" t="s">
        <v>1715</v>
      </c>
      <c r="G559" s="59" t="s">
        <v>125</v>
      </c>
      <c r="H559" s="59"/>
      <c r="I559" s="62"/>
      <c r="J559" s="59"/>
      <c r="K559" s="59"/>
      <c r="L559" s="104" t="s">
        <v>1756</v>
      </c>
      <c r="M559" s="62" t="s">
        <v>1757</v>
      </c>
      <c r="N559" s="62"/>
      <c r="O559" s="62" t="s">
        <v>54</v>
      </c>
      <c r="P559" s="39" t="s">
        <v>65</v>
      </c>
      <c r="Q559" s="40">
        <v>9000</v>
      </c>
      <c r="R559" s="40">
        <v>9924.0204696676938</v>
      </c>
    </row>
    <row r="560" spans="1:18" s="39" customFormat="1" ht="31.25" customHeight="1" x14ac:dyDescent="0.2">
      <c r="A560" s="59" t="s">
        <v>1758</v>
      </c>
      <c r="B560" s="59" t="s">
        <v>68</v>
      </c>
      <c r="C560" s="104" t="s">
        <v>120</v>
      </c>
      <c r="D560" s="62" t="s">
        <v>121</v>
      </c>
      <c r="E560" s="62" t="s">
        <v>251</v>
      </c>
      <c r="F560" s="134" t="s">
        <v>1711</v>
      </c>
      <c r="G560" s="59" t="s">
        <v>125</v>
      </c>
      <c r="H560" s="59" t="s">
        <v>162</v>
      </c>
      <c r="I560" s="62"/>
      <c r="J560" s="62"/>
      <c r="K560" s="62"/>
      <c r="L560" s="104" t="s">
        <v>1759</v>
      </c>
      <c r="M560" s="62" t="s">
        <v>1760</v>
      </c>
      <c r="N560" s="120" t="s">
        <v>1760</v>
      </c>
      <c r="O560" s="59" t="s">
        <v>52</v>
      </c>
      <c r="P560" s="39" t="s">
        <v>65</v>
      </c>
      <c r="Q560" s="40">
        <v>1000</v>
      </c>
      <c r="R560" s="40">
        <v>1102.6689410741883</v>
      </c>
    </row>
    <row r="561" spans="1:18" s="39" customFormat="1" ht="31.25" customHeight="1" x14ac:dyDescent="0.2">
      <c r="A561" s="59" t="s">
        <v>1761</v>
      </c>
      <c r="B561" s="59" t="s">
        <v>68</v>
      </c>
      <c r="C561" s="39" t="s">
        <v>132</v>
      </c>
      <c r="D561" s="62" t="s">
        <v>121</v>
      </c>
      <c r="E561" s="62" t="s">
        <v>251</v>
      </c>
      <c r="F561" s="134" t="s">
        <v>1711</v>
      </c>
      <c r="G561" s="59" t="s">
        <v>125</v>
      </c>
      <c r="H561" s="59" t="s">
        <v>162</v>
      </c>
      <c r="I561" s="62"/>
      <c r="J561" s="62"/>
      <c r="K561" s="62"/>
      <c r="L561" s="104" t="s">
        <v>1762</v>
      </c>
      <c r="M561" s="62" t="s">
        <v>1763</v>
      </c>
      <c r="N561" s="120" t="s">
        <v>1760</v>
      </c>
      <c r="O561" s="59" t="s">
        <v>52</v>
      </c>
      <c r="P561" s="39" t="s">
        <v>65</v>
      </c>
      <c r="Q561" s="40">
        <v>1000</v>
      </c>
      <c r="R561" s="40">
        <v>1102.6689410741883</v>
      </c>
    </row>
    <row r="562" spans="1:18" s="39" customFormat="1" ht="31.25" customHeight="1" x14ac:dyDescent="0.2">
      <c r="A562" s="135" t="s">
        <v>1764</v>
      </c>
      <c r="B562" s="135" t="s">
        <v>68</v>
      </c>
      <c r="C562" s="136" t="s">
        <v>120</v>
      </c>
      <c r="D562" s="107" t="s">
        <v>121</v>
      </c>
      <c r="E562" s="107" t="s">
        <v>251</v>
      </c>
      <c r="F562" s="137" t="s">
        <v>1711</v>
      </c>
      <c r="G562" s="135" t="s">
        <v>125</v>
      </c>
      <c r="H562" s="135" t="s">
        <v>162</v>
      </c>
      <c r="I562" s="107"/>
      <c r="J562" s="107"/>
      <c r="K562" s="107"/>
      <c r="L562" s="136" t="s">
        <v>1765</v>
      </c>
      <c r="M562" s="138" t="s">
        <v>1766</v>
      </c>
      <c r="N562" s="138" t="s">
        <v>1760</v>
      </c>
      <c r="O562" s="135" t="s">
        <v>52</v>
      </c>
      <c r="P562" s="50" t="s">
        <v>65</v>
      </c>
      <c r="Q562" s="97">
        <v>1000</v>
      </c>
      <c r="R562" s="40">
        <v>1102.6689410741883</v>
      </c>
    </row>
    <row r="563" spans="1:18" s="39" customFormat="1" ht="31.25" customHeight="1" x14ac:dyDescent="0.2">
      <c r="A563" s="59" t="s">
        <v>1767</v>
      </c>
      <c r="B563" s="39" t="s">
        <v>68</v>
      </c>
      <c r="C563" s="39" t="s">
        <v>280</v>
      </c>
      <c r="D563" s="39" t="s">
        <v>137</v>
      </c>
      <c r="E563" s="39" t="s">
        <v>133</v>
      </c>
      <c r="F563" s="39" t="s">
        <v>1768</v>
      </c>
      <c r="G563" s="39" t="s">
        <v>125</v>
      </c>
      <c r="H563" s="39" t="s">
        <v>162</v>
      </c>
      <c r="J563" s="39" t="s">
        <v>124</v>
      </c>
      <c r="K563" s="39" t="s">
        <v>5557</v>
      </c>
      <c r="L563" s="39" t="s">
        <v>1769</v>
      </c>
      <c r="M563" s="39" t="s">
        <v>1770</v>
      </c>
      <c r="O563" s="39" t="s">
        <v>52</v>
      </c>
      <c r="P563" s="94" t="s">
        <v>65</v>
      </c>
      <c r="Q563" s="40">
        <v>1500</v>
      </c>
      <c r="R563" s="40">
        <v>1654.0034116112824</v>
      </c>
    </row>
    <row r="564" spans="1:18" s="39" customFormat="1" ht="31.25" customHeight="1" x14ac:dyDescent="0.2">
      <c r="A564" s="59" t="s">
        <v>1771</v>
      </c>
      <c r="B564" s="39" t="s">
        <v>68</v>
      </c>
      <c r="C564" s="39" t="s">
        <v>120</v>
      </c>
      <c r="D564" s="39" t="s">
        <v>121</v>
      </c>
      <c r="E564" s="39" t="s">
        <v>251</v>
      </c>
      <c r="F564" s="39" t="s">
        <v>1772</v>
      </c>
      <c r="G564" s="39" t="s">
        <v>125</v>
      </c>
      <c r="H564" s="39" t="s">
        <v>162</v>
      </c>
      <c r="J564" s="39" t="s">
        <v>124</v>
      </c>
      <c r="K564" s="39" t="s">
        <v>5557</v>
      </c>
      <c r="L564" s="39" t="s">
        <v>1773</v>
      </c>
      <c r="M564" s="39" t="s">
        <v>1770</v>
      </c>
      <c r="O564" s="39" t="s">
        <v>52</v>
      </c>
      <c r="P564" s="39" t="s">
        <v>65</v>
      </c>
      <c r="Q564" s="40">
        <v>449.3</v>
      </c>
      <c r="R564" s="40">
        <v>495.42915522463284</v>
      </c>
    </row>
    <row r="565" spans="1:18" s="39" customFormat="1" ht="31.25" customHeight="1" x14ac:dyDescent="0.2">
      <c r="A565" s="59" t="s">
        <v>1774</v>
      </c>
      <c r="B565" s="39" t="s">
        <v>68</v>
      </c>
      <c r="C565" s="39" t="s">
        <v>120</v>
      </c>
      <c r="D565" s="39" t="s">
        <v>137</v>
      </c>
      <c r="E565" s="39" t="s">
        <v>133</v>
      </c>
      <c r="F565" s="39" t="s">
        <v>1775</v>
      </c>
      <c r="G565" s="39" t="s">
        <v>125</v>
      </c>
      <c r="H565" s="39" t="s">
        <v>162</v>
      </c>
      <c r="J565" s="39" t="s">
        <v>124</v>
      </c>
      <c r="K565" s="39" t="s">
        <v>5557</v>
      </c>
      <c r="L565" s="39" t="s">
        <v>1776</v>
      </c>
      <c r="M565" s="39" t="s">
        <v>1770</v>
      </c>
      <c r="O565" s="39" t="s">
        <v>52</v>
      </c>
      <c r="P565" s="39" t="s">
        <v>65</v>
      </c>
      <c r="Q565" s="40">
        <v>550</v>
      </c>
      <c r="R565" s="40">
        <v>606.46791759080361</v>
      </c>
    </row>
    <row r="566" spans="1:18" s="39" customFormat="1" ht="31.25" customHeight="1" x14ac:dyDescent="0.2">
      <c r="A566" s="59" t="s">
        <v>1777</v>
      </c>
      <c r="B566" s="39" t="s">
        <v>68</v>
      </c>
      <c r="C566" s="39" t="s">
        <v>280</v>
      </c>
      <c r="D566" s="39" t="s">
        <v>137</v>
      </c>
      <c r="E566" s="39" t="s">
        <v>133</v>
      </c>
      <c r="F566" s="39" t="s">
        <v>331</v>
      </c>
      <c r="G566" s="39" t="s">
        <v>125</v>
      </c>
      <c r="H566" s="39" t="s">
        <v>162</v>
      </c>
      <c r="J566" s="39" t="s">
        <v>124</v>
      </c>
      <c r="K566" s="39" t="s">
        <v>5557</v>
      </c>
      <c r="L566" s="48" t="s">
        <v>1778</v>
      </c>
      <c r="M566" s="39" t="s">
        <v>1770</v>
      </c>
      <c r="O566" s="39" t="s">
        <v>52</v>
      </c>
      <c r="P566" s="94" t="s">
        <v>65</v>
      </c>
      <c r="Q566" s="40">
        <v>60</v>
      </c>
      <c r="R566" s="40">
        <v>66.160136464451298</v>
      </c>
    </row>
    <row r="567" spans="1:18" s="39" customFormat="1" ht="31.25" customHeight="1" x14ac:dyDescent="0.2">
      <c r="A567" s="59" t="s">
        <v>1779</v>
      </c>
      <c r="B567" s="39" t="s">
        <v>68</v>
      </c>
      <c r="C567" s="39" t="s">
        <v>280</v>
      </c>
      <c r="D567" s="39" t="s">
        <v>137</v>
      </c>
      <c r="E567" s="39" t="s">
        <v>133</v>
      </c>
      <c r="F567" s="39" t="s">
        <v>1780</v>
      </c>
      <c r="G567" s="39" t="s">
        <v>125</v>
      </c>
      <c r="H567" s="39" t="s">
        <v>162</v>
      </c>
      <c r="J567" s="39" t="s">
        <v>124</v>
      </c>
      <c r="K567" s="39" t="s">
        <v>5557</v>
      </c>
      <c r="L567" s="39" t="s">
        <v>1781</v>
      </c>
      <c r="M567" s="39" t="s">
        <v>1770</v>
      </c>
      <c r="O567" s="39" t="s">
        <v>52</v>
      </c>
      <c r="P567" s="39" t="s">
        <v>65</v>
      </c>
      <c r="Q567" s="40">
        <v>700</v>
      </c>
      <c r="R567" s="40">
        <v>771.86825875193176</v>
      </c>
    </row>
    <row r="568" spans="1:18" s="39" customFormat="1" ht="31.25" customHeight="1" x14ac:dyDescent="0.2">
      <c r="A568" s="59" t="s">
        <v>1782</v>
      </c>
      <c r="B568" s="39" t="s">
        <v>68</v>
      </c>
      <c r="C568" s="39" t="s">
        <v>188</v>
      </c>
      <c r="D568" s="39" t="s">
        <v>121</v>
      </c>
      <c r="E568" s="39" t="s">
        <v>251</v>
      </c>
      <c r="F568" s="39" t="s">
        <v>1780</v>
      </c>
      <c r="G568" s="39" t="s">
        <v>125</v>
      </c>
      <c r="H568" s="39" t="s">
        <v>162</v>
      </c>
      <c r="J568" s="39" t="s">
        <v>124</v>
      </c>
      <c r="K568" s="39" t="s">
        <v>5557</v>
      </c>
      <c r="L568" s="139" t="s">
        <v>1783</v>
      </c>
      <c r="M568" s="39" t="s">
        <v>1770</v>
      </c>
      <c r="O568" s="39" t="s">
        <v>52</v>
      </c>
      <c r="P568" s="39" t="s">
        <v>65</v>
      </c>
      <c r="Q568" s="40">
        <v>700</v>
      </c>
      <c r="R568" s="40">
        <v>771.86825875193176</v>
      </c>
    </row>
    <row r="569" spans="1:18" s="39" customFormat="1" ht="31.25" customHeight="1" x14ac:dyDescent="0.2">
      <c r="A569" s="59" t="s">
        <v>1784</v>
      </c>
      <c r="B569" s="39" t="s">
        <v>68</v>
      </c>
      <c r="C569" s="39" t="s">
        <v>280</v>
      </c>
      <c r="D569" s="39" t="s">
        <v>121</v>
      </c>
      <c r="E569" s="39" t="s">
        <v>251</v>
      </c>
      <c r="F569" s="39" t="s">
        <v>1785</v>
      </c>
      <c r="G569" s="39" t="s">
        <v>125</v>
      </c>
      <c r="H569" s="39" t="s">
        <v>162</v>
      </c>
      <c r="J569" s="39" t="s">
        <v>124</v>
      </c>
      <c r="K569" s="39" t="s">
        <v>5559</v>
      </c>
      <c r="L569" s="39" t="s">
        <v>1786</v>
      </c>
      <c r="M569" s="39" t="s">
        <v>1770</v>
      </c>
      <c r="O569" s="39" t="s">
        <v>52</v>
      </c>
      <c r="P569" s="94" t="s">
        <v>65</v>
      </c>
      <c r="Q569" s="40">
        <v>75</v>
      </c>
      <c r="R569" s="40">
        <v>82.700170580564119</v>
      </c>
    </row>
    <row r="570" spans="1:18" s="39" customFormat="1" ht="31.25" customHeight="1" x14ac:dyDescent="0.2">
      <c r="A570" s="59" t="s">
        <v>1787</v>
      </c>
      <c r="B570" s="39" t="s">
        <v>68</v>
      </c>
      <c r="C570" s="39" t="s">
        <v>188</v>
      </c>
      <c r="D570" s="39" t="s">
        <v>121</v>
      </c>
      <c r="E570" s="39" t="s">
        <v>251</v>
      </c>
      <c r="F570" s="39" t="s">
        <v>1788</v>
      </c>
      <c r="G570" s="39" t="s">
        <v>125</v>
      </c>
      <c r="H570" s="39" t="s">
        <v>162</v>
      </c>
      <c r="J570" s="39" t="s">
        <v>124</v>
      </c>
      <c r="K570" s="39" t="s">
        <v>5557</v>
      </c>
      <c r="L570" s="48" t="s">
        <v>1789</v>
      </c>
      <c r="M570" s="39" t="s">
        <v>1770</v>
      </c>
      <c r="O570" s="39" t="s">
        <v>52</v>
      </c>
      <c r="P570" s="94" t="s">
        <v>65</v>
      </c>
      <c r="Q570" s="40">
        <v>2500</v>
      </c>
      <c r="R570" s="40">
        <v>2756.6723526854707</v>
      </c>
    </row>
    <row r="571" spans="1:18" s="39" customFormat="1" ht="31.25" customHeight="1" x14ac:dyDescent="0.2">
      <c r="A571" s="59" t="s">
        <v>1790</v>
      </c>
      <c r="B571" s="39" t="s">
        <v>68</v>
      </c>
      <c r="C571" s="39" t="s">
        <v>188</v>
      </c>
      <c r="D571" s="39" t="s">
        <v>121</v>
      </c>
      <c r="E571" s="39" t="s">
        <v>251</v>
      </c>
      <c r="F571" s="39" t="s">
        <v>1791</v>
      </c>
      <c r="G571" s="39" t="s">
        <v>125</v>
      </c>
      <c r="H571" s="39" t="s">
        <v>162</v>
      </c>
      <c r="J571" s="39" t="s">
        <v>124</v>
      </c>
      <c r="K571" s="39" t="s">
        <v>5557</v>
      </c>
      <c r="L571" s="48" t="s">
        <v>1792</v>
      </c>
      <c r="M571" s="39" t="s">
        <v>1770</v>
      </c>
      <c r="O571" s="39" t="s">
        <v>52</v>
      </c>
      <c r="P571" s="39" t="s">
        <v>65</v>
      </c>
      <c r="Q571" s="40">
        <v>295</v>
      </c>
      <c r="R571" s="40">
        <v>325.28733761688557</v>
      </c>
    </row>
    <row r="572" spans="1:18" s="39" customFormat="1" ht="31.25" customHeight="1" x14ac:dyDescent="0.2">
      <c r="A572" s="59" t="s">
        <v>1793</v>
      </c>
      <c r="B572" s="39" t="s">
        <v>68</v>
      </c>
      <c r="C572" s="39" t="s">
        <v>188</v>
      </c>
      <c r="D572" s="39" t="s">
        <v>121</v>
      </c>
      <c r="E572" s="39" t="s">
        <v>251</v>
      </c>
      <c r="F572" s="39" t="s">
        <v>1794</v>
      </c>
      <c r="G572" s="39" t="s">
        <v>125</v>
      </c>
      <c r="H572" s="39" t="s">
        <v>162</v>
      </c>
      <c r="J572" s="39" t="s">
        <v>124</v>
      </c>
      <c r="K572" s="39" t="s">
        <v>5557</v>
      </c>
      <c r="L572" s="48" t="s">
        <v>1795</v>
      </c>
      <c r="M572" s="39" t="s">
        <v>1770</v>
      </c>
      <c r="O572" s="39" t="s">
        <v>52</v>
      </c>
      <c r="P572" s="94" t="s">
        <v>65</v>
      </c>
      <c r="Q572" s="40">
        <v>1085</v>
      </c>
      <c r="R572" s="40">
        <v>1196.3958010654942</v>
      </c>
    </row>
    <row r="573" spans="1:18" s="39" customFormat="1" ht="31.25" customHeight="1" x14ac:dyDescent="0.2">
      <c r="A573" s="59" t="s">
        <v>1796</v>
      </c>
      <c r="B573" s="39" t="s">
        <v>68</v>
      </c>
      <c r="C573" s="39" t="s">
        <v>188</v>
      </c>
      <c r="D573" s="39" t="s">
        <v>121</v>
      </c>
      <c r="E573" s="39" t="s">
        <v>251</v>
      </c>
      <c r="F573" s="39" t="s">
        <v>1797</v>
      </c>
      <c r="G573" s="39" t="s">
        <v>125</v>
      </c>
      <c r="H573" s="39" t="s">
        <v>162</v>
      </c>
      <c r="J573" s="39" t="s">
        <v>124</v>
      </c>
      <c r="K573" s="39" t="s">
        <v>5557</v>
      </c>
      <c r="L573" s="48" t="s">
        <v>1798</v>
      </c>
      <c r="M573" s="39" t="s">
        <v>1770</v>
      </c>
      <c r="O573" s="39" t="s">
        <v>52</v>
      </c>
      <c r="P573" s="39" t="s">
        <v>65</v>
      </c>
      <c r="Q573" s="40">
        <v>227</v>
      </c>
      <c r="R573" s="40">
        <v>250.30584962384074</v>
      </c>
    </row>
    <row r="574" spans="1:18" s="39" customFormat="1" ht="31.25" customHeight="1" x14ac:dyDescent="0.2">
      <c r="A574" s="59" t="s">
        <v>1799</v>
      </c>
      <c r="B574" s="39" t="s">
        <v>68</v>
      </c>
      <c r="C574" s="39" t="s">
        <v>177</v>
      </c>
      <c r="D574" s="39" t="s">
        <v>121</v>
      </c>
      <c r="E574" s="39" t="s">
        <v>251</v>
      </c>
      <c r="F574" s="39" t="s">
        <v>1800</v>
      </c>
      <c r="G574" s="39" t="s">
        <v>125</v>
      </c>
      <c r="H574" s="39" t="s">
        <v>162</v>
      </c>
      <c r="J574" s="39" t="s">
        <v>124</v>
      </c>
      <c r="K574" s="39" t="s">
        <v>5557</v>
      </c>
      <c r="L574" s="48" t="s">
        <v>1801</v>
      </c>
      <c r="M574" s="39" t="s">
        <v>1770</v>
      </c>
      <c r="O574" s="39" t="s">
        <v>52</v>
      </c>
      <c r="P574" s="39" t="s">
        <v>65</v>
      </c>
      <c r="Q574" s="40">
        <v>545.9</v>
      </c>
      <c r="R574" s="40">
        <v>601.94697493239937</v>
      </c>
    </row>
    <row r="575" spans="1:18" s="39" customFormat="1" ht="31.25" customHeight="1" x14ac:dyDescent="0.2">
      <c r="A575" s="59" t="s">
        <v>1802</v>
      </c>
      <c r="B575" s="39" t="s">
        <v>68</v>
      </c>
      <c r="C575" s="39" t="s">
        <v>120</v>
      </c>
      <c r="D575" s="39" t="s">
        <v>121</v>
      </c>
      <c r="E575" s="39" t="s">
        <v>166</v>
      </c>
      <c r="F575" s="39" t="s">
        <v>1803</v>
      </c>
      <c r="G575" s="39" t="s">
        <v>125</v>
      </c>
      <c r="H575" s="39" t="s">
        <v>162</v>
      </c>
      <c r="J575" s="39" t="s">
        <v>124</v>
      </c>
      <c r="K575" s="39" t="s">
        <v>5557</v>
      </c>
      <c r="L575" s="48" t="s">
        <v>1804</v>
      </c>
      <c r="M575" s="39" t="s">
        <v>1770</v>
      </c>
      <c r="O575" s="39" t="s">
        <v>52</v>
      </c>
      <c r="P575" s="94" t="s">
        <v>65</v>
      </c>
      <c r="Q575" s="40">
        <v>57</v>
      </c>
      <c r="R575" s="40">
        <v>62.852129641228736</v>
      </c>
    </row>
    <row r="576" spans="1:18" s="39" customFormat="1" ht="31.25" customHeight="1" x14ac:dyDescent="0.2">
      <c r="A576" s="59" t="s">
        <v>1805</v>
      </c>
      <c r="B576" s="39" t="s">
        <v>68</v>
      </c>
      <c r="C576" s="39" t="s">
        <v>120</v>
      </c>
      <c r="D576" s="39" t="s">
        <v>121</v>
      </c>
      <c r="E576" s="39" t="s">
        <v>166</v>
      </c>
      <c r="F576" s="39" t="s">
        <v>1788</v>
      </c>
      <c r="G576" s="39" t="s">
        <v>125</v>
      </c>
      <c r="H576" s="39" t="s">
        <v>162</v>
      </c>
      <c r="J576" s="39" t="s">
        <v>124</v>
      </c>
      <c r="K576" s="39" t="s">
        <v>5557</v>
      </c>
      <c r="L576" s="48" t="s">
        <v>1806</v>
      </c>
      <c r="M576" s="39" t="s">
        <v>1770</v>
      </c>
      <c r="O576" s="39" t="s">
        <v>52</v>
      </c>
      <c r="P576" s="39" t="s">
        <v>65</v>
      </c>
      <c r="Q576" s="40">
        <v>2500</v>
      </c>
      <c r="R576" s="40">
        <v>2756.6723526854707</v>
      </c>
    </row>
    <row r="577" spans="1:18" s="39" customFormat="1" ht="31.25" customHeight="1" x14ac:dyDescent="0.2">
      <c r="A577" s="59" t="s">
        <v>1807</v>
      </c>
      <c r="B577" s="39" t="s">
        <v>68</v>
      </c>
      <c r="C577" s="39" t="s">
        <v>120</v>
      </c>
      <c r="D577" s="39" t="s">
        <v>121</v>
      </c>
      <c r="E577" s="39" t="s">
        <v>251</v>
      </c>
      <c r="F577" s="39" t="s">
        <v>1808</v>
      </c>
      <c r="G577" s="39" t="s">
        <v>125</v>
      </c>
      <c r="H577" s="39" t="s">
        <v>162</v>
      </c>
      <c r="J577" s="39" t="s">
        <v>124</v>
      </c>
      <c r="K577" s="39" t="s">
        <v>5557</v>
      </c>
      <c r="L577" s="48" t="s">
        <v>1809</v>
      </c>
      <c r="M577" s="39" t="s">
        <v>1770</v>
      </c>
      <c r="O577" s="39" t="s">
        <v>52</v>
      </c>
      <c r="P577" s="39" t="s">
        <v>65</v>
      </c>
      <c r="Q577" s="40">
        <v>1898.5</v>
      </c>
      <c r="R577" s="40">
        <v>2093.4169846293466</v>
      </c>
    </row>
    <row r="578" spans="1:18" s="39" customFormat="1" ht="31.25" customHeight="1" x14ac:dyDescent="0.2">
      <c r="A578" s="59" t="s">
        <v>1810</v>
      </c>
      <c r="B578" s="39" t="s">
        <v>68</v>
      </c>
      <c r="C578" s="39" t="s">
        <v>120</v>
      </c>
      <c r="D578" s="39" t="s">
        <v>121</v>
      </c>
      <c r="E578" s="39" t="s">
        <v>166</v>
      </c>
      <c r="F578" s="39" t="s">
        <v>416</v>
      </c>
      <c r="G578" s="39" t="s">
        <v>125</v>
      </c>
      <c r="H578" s="39" t="s">
        <v>162</v>
      </c>
      <c r="J578" s="39" t="s">
        <v>124</v>
      </c>
      <c r="K578" s="39" t="s">
        <v>5557</v>
      </c>
      <c r="L578" s="39" t="s">
        <v>1811</v>
      </c>
      <c r="M578" s="39" t="s">
        <v>1770</v>
      </c>
      <c r="O578" s="39" t="s">
        <v>52</v>
      </c>
      <c r="P578" s="39" t="s">
        <v>65</v>
      </c>
      <c r="Q578" s="40">
        <v>20</v>
      </c>
      <c r="R578" s="40">
        <v>22.053378821483765</v>
      </c>
    </row>
    <row r="579" spans="1:18" s="39" customFormat="1" ht="31.25" customHeight="1" x14ac:dyDescent="0.2">
      <c r="A579" s="59" t="s">
        <v>1812</v>
      </c>
      <c r="B579" s="39" t="s">
        <v>68</v>
      </c>
      <c r="C579" s="39" t="s">
        <v>188</v>
      </c>
      <c r="D579" s="39" t="s">
        <v>137</v>
      </c>
      <c r="E579" s="39" t="s">
        <v>133</v>
      </c>
      <c r="F579" s="39" t="s">
        <v>1813</v>
      </c>
      <c r="G579" s="39" t="s">
        <v>125</v>
      </c>
      <c r="H579" s="39" t="s">
        <v>162</v>
      </c>
      <c r="J579" s="39" t="s">
        <v>124</v>
      </c>
      <c r="K579" s="39" t="s">
        <v>5557</v>
      </c>
      <c r="L579" s="39" t="s">
        <v>1814</v>
      </c>
      <c r="M579" s="39" t="s">
        <v>1770</v>
      </c>
      <c r="O579" s="39" t="s">
        <v>52</v>
      </c>
      <c r="P579" s="39" t="s">
        <v>65</v>
      </c>
      <c r="Q579" s="40">
        <v>750</v>
      </c>
      <c r="R579" s="40">
        <v>827.00170580564122</v>
      </c>
    </row>
    <row r="580" spans="1:18" s="39" customFormat="1" ht="31.25" customHeight="1" x14ac:dyDescent="0.2">
      <c r="A580" s="140" t="s">
        <v>1815</v>
      </c>
      <c r="B580" s="140" t="s">
        <v>63</v>
      </c>
      <c r="C580" s="140" t="s">
        <v>132</v>
      </c>
      <c r="D580" s="140" t="s">
        <v>121</v>
      </c>
      <c r="E580" s="140" t="s">
        <v>251</v>
      </c>
      <c r="F580" s="141">
        <f t="shared" ref="F580:F590" si="0">0.16*Q580*1000000</f>
        <v>260000000</v>
      </c>
      <c r="G580" s="140" t="s">
        <v>125</v>
      </c>
      <c r="H580" s="140" t="s">
        <v>162</v>
      </c>
      <c r="I580" s="140"/>
      <c r="J580" s="140" t="s">
        <v>124</v>
      </c>
      <c r="K580" s="140"/>
      <c r="L580" s="140" t="s">
        <v>1817</v>
      </c>
      <c r="M580" s="142" t="s">
        <v>1818</v>
      </c>
      <c r="N580" s="140" t="s">
        <v>1819</v>
      </c>
      <c r="O580" s="140" t="s">
        <v>52</v>
      </c>
      <c r="P580" s="140" t="s">
        <v>1820</v>
      </c>
      <c r="Q580" s="141">
        <v>1625</v>
      </c>
      <c r="R580" s="40">
        <v>239.75740817009682</v>
      </c>
    </row>
    <row r="581" spans="1:18" s="39" customFormat="1" ht="31.25" customHeight="1" x14ac:dyDescent="0.2">
      <c r="A581" s="143" t="s">
        <v>1821</v>
      </c>
      <c r="B581" s="143" t="s">
        <v>63</v>
      </c>
      <c r="C581" s="109" t="s">
        <v>132</v>
      </c>
      <c r="D581" s="109" t="s">
        <v>121</v>
      </c>
      <c r="E581" s="109" t="s">
        <v>147</v>
      </c>
      <c r="F581" s="144">
        <f t="shared" si="0"/>
        <v>624800000.00000012</v>
      </c>
      <c r="G581" s="109" t="s">
        <v>125</v>
      </c>
      <c r="H581" s="109"/>
      <c r="I581" s="109"/>
      <c r="J581" s="109" t="s">
        <v>124</v>
      </c>
      <c r="K581" s="109"/>
      <c r="L581" s="109" t="s">
        <v>1822</v>
      </c>
      <c r="M581" s="110" t="s">
        <v>1818</v>
      </c>
      <c r="N581" s="109" t="s">
        <v>1819</v>
      </c>
      <c r="O581" s="109" t="s">
        <v>52</v>
      </c>
      <c r="P581" s="109" t="s">
        <v>1820</v>
      </c>
      <c r="Q581" s="144">
        <v>3905</v>
      </c>
      <c r="R581" s="40">
        <v>576.15549471029419</v>
      </c>
    </row>
    <row r="582" spans="1:18" s="39" customFormat="1" ht="31.25" customHeight="1" x14ac:dyDescent="0.2">
      <c r="A582" s="143" t="s">
        <v>1823</v>
      </c>
      <c r="B582" s="143" t="s">
        <v>63</v>
      </c>
      <c r="C582" s="109" t="s">
        <v>280</v>
      </c>
      <c r="D582" s="109" t="s">
        <v>137</v>
      </c>
      <c r="E582" s="109" t="s">
        <v>133</v>
      </c>
      <c r="F582" s="144">
        <f t="shared" si="0"/>
        <v>288000000</v>
      </c>
      <c r="G582" s="109" t="s">
        <v>125</v>
      </c>
      <c r="H582" s="109"/>
      <c r="I582" s="109"/>
      <c r="J582" s="109" t="s">
        <v>124</v>
      </c>
      <c r="K582" s="109"/>
      <c r="L582" s="109" t="s">
        <v>1824</v>
      </c>
      <c r="M582" s="110" t="s">
        <v>1818</v>
      </c>
      <c r="N582" s="109" t="s">
        <v>1819</v>
      </c>
      <c r="O582" s="109" t="s">
        <v>52</v>
      </c>
      <c r="P582" s="109" t="s">
        <v>1820</v>
      </c>
      <c r="Q582" s="144">
        <v>1800</v>
      </c>
      <c r="R582" s="40">
        <v>265.57743674226111</v>
      </c>
    </row>
    <row r="583" spans="1:18" s="39" customFormat="1" ht="31.25" customHeight="1" x14ac:dyDescent="0.2">
      <c r="A583" s="143" t="s">
        <v>1825</v>
      </c>
      <c r="B583" s="143" t="s">
        <v>63</v>
      </c>
      <c r="C583" s="109" t="s">
        <v>177</v>
      </c>
      <c r="D583" s="109" t="s">
        <v>137</v>
      </c>
      <c r="E583" s="109" t="s">
        <v>133</v>
      </c>
      <c r="F583" s="144">
        <f t="shared" si="0"/>
        <v>326400000.00000006</v>
      </c>
      <c r="G583" s="109" t="s">
        <v>125</v>
      </c>
      <c r="H583" s="109" t="s">
        <v>162</v>
      </c>
      <c r="I583" s="109"/>
      <c r="J583" s="109" t="s">
        <v>124</v>
      </c>
      <c r="K583" s="109"/>
      <c r="L583" s="109" t="s">
        <v>1826</v>
      </c>
      <c r="M583" s="110" t="s">
        <v>1818</v>
      </c>
      <c r="N583" s="109" t="s">
        <v>1819</v>
      </c>
      <c r="O583" s="109" t="s">
        <v>52</v>
      </c>
      <c r="P583" s="109" t="s">
        <v>1820</v>
      </c>
      <c r="Q583" s="144">
        <v>2040</v>
      </c>
      <c r="R583" s="40">
        <v>300.98776164122927</v>
      </c>
    </row>
    <row r="584" spans="1:18" s="39" customFormat="1" ht="31.25" customHeight="1" x14ac:dyDescent="0.2">
      <c r="A584" s="143" t="s">
        <v>1827</v>
      </c>
      <c r="B584" s="143" t="s">
        <v>63</v>
      </c>
      <c r="C584" s="109" t="s">
        <v>177</v>
      </c>
      <c r="D584" s="109" t="s">
        <v>121</v>
      </c>
      <c r="E584" s="109" t="s">
        <v>172</v>
      </c>
      <c r="F584" s="144">
        <f t="shared" si="0"/>
        <v>12800000</v>
      </c>
      <c r="G584" s="109" t="s">
        <v>134</v>
      </c>
      <c r="H584" s="109" t="s">
        <v>125</v>
      </c>
      <c r="I584" s="109" t="s">
        <v>152</v>
      </c>
      <c r="J584" s="109" t="s">
        <v>124</v>
      </c>
      <c r="K584" s="109"/>
      <c r="L584" s="109" t="s">
        <v>1828</v>
      </c>
      <c r="M584" s="110" t="s">
        <v>1819</v>
      </c>
      <c r="N584" s="109"/>
      <c r="O584" s="109" t="s">
        <v>52</v>
      </c>
      <c r="P584" s="109" t="s">
        <v>1820</v>
      </c>
      <c r="Q584" s="144">
        <v>80</v>
      </c>
      <c r="R584" s="40">
        <v>11.803441632989381</v>
      </c>
    </row>
    <row r="585" spans="1:18" s="39" customFormat="1" ht="31.25" customHeight="1" x14ac:dyDescent="0.2">
      <c r="A585" s="143" t="s">
        <v>1829</v>
      </c>
      <c r="B585" s="143" t="s">
        <v>63</v>
      </c>
      <c r="C585" s="109" t="s">
        <v>177</v>
      </c>
      <c r="D585" s="109" t="s">
        <v>121</v>
      </c>
      <c r="E585" s="109" t="s">
        <v>172</v>
      </c>
      <c r="F585" s="144">
        <f t="shared" si="0"/>
        <v>3200000</v>
      </c>
      <c r="G585" s="109" t="s">
        <v>134</v>
      </c>
      <c r="H585" s="109" t="s">
        <v>125</v>
      </c>
      <c r="I585" s="109" t="s">
        <v>152</v>
      </c>
      <c r="J585" s="109" t="s">
        <v>124</v>
      </c>
      <c r="K585" s="109"/>
      <c r="L585" s="109" t="s">
        <v>1830</v>
      </c>
      <c r="M585" s="109" t="s">
        <v>1819</v>
      </c>
      <c r="N585" s="109"/>
      <c r="O585" s="109" t="s">
        <v>52</v>
      </c>
      <c r="P585" s="109" t="s">
        <v>1820</v>
      </c>
      <c r="Q585" s="144">
        <v>20</v>
      </c>
      <c r="R585" s="40">
        <v>2.9508604082473453</v>
      </c>
    </row>
    <row r="586" spans="1:18" s="39" customFormat="1" ht="31.25" customHeight="1" x14ac:dyDescent="0.2">
      <c r="A586" s="143" t="s">
        <v>1831</v>
      </c>
      <c r="B586" s="143" t="s">
        <v>63</v>
      </c>
      <c r="C586" s="109" t="s">
        <v>177</v>
      </c>
      <c r="D586" s="109" t="s">
        <v>121</v>
      </c>
      <c r="E586" s="109" t="s">
        <v>172</v>
      </c>
      <c r="F586" s="144">
        <f t="shared" si="0"/>
        <v>6400000</v>
      </c>
      <c r="G586" s="109" t="s">
        <v>134</v>
      </c>
      <c r="H586" s="109" t="s">
        <v>125</v>
      </c>
      <c r="I586" s="109" t="s">
        <v>152</v>
      </c>
      <c r="J586" s="109" t="s">
        <v>124</v>
      </c>
      <c r="K586" s="109"/>
      <c r="L586" s="109" t="s">
        <v>1832</v>
      </c>
      <c r="M586" s="109" t="s">
        <v>1819</v>
      </c>
      <c r="N586" s="109"/>
      <c r="O586" s="109" t="s">
        <v>52</v>
      </c>
      <c r="P586" s="109" t="s">
        <v>1820</v>
      </c>
      <c r="Q586" s="144">
        <v>40</v>
      </c>
      <c r="R586" s="40">
        <v>5.9017208164946906</v>
      </c>
    </row>
    <row r="587" spans="1:18" s="39" customFormat="1" ht="31.25" customHeight="1" x14ac:dyDescent="0.2">
      <c r="A587" s="143" t="s">
        <v>1833</v>
      </c>
      <c r="B587" s="143" t="s">
        <v>63</v>
      </c>
      <c r="C587" s="109" t="s">
        <v>177</v>
      </c>
      <c r="D587" s="109" t="s">
        <v>121</v>
      </c>
      <c r="E587" s="109" t="s">
        <v>172</v>
      </c>
      <c r="F587" s="144">
        <f t="shared" si="0"/>
        <v>6400000</v>
      </c>
      <c r="G587" s="109" t="s">
        <v>134</v>
      </c>
      <c r="H587" s="109" t="s">
        <v>125</v>
      </c>
      <c r="I587" s="109" t="s">
        <v>152</v>
      </c>
      <c r="J587" s="109" t="s">
        <v>124</v>
      </c>
      <c r="K587" s="109"/>
      <c r="L587" s="109" t="s">
        <v>1834</v>
      </c>
      <c r="M587" s="109" t="s">
        <v>1819</v>
      </c>
      <c r="N587" s="109"/>
      <c r="O587" s="109" t="s">
        <v>52</v>
      </c>
      <c r="P587" s="109" t="s">
        <v>1820</v>
      </c>
      <c r="Q587" s="144">
        <v>40</v>
      </c>
      <c r="R587" s="40">
        <v>5.9017208164946906</v>
      </c>
    </row>
    <row r="588" spans="1:18" s="39" customFormat="1" ht="31.25" customHeight="1" x14ac:dyDescent="0.2">
      <c r="A588" s="143" t="s">
        <v>1835</v>
      </c>
      <c r="B588" s="143" t="s">
        <v>63</v>
      </c>
      <c r="C588" s="109" t="s">
        <v>177</v>
      </c>
      <c r="D588" s="109" t="s">
        <v>121</v>
      </c>
      <c r="E588" s="109" t="s">
        <v>172</v>
      </c>
      <c r="F588" s="144">
        <f t="shared" si="0"/>
        <v>32000000</v>
      </c>
      <c r="G588" s="109" t="s">
        <v>134</v>
      </c>
      <c r="H588" s="109" t="s">
        <v>125</v>
      </c>
      <c r="I588" s="109" t="s">
        <v>152</v>
      </c>
      <c r="J588" s="109" t="s">
        <v>124</v>
      </c>
      <c r="K588" s="109"/>
      <c r="L588" s="109" t="s">
        <v>1836</v>
      </c>
      <c r="M588" s="109" t="s">
        <v>1819</v>
      </c>
      <c r="N588" s="109"/>
      <c r="O588" s="109" t="s">
        <v>52</v>
      </c>
      <c r="P588" s="109" t="s">
        <v>1820</v>
      </c>
      <c r="Q588" s="144">
        <v>200</v>
      </c>
      <c r="R588" s="40">
        <v>29.508604082473454</v>
      </c>
    </row>
    <row r="589" spans="1:18" s="39" customFormat="1" ht="31.25" customHeight="1" x14ac:dyDescent="0.2">
      <c r="A589" s="143" t="s">
        <v>1837</v>
      </c>
      <c r="B589" s="143" t="s">
        <v>63</v>
      </c>
      <c r="C589" s="109" t="s">
        <v>177</v>
      </c>
      <c r="D589" s="109" t="s">
        <v>121</v>
      </c>
      <c r="E589" s="109" t="s">
        <v>172</v>
      </c>
      <c r="F589" s="144">
        <f t="shared" si="0"/>
        <v>105600000.00000001</v>
      </c>
      <c r="G589" s="109" t="s">
        <v>134</v>
      </c>
      <c r="H589" s="109" t="s">
        <v>125</v>
      </c>
      <c r="I589" s="109" t="s">
        <v>152</v>
      </c>
      <c r="J589" s="109" t="s">
        <v>124</v>
      </c>
      <c r="K589" s="109"/>
      <c r="L589" s="109" t="s">
        <v>1838</v>
      </c>
      <c r="M589" s="109" t="s">
        <v>1819</v>
      </c>
      <c r="N589" s="109"/>
      <c r="O589" s="109" t="s">
        <v>52</v>
      </c>
      <c r="P589" s="109" t="s">
        <v>1820</v>
      </c>
      <c r="Q589" s="144">
        <v>660</v>
      </c>
      <c r="R589" s="40">
        <v>97.378393472162401</v>
      </c>
    </row>
    <row r="590" spans="1:18" s="39" customFormat="1" ht="31.25" customHeight="1" x14ac:dyDescent="0.2">
      <c r="A590" s="143" t="s">
        <v>1839</v>
      </c>
      <c r="B590" s="143" t="s">
        <v>63</v>
      </c>
      <c r="C590" s="109" t="s">
        <v>177</v>
      </c>
      <c r="D590" s="109" t="s">
        <v>121</v>
      </c>
      <c r="E590" s="109" t="s">
        <v>172</v>
      </c>
      <c r="F590" s="144">
        <f t="shared" si="0"/>
        <v>44800000.000000007</v>
      </c>
      <c r="G590" s="109" t="s">
        <v>153</v>
      </c>
      <c r="H590" s="109" t="s">
        <v>134</v>
      </c>
      <c r="I590" s="109" t="s">
        <v>125</v>
      </c>
      <c r="J590" s="109" t="s">
        <v>124</v>
      </c>
      <c r="K590" s="109" t="s">
        <v>152</v>
      </c>
      <c r="L590" s="109" t="s">
        <v>1840</v>
      </c>
      <c r="M590" s="109" t="s">
        <v>1819</v>
      </c>
      <c r="N590" s="109"/>
      <c r="O590" s="109" t="s">
        <v>52</v>
      </c>
      <c r="P590" s="109" t="s">
        <v>1820</v>
      </c>
      <c r="Q590" s="144">
        <v>280</v>
      </c>
      <c r="R590" s="40">
        <v>41.312045715462837</v>
      </c>
    </row>
    <row r="591" spans="1:18" s="39" customFormat="1" ht="31.25" customHeight="1" x14ac:dyDescent="0.2">
      <c r="A591" s="75" t="s">
        <v>1841</v>
      </c>
      <c r="B591" s="75" t="s">
        <v>88</v>
      </c>
      <c r="C591" s="75" t="s">
        <v>171</v>
      </c>
      <c r="D591" s="75" t="s">
        <v>121</v>
      </c>
      <c r="E591" s="75" t="s">
        <v>172</v>
      </c>
      <c r="F591" s="75"/>
      <c r="G591" s="75" t="s">
        <v>125</v>
      </c>
      <c r="H591" s="75" t="s">
        <v>162</v>
      </c>
      <c r="I591" s="75" t="s">
        <v>152</v>
      </c>
      <c r="J591" s="75"/>
      <c r="K591" s="75"/>
      <c r="L591" s="75" t="s">
        <v>1842</v>
      </c>
      <c r="M591" s="75" t="s">
        <v>1843</v>
      </c>
      <c r="N591" s="75"/>
      <c r="O591" s="75" t="s">
        <v>55</v>
      </c>
      <c r="P591" s="75"/>
      <c r="Q591" s="100"/>
      <c r="R591" s="40" t="s">
        <v>1604</v>
      </c>
    </row>
    <row r="592" spans="1:18" s="39" customFormat="1" ht="31.25" customHeight="1" x14ac:dyDescent="0.2">
      <c r="A592" s="39" t="s">
        <v>1844</v>
      </c>
      <c r="B592" s="39" t="s">
        <v>88</v>
      </c>
      <c r="C592" s="39" t="s">
        <v>226</v>
      </c>
      <c r="D592" s="39" t="s">
        <v>121</v>
      </c>
      <c r="E592" s="39" t="s">
        <v>133</v>
      </c>
      <c r="G592" s="39" t="s">
        <v>152</v>
      </c>
      <c r="H592" s="39" t="s">
        <v>323</v>
      </c>
      <c r="L592" s="39" t="s">
        <v>1845</v>
      </c>
      <c r="M592" s="39" t="s">
        <v>1846</v>
      </c>
      <c r="N592" s="39" t="s">
        <v>1847</v>
      </c>
      <c r="O592" s="39" t="s">
        <v>55</v>
      </c>
      <c r="Q592" s="40"/>
      <c r="R592" s="40" t="s">
        <v>1604</v>
      </c>
    </row>
    <row r="593" spans="1:18" s="39" customFormat="1" ht="31.25" customHeight="1" x14ac:dyDescent="0.2">
      <c r="A593" s="39" t="s">
        <v>1848</v>
      </c>
      <c r="B593" s="39" t="s">
        <v>88</v>
      </c>
      <c r="C593" s="39" t="s">
        <v>120</v>
      </c>
      <c r="D593" s="39" t="s">
        <v>121</v>
      </c>
      <c r="E593" s="39" t="s">
        <v>133</v>
      </c>
      <c r="G593" s="39" t="s">
        <v>134</v>
      </c>
      <c r="H593" s="39" t="s">
        <v>158</v>
      </c>
      <c r="L593" s="39" t="s">
        <v>1849</v>
      </c>
      <c r="M593" s="39" t="s">
        <v>1850</v>
      </c>
      <c r="O593" s="39" t="s">
        <v>55</v>
      </c>
      <c r="Q593" s="40"/>
      <c r="R593" s="40" t="s">
        <v>1604</v>
      </c>
    </row>
    <row r="594" spans="1:18" s="39" customFormat="1" ht="31.25" customHeight="1" x14ac:dyDescent="0.2">
      <c r="A594" s="39" t="s">
        <v>1851</v>
      </c>
      <c r="B594" s="39" t="s">
        <v>88</v>
      </c>
      <c r="C594" s="39" t="s">
        <v>132</v>
      </c>
      <c r="D594" s="39" t="s">
        <v>121</v>
      </c>
      <c r="E594" s="39" t="s">
        <v>151</v>
      </c>
      <c r="G594" s="39" t="s">
        <v>125</v>
      </c>
      <c r="H594" s="39" t="s">
        <v>162</v>
      </c>
      <c r="I594" s="39" t="s">
        <v>158</v>
      </c>
      <c r="L594" s="39" t="s">
        <v>1852</v>
      </c>
      <c r="M594" s="39" t="s">
        <v>1853</v>
      </c>
      <c r="O594" s="39" t="s">
        <v>55</v>
      </c>
      <c r="Q594" s="40"/>
      <c r="R594" s="40" t="s">
        <v>1604</v>
      </c>
    </row>
    <row r="595" spans="1:18" s="39" customFormat="1" ht="31.25" customHeight="1" x14ac:dyDescent="0.2">
      <c r="A595" s="39" t="s">
        <v>1854</v>
      </c>
      <c r="B595" s="39" t="s">
        <v>88</v>
      </c>
      <c r="C595" s="39" t="s">
        <v>171</v>
      </c>
      <c r="D595" s="39" t="s">
        <v>121</v>
      </c>
      <c r="E595" s="39" t="s">
        <v>133</v>
      </c>
      <c r="G595" s="39" t="s">
        <v>134</v>
      </c>
      <c r="H595" s="39" t="s">
        <v>125</v>
      </c>
      <c r="L595" s="39" t="s">
        <v>1855</v>
      </c>
      <c r="M595" s="39" t="s">
        <v>1856</v>
      </c>
      <c r="O595" s="39" t="s">
        <v>55</v>
      </c>
      <c r="Q595" s="40"/>
      <c r="R595" s="40" t="s">
        <v>1604</v>
      </c>
    </row>
    <row r="596" spans="1:18" s="39" customFormat="1" ht="31.25" customHeight="1" x14ac:dyDescent="0.2">
      <c r="A596" s="39" t="s">
        <v>1857</v>
      </c>
      <c r="B596" s="39" t="s">
        <v>88</v>
      </c>
      <c r="C596" s="39" t="s">
        <v>132</v>
      </c>
      <c r="D596" s="39" t="s">
        <v>121</v>
      </c>
      <c r="E596" s="39" t="s">
        <v>151</v>
      </c>
      <c r="G596" s="39" t="s">
        <v>162</v>
      </c>
      <c r="H596" s="39" t="s">
        <v>125</v>
      </c>
      <c r="I596" s="39" t="s">
        <v>158</v>
      </c>
      <c r="L596" s="39" t="s">
        <v>1858</v>
      </c>
      <c r="M596" s="39" t="s">
        <v>1859</v>
      </c>
      <c r="O596" s="39" t="s">
        <v>55</v>
      </c>
      <c r="Q596" s="40"/>
      <c r="R596" s="40" t="s">
        <v>1604</v>
      </c>
    </row>
    <row r="597" spans="1:18" s="39" customFormat="1" ht="31.25" customHeight="1" x14ac:dyDescent="0.2">
      <c r="A597" s="39" t="s">
        <v>1860</v>
      </c>
      <c r="B597" s="39" t="s">
        <v>88</v>
      </c>
      <c r="C597" s="39" t="s">
        <v>171</v>
      </c>
      <c r="D597" s="39" t="s">
        <v>121</v>
      </c>
      <c r="E597" s="39" t="s">
        <v>133</v>
      </c>
      <c r="G597" s="39" t="s">
        <v>152</v>
      </c>
      <c r="H597" s="39" t="s">
        <v>158</v>
      </c>
      <c r="L597" s="39" t="s">
        <v>1861</v>
      </c>
      <c r="M597" s="39" t="s">
        <v>1862</v>
      </c>
      <c r="O597" s="39" t="s">
        <v>55</v>
      </c>
      <c r="Q597" s="40"/>
      <c r="R597" s="40" t="s">
        <v>1604</v>
      </c>
    </row>
    <row r="598" spans="1:18" s="39" customFormat="1" ht="31.25" customHeight="1" x14ac:dyDescent="0.2">
      <c r="A598" s="39" t="s">
        <v>1863</v>
      </c>
      <c r="B598" s="39" t="s">
        <v>88</v>
      </c>
      <c r="C598" s="39" t="s">
        <v>171</v>
      </c>
      <c r="D598" s="39" t="s">
        <v>160</v>
      </c>
      <c r="E598" s="39" t="s">
        <v>133</v>
      </c>
      <c r="G598" s="39" t="s">
        <v>125</v>
      </c>
      <c r="H598" s="39" t="s">
        <v>134</v>
      </c>
      <c r="I598" s="39" t="s">
        <v>152</v>
      </c>
      <c r="L598" s="39" t="s">
        <v>1864</v>
      </c>
      <c r="M598" s="39" t="s">
        <v>1865</v>
      </c>
      <c r="O598" s="39" t="s">
        <v>55</v>
      </c>
      <c r="Q598" s="40"/>
      <c r="R598" s="40" t="s">
        <v>1604</v>
      </c>
    </row>
    <row r="599" spans="1:18" s="39" customFormat="1" ht="31.25" customHeight="1" x14ac:dyDescent="0.2">
      <c r="A599" s="39" t="s">
        <v>1866</v>
      </c>
      <c r="B599" s="39" t="s">
        <v>88</v>
      </c>
      <c r="C599" s="39" t="s">
        <v>171</v>
      </c>
      <c r="D599" s="39" t="s">
        <v>137</v>
      </c>
      <c r="E599" s="39" t="s">
        <v>133</v>
      </c>
      <c r="G599" s="39" t="s">
        <v>134</v>
      </c>
      <c r="H599" s="39" t="s">
        <v>158</v>
      </c>
      <c r="L599" s="39" t="s">
        <v>1867</v>
      </c>
      <c r="M599" s="39" t="s">
        <v>1868</v>
      </c>
      <c r="O599" s="39" t="s">
        <v>52</v>
      </c>
      <c r="Q599" s="40"/>
      <c r="R599" s="40" t="s">
        <v>1604</v>
      </c>
    </row>
    <row r="600" spans="1:18" s="39" customFormat="1" ht="31.25" customHeight="1" x14ac:dyDescent="0.2">
      <c r="A600" s="39" t="s">
        <v>1869</v>
      </c>
      <c r="B600" s="39" t="s">
        <v>88</v>
      </c>
      <c r="C600" s="39" t="s">
        <v>171</v>
      </c>
      <c r="D600" s="39" t="s">
        <v>121</v>
      </c>
      <c r="E600" s="39" t="s">
        <v>151</v>
      </c>
      <c r="G600" s="39" t="s">
        <v>162</v>
      </c>
      <c r="H600" s="39" t="s">
        <v>158</v>
      </c>
      <c r="L600" s="39" t="s">
        <v>1870</v>
      </c>
      <c r="M600" s="39" t="s">
        <v>1871</v>
      </c>
      <c r="O600" s="39" t="s">
        <v>52</v>
      </c>
      <c r="Q600" s="40"/>
      <c r="R600" s="40" t="s">
        <v>1604</v>
      </c>
    </row>
    <row r="601" spans="1:18" s="39" customFormat="1" ht="31.25" customHeight="1" x14ac:dyDescent="0.2">
      <c r="A601" s="39" t="s">
        <v>1872</v>
      </c>
      <c r="B601" s="39" t="s">
        <v>88</v>
      </c>
      <c r="C601" s="39" t="s">
        <v>120</v>
      </c>
      <c r="D601" s="39" t="s">
        <v>121</v>
      </c>
      <c r="E601" s="39" t="s">
        <v>251</v>
      </c>
      <c r="F601" s="39" t="s">
        <v>1873</v>
      </c>
      <c r="G601" s="39" t="s">
        <v>125</v>
      </c>
      <c r="H601" s="39" t="s">
        <v>162</v>
      </c>
      <c r="I601" s="39" t="s">
        <v>158</v>
      </c>
      <c r="L601" s="39" t="s">
        <v>1874</v>
      </c>
      <c r="M601" s="39" t="s">
        <v>1875</v>
      </c>
      <c r="O601" s="39" t="s">
        <v>52</v>
      </c>
      <c r="P601" s="39" t="s">
        <v>65</v>
      </c>
      <c r="Q601" s="40">
        <v>100</v>
      </c>
      <c r="R601" s="40">
        <v>110.26689410741884</v>
      </c>
    </row>
    <row r="602" spans="1:18" s="39" customFormat="1" ht="31.25" customHeight="1" x14ac:dyDescent="0.2">
      <c r="A602" s="39" t="s">
        <v>1876</v>
      </c>
      <c r="B602" s="39" t="s">
        <v>88</v>
      </c>
      <c r="C602" s="39" t="s">
        <v>171</v>
      </c>
      <c r="D602" s="39" t="s">
        <v>137</v>
      </c>
      <c r="E602" s="39" t="s">
        <v>133</v>
      </c>
      <c r="G602" s="39" t="s">
        <v>125</v>
      </c>
      <c r="H602" s="39" t="s">
        <v>158</v>
      </c>
      <c r="L602" s="39" t="s">
        <v>1877</v>
      </c>
      <c r="M602" s="39" t="s">
        <v>1878</v>
      </c>
      <c r="O602" s="39" t="s">
        <v>52</v>
      </c>
      <c r="Q602" s="40"/>
      <c r="R602" s="40" t="s">
        <v>1604</v>
      </c>
    </row>
    <row r="603" spans="1:18" s="39" customFormat="1" ht="31.25" customHeight="1" x14ac:dyDescent="0.2">
      <c r="A603" s="39" t="s">
        <v>1879</v>
      </c>
      <c r="B603" s="39" t="s">
        <v>88</v>
      </c>
      <c r="C603" s="39" t="s">
        <v>171</v>
      </c>
      <c r="D603" s="39" t="s">
        <v>121</v>
      </c>
      <c r="E603" s="39" t="s">
        <v>251</v>
      </c>
      <c r="G603" s="39" t="s">
        <v>162</v>
      </c>
      <c r="H603" s="39" t="s">
        <v>158</v>
      </c>
      <c r="L603" s="39" t="s">
        <v>1880</v>
      </c>
      <c r="M603" s="39" t="s">
        <v>1881</v>
      </c>
      <c r="O603" s="39" t="s">
        <v>55</v>
      </c>
      <c r="Q603" s="40"/>
      <c r="R603" s="40" t="s">
        <v>1604</v>
      </c>
    </row>
    <row r="604" spans="1:18" s="39" customFormat="1" ht="31.25" customHeight="1" x14ac:dyDescent="0.2">
      <c r="A604" s="39" t="s">
        <v>1882</v>
      </c>
      <c r="B604" s="39" t="s">
        <v>88</v>
      </c>
      <c r="C604" s="39" t="s">
        <v>120</v>
      </c>
      <c r="D604" s="39" t="s">
        <v>121</v>
      </c>
      <c r="E604" s="39" t="s">
        <v>151</v>
      </c>
      <c r="G604" s="39" t="s">
        <v>125</v>
      </c>
      <c r="H604" s="39" t="s">
        <v>158</v>
      </c>
      <c r="L604" s="39" t="s">
        <v>1883</v>
      </c>
      <c r="M604" s="39" t="s">
        <v>1884</v>
      </c>
      <c r="N604" s="39" t="s">
        <v>1885</v>
      </c>
      <c r="O604" s="39" t="s">
        <v>55</v>
      </c>
      <c r="Q604" s="40"/>
      <c r="R604" s="40" t="s">
        <v>1604</v>
      </c>
    </row>
    <row r="605" spans="1:18" s="39" customFormat="1" ht="31.25" customHeight="1" x14ac:dyDescent="0.2">
      <c r="A605" s="39" t="s">
        <v>1886</v>
      </c>
      <c r="B605" s="39" t="s">
        <v>88</v>
      </c>
      <c r="C605" s="39" t="s">
        <v>120</v>
      </c>
      <c r="D605" s="39" t="s">
        <v>160</v>
      </c>
      <c r="E605" s="39" t="s">
        <v>151</v>
      </c>
      <c r="F605" s="39" t="s">
        <v>1887</v>
      </c>
      <c r="G605" s="39" t="s">
        <v>125</v>
      </c>
      <c r="H605" s="39" t="s">
        <v>158</v>
      </c>
      <c r="L605" s="39" t="s">
        <v>1888</v>
      </c>
      <c r="M605" s="39" t="s">
        <v>1889</v>
      </c>
      <c r="N605" s="39" t="s">
        <v>1890</v>
      </c>
      <c r="O605" s="39" t="s">
        <v>52</v>
      </c>
      <c r="P605" s="39" t="s">
        <v>65</v>
      </c>
      <c r="Q605" s="40">
        <v>316</v>
      </c>
      <c r="R605" s="40">
        <v>348.4433853794435</v>
      </c>
    </row>
    <row r="606" spans="1:18" s="39" customFormat="1" ht="31.25" customHeight="1" x14ac:dyDescent="0.2">
      <c r="A606" s="39" t="s">
        <v>1891</v>
      </c>
      <c r="B606" s="39" t="s">
        <v>88</v>
      </c>
      <c r="C606" s="39" t="s">
        <v>226</v>
      </c>
      <c r="D606" s="39" t="s">
        <v>137</v>
      </c>
      <c r="E606" s="39" t="s">
        <v>133</v>
      </c>
      <c r="F606" s="39" t="s">
        <v>1892</v>
      </c>
      <c r="G606" s="39" t="s">
        <v>134</v>
      </c>
      <c r="H606" s="39" t="s">
        <v>158</v>
      </c>
      <c r="L606" s="39" t="s">
        <v>1893</v>
      </c>
      <c r="M606" s="39" t="s">
        <v>1894</v>
      </c>
      <c r="O606" s="39" t="s">
        <v>52</v>
      </c>
      <c r="P606" s="39" t="s">
        <v>65</v>
      </c>
      <c r="Q606" s="40">
        <v>10.7</v>
      </c>
      <c r="R606" s="40">
        <v>11.798557669493814</v>
      </c>
    </row>
    <row r="607" spans="1:18" s="39" customFormat="1" ht="31.25" customHeight="1" x14ac:dyDescent="0.2">
      <c r="A607" s="39" t="s">
        <v>1895</v>
      </c>
      <c r="B607" s="39" t="s">
        <v>88</v>
      </c>
      <c r="C607" s="39" t="s">
        <v>120</v>
      </c>
      <c r="D607" s="39" t="s">
        <v>121</v>
      </c>
      <c r="E607" s="39" t="s">
        <v>172</v>
      </c>
      <c r="F607" s="39" t="s">
        <v>1896</v>
      </c>
      <c r="G607" s="39" t="s">
        <v>134</v>
      </c>
      <c r="H607" s="39" t="s">
        <v>158</v>
      </c>
      <c r="L607" s="39" t="s">
        <v>1897</v>
      </c>
      <c r="M607" s="39" t="s">
        <v>1898</v>
      </c>
      <c r="O607" s="39" t="s">
        <v>52</v>
      </c>
      <c r="P607" s="39" t="s">
        <v>65</v>
      </c>
      <c r="Q607" s="40">
        <v>4.3</v>
      </c>
      <c r="R607" s="40">
        <v>4.7414764466190098</v>
      </c>
    </row>
    <row r="608" spans="1:18" s="39" customFormat="1" ht="31.25" customHeight="1" x14ac:dyDescent="0.2">
      <c r="A608" s="39" t="s">
        <v>1899</v>
      </c>
      <c r="B608" s="39" t="s">
        <v>88</v>
      </c>
      <c r="C608" s="39" t="s">
        <v>120</v>
      </c>
      <c r="D608" s="39" t="s">
        <v>121</v>
      </c>
      <c r="E608" s="39" t="s">
        <v>151</v>
      </c>
      <c r="F608" s="39" t="s">
        <v>1900</v>
      </c>
      <c r="G608" s="39" t="s">
        <v>125</v>
      </c>
      <c r="H608" s="39" t="s">
        <v>162</v>
      </c>
      <c r="L608" s="39" t="s">
        <v>1901</v>
      </c>
      <c r="M608" s="39" t="s">
        <v>1902</v>
      </c>
      <c r="O608" s="39" t="s">
        <v>52</v>
      </c>
      <c r="P608" s="39" t="s">
        <v>601</v>
      </c>
      <c r="Q608" s="39">
        <v>7</v>
      </c>
      <c r="R608" s="40">
        <v>7</v>
      </c>
    </row>
    <row r="609" spans="1:18" s="39" customFormat="1" ht="31.25" customHeight="1" x14ac:dyDescent="0.2">
      <c r="A609" s="39" t="s">
        <v>1903</v>
      </c>
      <c r="B609" s="39" t="s">
        <v>88</v>
      </c>
      <c r="C609" s="39" t="s">
        <v>120</v>
      </c>
      <c r="D609" s="39" t="s">
        <v>121</v>
      </c>
      <c r="E609" s="39" t="s">
        <v>251</v>
      </c>
      <c r="F609" s="39" t="s">
        <v>1904</v>
      </c>
      <c r="G609" s="39" t="s">
        <v>125</v>
      </c>
      <c r="H609" s="39" t="s">
        <v>162</v>
      </c>
      <c r="L609" s="39" t="s">
        <v>1905</v>
      </c>
      <c r="M609" s="39" t="s">
        <v>1906</v>
      </c>
      <c r="N609" s="39" t="s">
        <v>1907</v>
      </c>
      <c r="O609" s="39" t="s">
        <v>55</v>
      </c>
      <c r="P609" s="39" t="s">
        <v>601</v>
      </c>
      <c r="Q609" s="40">
        <v>881</v>
      </c>
      <c r="R609" s="40">
        <v>881</v>
      </c>
    </row>
    <row r="610" spans="1:18" s="39" customFormat="1" ht="31.25" customHeight="1" x14ac:dyDescent="0.2">
      <c r="A610" s="39" t="s">
        <v>1908</v>
      </c>
      <c r="B610" s="39" t="s">
        <v>88</v>
      </c>
      <c r="C610" s="39" t="s">
        <v>120</v>
      </c>
      <c r="D610" s="39" t="s">
        <v>121</v>
      </c>
      <c r="E610" s="39" t="s">
        <v>251</v>
      </c>
      <c r="F610" s="39" t="s">
        <v>1909</v>
      </c>
      <c r="G610" s="39" t="s">
        <v>125</v>
      </c>
      <c r="H610" s="39" t="s">
        <v>162</v>
      </c>
      <c r="L610" s="39" t="s">
        <v>1910</v>
      </c>
      <c r="M610" s="39" t="s">
        <v>1911</v>
      </c>
      <c r="O610" s="39" t="s">
        <v>55</v>
      </c>
      <c r="P610" s="39" t="s">
        <v>601</v>
      </c>
      <c r="Q610" s="40">
        <v>303</v>
      </c>
      <c r="R610" s="40">
        <v>303</v>
      </c>
    </row>
    <row r="611" spans="1:18" s="39" customFormat="1" ht="31.25" customHeight="1" x14ac:dyDescent="0.2">
      <c r="A611" s="39" t="s">
        <v>1912</v>
      </c>
      <c r="B611" s="39" t="s">
        <v>88</v>
      </c>
      <c r="C611" s="39" t="s">
        <v>120</v>
      </c>
      <c r="D611" s="39" t="s">
        <v>121</v>
      </c>
      <c r="E611" s="39" t="s">
        <v>122</v>
      </c>
      <c r="F611" s="39" t="s">
        <v>1913</v>
      </c>
      <c r="G611" s="39" t="s">
        <v>125</v>
      </c>
      <c r="L611" s="39" t="s">
        <v>1914</v>
      </c>
      <c r="O611" s="39" t="s">
        <v>54</v>
      </c>
      <c r="P611" s="39" t="s">
        <v>601</v>
      </c>
      <c r="Q611" s="40">
        <v>1110</v>
      </c>
      <c r="R611" s="40">
        <v>1110</v>
      </c>
    </row>
    <row r="612" spans="1:18" s="39" customFormat="1" ht="31.25" customHeight="1" x14ac:dyDescent="0.2">
      <c r="A612" s="39" t="s">
        <v>1915</v>
      </c>
      <c r="B612" s="39" t="s">
        <v>88</v>
      </c>
      <c r="C612" s="39" t="s">
        <v>120</v>
      </c>
      <c r="D612" s="39" t="s">
        <v>121</v>
      </c>
      <c r="E612" s="39" t="s">
        <v>1916</v>
      </c>
      <c r="F612" s="39" t="s">
        <v>1917</v>
      </c>
      <c r="G612" s="39" t="s">
        <v>125</v>
      </c>
      <c r="L612" s="39" t="s">
        <v>1918</v>
      </c>
      <c r="M612" s="39" t="s">
        <v>1919</v>
      </c>
      <c r="O612" s="39" t="s">
        <v>52</v>
      </c>
      <c r="P612" s="39" t="s">
        <v>601</v>
      </c>
      <c r="Q612" s="40">
        <v>330.3</v>
      </c>
      <c r="R612" s="40">
        <v>330.3</v>
      </c>
    </row>
    <row r="613" spans="1:18" s="39" customFormat="1" ht="31.25" customHeight="1" x14ac:dyDescent="0.2">
      <c r="A613" s="39" t="s">
        <v>1920</v>
      </c>
      <c r="B613" s="39" t="s">
        <v>88</v>
      </c>
      <c r="C613" s="39" t="s">
        <v>132</v>
      </c>
      <c r="D613" s="39" t="s">
        <v>121</v>
      </c>
      <c r="E613" s="39" t="s">
        <v>151</v>
      </c>
      <c r="F613" s="39" t="s">
        <v>1921</v>
      </c>
      <c r="G613" s="39" t="s">
        <v>125</v>
      </c>
      <c r="L613" s="39" t="s">
        <v>1922</v>
      </c>
      <c r="M613" s="39" t="s">
        <v>1923</v>
      </c>
      <c r="O613" s="39" t="s">
        <v>52</v>
      </c>
      <c r="P613" s="39" t="s">
        <v>601</v>
      </c>
      <c r="Q613" s="40">
        <v>271</v>
      </c>
      <c r="R613" s="40">
        <v>271</v>
      </c>
    </row>
    <row r="614" spans="1:18" s="39" customFormat="1" ht="31.25" customHeight="1" x14ac:dyDescent="0.2">
      <c r="A614" s="50" t="s">
        <v>1924</v>
      </c>
      <c r="B614" s="50" t="s">
        <v>88</v>
      </c>
      <c r="C614" s="50" t="s">
        <v>171</v>
      </c>
      <c r="D614" s="50" t="s">
        <v>121</v>
      </c>
      <c r="E614" s="50" t="s">
        <v>251</v>
      </c>
      <c r="F614" s="50" t="s">
        <v>1925</v>
      </c>
      <c r="G614" s="50" t="s">
        <v>162</v>
      </c>
      <c r="H614" s="50" t="s">
        <v>125</v>
      </c>
      <c r="I614" s="50"/>
      <c r="J614" s="50"/>
      <c r="K614" s="50"/>
      <c r="L614" s="50" t="s">
        <v>1926</v>
      </c>
      <c r="M614" s="145" t="s">
        <v>1927</v>
      </c>
      <c r="N614" s="50"/>
      <c r="O614" s="50" t="s">
        <v>52</v>
      </c>
      <c r="P614" s="50" t="s">
        <v>65</v>
      </c>
      <c r="Q614" s="97">
        <v>0.75693100000000002</v>
      </c>
      <c r="R614" s="40">
        <v>0.83464430423622649</v>
      </c>
    </row>
    <row r="615" spans="1:18" s="39" customFormat="1" ht="31.25" customHeight="1" x14ac:dyDescent="0.2">
      <c r="A615" s="39" t="s">
        <v>1928</v>
      </c>
      <c r="B615" s="39" t="s">
        <v>88</v>
      </c>
      <c r="C615" s="39" t="s">
        <v>171</v>
      </c>
      <c r="D615" s="39" t="s">
        <v>137</v>
      </c>
      <c r="E615" s="39" t="s">
        <v>151</v>
      </c>
      <c r="G615" s="39" t="s">
        <v>125</v>
      </c>
      <c r="H615" s="39" t="s">
        <v>158</v>
      </c>
      <c r="I615" s="39" t="s">
        <v>158</v>
      </c>
      <c r="L615" s="39" t="s">
        <v>1929</v>
      </c>
      <c r="M615" s="76" t="s">
        <v>1930</v>
      </c>
      <c r="O615" s="39" t="s">
        <v>52</v>
      </c>
      <c r="Q615" s="40"/>
      <c r="R615" s="40" t="s">
        <v>1604</v>
      </c>
    </row>
    <row r="616" spans="1:18" s="39" customFormat="1" ht="31.25" customHeight="1" x14ac:dyDescent="0.2">
      <c r="A616" s="39" t="s">
        <v>1931</v>
      </c>
      <c r="B616" s="39" t="s">
        <v>88</v>
      </c>
      <c r="C616" s="39" t="s">
        <v>132</v>
      </c>
      <c r="D616" s="39" t="s">
        <v>137</v>
      </c>
      <c r="E616" s="39" t="s">
        <v>151</v>
      </c>
      <c r="G616" s="39" t="s">
        <v>125</v>
      </c>
      <c r="H616" s="39" t="s">
        <v>158</v>
      </c>
      <c r="I616" s="39" t="s">
        <v>158</v>
      </c>
      <c r="L616" s="39" t="s">
        <v>1932</v>
      </c>
      <c r="M616" s="76" t="s">
        <v>1933</v>
      </c>
      <c r="O616" s="39" t="s">
        <v>52</v>
      </c>
      <c r="P616" s="39" t="s">
        <v>65</v>
      </c>
      <c r="Q616" s="40"/>
      <c r="R616" s="40">
        <v>0</v>
      </c>
    </row>
    <row r="617" spans="1:18" s="39" customFormat="1" ht="31.25" customHeight="1" x14ac:dyDescent="0.2">
      <c r="A617" s="39" t="s">
        <v>1934</v>
      </c>
      <c r="B617" s="39" t="s">
        <v>88</v>
      </c>
      <c r="C617" s="39" t="s">
        <v>132</v>
      </c>
      <c r="D617" s="39" t="s">
        <v>121</v>
      </c>
      <c r="E617" s="39" t="s">
        <v>151</v>
      </c>
      <c r="F617" s="39" t="s">
        <v>1935</v>
      </c>
      <c r="G617" s="39" t="s">
        <v>125</v>
      </c>
      <c r="L617" s="39" t="s">
        <v>1936</v>
      </c>
      <c r="M617" s="76" t="s">
        <v>1937</v>
      </c>
      <c r="O617" s="39" t="s">
        <v>52</v>
      </c>
      <c r="P617" s="39" t="s">
        <v>65</v>
      </c>
      <c r="Q617" s="40">
        <v>18.7</v>
      </c>
      <c r="R617" s="40">
        <v>20.619909198087321</v>
      </c>
    </row>
    <row r="618" spans="1:18" s="39" customFormat="1" ht="31.25" customHeight="1" x14ac:dyDescent="0.2">
      <c r="A618" s="39" t="s">
        <v>1938</v>
      </c>
      <c r="B618" s="39" t="s">
        <v>88</v>
      </c>
      <c r="C618" s="39" t="s">
        <v>226</v>
      </c>
      <c r="D618" s="39" t="s">
        <v>121</v>
      </c>
      <c r="E618" s="39" t="s">
        <v>151</v>
      </c>
      <c r="G618" s="39" t="s">
        <v>125</v>
      </c>
      <c r="H618" s="39" t="s">
        <v>158</v>
      </c>
      <c r="I618" s="39" t="s">
        <v>158</v>
      </c>
      <c r="J618" s="39" t="s">
        <v>5560</v>
      </c>
      <c r="L618" s="39" t="s">
        <v>1939</v>
      </c>
      <c r="M618" s="76" t="s">
        <v>1940</v>
      </c>
      <c r="O618" s="39" t="s">
        <v>52</v>
      </c>
      <c r="Q618" s="40"/>
      <c r="R618" s="40" t="s">
        <v>1604</v>
      </c>
    </row>
    <row r="619" spans="1:18" s="39" customFormat="1" ht="31.25" customHeight="1" x14ac:dyDescent="0.2">
      <c r="A619" s="39" t="s">
        <v>1941</v>
      </c>
      <c r="B619" s="39" t="s">
        <v>88</v>
      </c>
      <c r="C619" s="39" t="s">
        <v>226</v>
      </c>
      <c r="D619" s="39" t="s">
        <v>121</v>
      </c>
      <c r="E619" s="39" t="s">
        <v>133</v>
      </c>
      <c r="F619" s="39" t="s">
        <v>1942</v>
      </c>
      <c r="G619" s="39" t="s">
        <v>134</v>
      </c>
      <c r="H619" s="39" t="s">
        <v>125</v>
      </c>
      <c r="I619" s="39" t="s">
        <v>158</v>
      </c>
      <c r="J619" s="39" t="s">
        <v>295</v>
      </c>
      <c r="K619" s="39" t="s">
        <v>5557</v>
      </c>
      <c r="L619" s="39" t="s">
        <v>1943</v>
      </c>
      <c r="M619" s="76" t="s">
        <v>1944</v>
      </c>
      <c r="N619" s="76"/>
      <c r="O619" s="39" t="s">
        <v>52</v>
      </c>
      <c r="P619" s="39" t="s">
        <v>65</v>
      </c>
      <c r="Q619" s="40">
        <v>19.600000000000001</v>
      </c>
      <c r="R619" s="40">
        <v>21.612311245054091</v>
      </c>
    </row>
    <row r="620" spans="1:18" s="39" customFormat="1" ht="31.25" customHeight="1" x14ac:dyDescent="0.2">
      <c r="A620" s="39" t="s">
        <v>1945</v>
      </c>
      <c r="B620" s="39" t="s">
        <v>88</v>
      </c>
      <c r="C620" s="39" t="s">
        <v>171</v>
      </c>
      <c r="D620" s="39" t="s">
        <v>137</v>
      </c>
      <c r="E620" s="39" t="s">
        <v>133</v>
      </c>
      <c r="G620" s="39" t="s">
        <v>125</v>
      </c>
      <c r="H620" s="39" t="s">
        <v>158</v>
      </c>
      <c r="I620" s="39" t="s">
        <v>158</v>
      </c>
      <c r="J620" s="39" t="s">
        <v>157</v>
      </c>
      <c r="K620" s="39" t="s">
        <v>5558</v>
      </c>
      <c r="L620" s="39" t="s">
        <v>1946</v>
      </c>
      <c r="M620" s="76" t="s">
        <v>1947</v>
      </c>
      <c r="O620" s="39" t="s">
        <v>52</v>
      </c>
      <c r="P620" s="94"/>
      <c r="Q620" s="40"/>
      <c r="R620" s="40" t="s">
        <v>1604</v>
      </c>
    </row>
    <row r="621" spans="1:18" s="39" customFormat="1" ht="31.25" customHeight="1" x14ac:dyDescent="0.2">
      <c r="A621" s="39" t="s">
        <v>1948</v>
      </c>
      <c r="B621" s="39" t="s">
        <v>88</v>
      </c>
      <c r="C621" s="39" t="s">
        <v>132</v>
      </c>
      <c r="D621" s="39" t="s">
        <v>121</v>
      </c>
      <c r="E621" s="39" t="s">
        <v>151</v>
      </c>
      <c r="F621" s="39" t="s">
        <v>1949</v>
      </c>
      <c r="G621" s="39" t="s">
        <v>125</v>
      </c>
      <c r="J621" s="39" t="s">
        <v>124</v>
      </c>
      <c r="K621" s="39" t="s">
        <v>5557</v>
      </c>
      <c r="L621" s="39" t="s">
        <v>1950</v>
      </c>
      <c r="M621" s="76" t="s">
        <v>1951</v>
      </c>
      <c r="O621" s="39" t="s">
        <v>52</v>
      </c>
      <c r="P621" s="94" t="s">
        <v>65</v>
      </c>
      <c r="Q621" s="40">
        <v>214</v>
      </c>
      <c r="R621" s="40">
        <v>235.97115338987629</v>
      </c>
    </row>
    <row r="622" spans="1:18" s="39" customFormat="1" ht="31.25" customHeight="1" x14ac:dyDescent="0.2">
      <c r="A622" s="39" t="s">
        <v>1952</v>
      </c>
      <c r="B622" s="39" t="s">
        <v>88</v>
      </c>
      <c r="C622" s="39" t="s">
        <v>171</v>
      </c>
      <c r="D622" s="39" t="s">
        <v>121</v>
      </c>
      <c r="E622" s="39" t="s">
        <v>251</v>
      </c>
      <c r="G622" s="39" t="s">
        <v>125</v>
      </c>
      <c r="H622" s="39" t="s">
        <v>162</v>
      </c>
      <c r="L622" s="139" t="s">
        <v>1953</v>
      </c>
      <c r="M622" s="76" t="s">
        <v>1954</v>
      </c>
      <c r="O622" s="39" t="s">
        <v>52</v>
      </c>
      <c r="P622" s="94"/>
      <c r="Q622" s="40"/>
      <c r="R622" s="40" t="s">
        <v>1604</v>
      </c>
    </row>
    <row r="623" spans="1:18" s="39" customFormat="1" ht="31.25" customHeight="1" x14ac:dyDescent="0.2">
      <c r="A623" s="39" t="s">
        <v>1955</v>
      </c>
      <c r="B623" s="39" t="s">
        <v>88</v>
      </c>
      <c r="C623" s="39" t="s">
        <v>171</v>
      </c>
      <c r="D623" s="39" t="s">
        <v>121</v>
      </c>
      <c r="E623" s="39" t="s">
        <v>251</v>
      </c>
      <c r="G623" s="39" t="s">
        <v>125</v>
      </c>
      <c r="H623" s="39" t="s">
        <v>162</v>
      </c>
      <c r="L623" s="103" t="s">
        <v>1956</v>
      </c>
      <c r="M623" s="76" t="s">
        <v>1954</v>
      </c>
      <c r="O623" s="39" t="s">
        <v>52</v>
      </c>
      <c r="Q623" s="40"/>
      <c r="R623" s="40" t="s">
        <v>1604</v>
      </c>
    </row>
    <row r="624" spans="1:18" s="39" customFormat="1" ht="31.25" customHeight="1" x14ac:dyDescent="0.2">
      <c r="A624" s="39" t="s">
        <v>1957</v>
      </c>
      <c r="B624" s="39" t="s">
        <v>88</v>
      </c>
      <c r="C624" s="39" t="s">
        <v>188</v>
      </c>
      <c r="D624" s="39" t="s">
        <v>121</v>
      </c>
      <c r="E624" s="39" t="s">
        <v>251</v>
      </c>
      <c r="F624" s="39">
        <f>900+1190+310+105+2000+1502+119</f>
        <v>6126</v>
      </c>
      <c r="G624" s="39" t="s">
        <v>125</v>
      </c>
      <c r="H624" s="39" t="s">
        <v>162</v>
      </c>
      <c r="L624" s="103" t="s">
        <v>1958</v>
      </c>
      <c r="M624" s="76" t="s">
        <v>1954</v>
      </c>
      <c r="O624" s="39" t="s">
        <v>52</v>
      </c>
      <c r="P624" s="94" t="s">
        <v>65</v>
      </c>
      <c r="Q624" s="40">
        <v>6126</v>
      </c>
      <c r="R624" s="40">
        <v>6754.9499330204771</v>
      </c>
    </row>
    <row r="625" spans="1:18" s="39" customFormat="1" ht="31.25" customHeight="1" x14ac:dyDescent="0.2">
      <c r="A625" s="39" t="s">
        <v>1959</v>
      </c>
      <c r="B625" s="39" t="s">
        <v>88</v>
      </c>
      <c r="C625" s="39" t="s">
        <v>132</v>
      </c>
      <c r="D625" s="39" t="s">
        <v>121</v>
      </c>
      <c r="E625" s="39" t="s">
        <v>1916</v>
      </c>
      <c r="F625" s="39">
        <f>856+1716+278+450</f>
        <v>3300</v>
      </c>
      <c r="G625" s="39" t="s">
        <v>125</v>
      </c>
      <c r="H625" s="39" t="s">
        <v>162</v>
      </c>
      <c r="L625" s="39" t="s">
        <v>1960</v>
      </c>
      <c r="M625" s="76" t="s">
        <v>1961</v>
      </c>
      <c r="O625" s="39" t="s">
        <v>52</v>
      </c>
      <c r="P625" s="94" t="s">
        <v>65</v>
      </c>
      <c r="Q625" s="40">
        <v>3300</v>
      </c>
      <c r="R625" s="40">
        <v>3638.8075055448212</v>
      </c>
    </row>
    <row r="626" spans="1:18" s="39" customFormat="1" ht="31.25" customHeight="1" x14ac:dyDescent="0.2">
      <c r="A626" s="39" t="s">
        <v>1962</v>
      </c>
      <c r="B626" s="39" t="s">
        <v>88</v>
      </c>
      <c r="C626" s="39" t="s">
        <v>171</v>
      </c>
      <c r="D626" s="39" t="s">
        <v>121</v>
      </c>
      <c r="E626" s="39" t="s">
        <v>172</v>
      </c>
      <c r="G626" s="39" t="s">
        <v>134</v>
      </c>
      <c r="L626" s="48" t="s">
        <v>1963</v>
      </c>
      <c r="M626" s="76" t="s">
        <v>1964</v>
      </c>
      <c r="O626" s="39" t="s">
        <v>52</v>
      </c>
      <c r="Q626" s="40"/>
      <c r="R626" s="40" t="s">
        <v>1604</v>
      </c>
    </row>
    <row r="627" spans="1:18" s="39" customFormat="1" ht="31.25" customHeight="1" x14ac:dyDescent="0.2">
      <c r="A627" s="39" t="s">
        <v>1965</v>
      </c>
      <c r="B627" s="39" t="s">
        <v>88</v>
      </c>
      <c r="C627" s="39" t="s">
        <v>171</v>
      </c>
      <c r="D627" s="39" t="s">
        <v>121</v>
      </c>
      <c r="E627" s="39" t="s">
        <v>172</v>
      </c>
      <c r="G627" s="39" t="s">
        <v>134</v>
      </c>
      <c r="H627" s="39" t="s">
        <v>1440</v>
      </c>
      <c r="L627" s="48" t="s">
        <v>1966</v>
      </c>
      <c r="M627" s="76" t="s">
        <v>1964</v>
      </c>
      <c r="O627" s="39" t="s">
        <v>52</v>
      </c>
      <c r="Q627" s="40"/>
      <c r="R627" s="40" t="s">
        <v>1604</v>
      </c>
    </row>
    <row r="628" spans="1:18" s="39" customFormat="1" ht="31.25" customHeight="1" x14ac:dyDescent="0.2">
      <c r="A628" s="39" t="s">
        <v>1967</v>
      </c>
      <c r="B628" s="39" t="s">
        <v>88</v>
      </c>
      <c r="C628" s="39" t="s">
        <v>171</v>
      </c>
      <c r="D628" s="39" t="s">
        <v>121</v>
      </c>
      <c r="E628" s="39" t="s">
        <v>172</v>
      </c>
      <c r="G628" s="39" t="s">
        <v>134</v>
      </c>
      <c r="L628" s="48" t="s">
        <v>1968</v>
      </c>
      <c r="M628" s="76" t="s">
        <v>1964</v>
      </c>
      <c r="O628" s="39" t="s">
        <v>52</v>
      </c>
      <c r="Q628" s="40"/>
      <c r="R628" s="40" t="s">
        <v>1604</v>
      </c>
    </row>
    <row r="629" spans="1:18" s="39" customFormat="1" ht="31.25" customHeight="1" x14ac:dyDescent="0.2">
      <c r="A629" s="39" t="s">
        <v>1969</v>
      </c>
      <c r="B629" s="39" t="s">
        <v>88</v>
      </c>
      <c r="C629" s="39" t="s">
        <v>171</v>
      </c>
      <c r="D629" s="39" t="s">
        <v>121</v>
      </c>
      <c r="E629" s="39" t="s">
        <v>172</v>
      </c>
      <c r="G629" s="39" t="s">
        <v>134</v>
      </c>
      <c r="L629" s="48" t="s">
        <v>1970</v>
      </c>
      <c r="M629" s="76" t="s">
        <v>1964</v>
      </c>
      <c r="O629" s="39" t="s">
        <v>52</v>
      </c>
      <c r="Q629" s="40"/>
      <c r="R629" s="40" t="s">
        <v>1604</v>
      </c>
    </row>
    <row r="630" spans="1:18" s="39" customFormat="1" ht="31.25" customHeight="1" x14ac:dyDescent="0.2">
      <c r="A630" s="39" t="s">
        <v>1971</v>
      </c>
      <c r="B630" s="39" t="s">
        <v>88</v>
      </c>
      <c r="C630" s="39" t="s">
        <v>188</v>
      </c>
      <c r="D630" s="39" t="s">
        <v>121</v>
      </c>
      <c r="E630" s="39" t="s">
        <v>172</v>
      </c>
      <c r="F630" s="39">
        <f>44+11+11+14+7+3+4+30+307+38+563</f>
        <v>1032</v>
      </c>
      <c r="G630" s="39" t="s">
        <v>134</v>
      </c>
      <c r="L630" s="48" t="s">
        <v>1972</v>
      </c>
      <c r="M630" s="76" t="s">
        <v>1973</v>
      </c>
      <c r="O630" s="39" t="s">
        <v>52</v>
      </c>
      <c r="P630" s="94" t="s">
        <v>65</v>
      </c>
      <c r="Q630" s="39">
        <f>44+11+11+14+7+3+4+30+307+38+563</f>
        <v>1032</v>
      </c>
      <c r="R630" s="40">
        <v>1137.9543471885622</v>
      </c>
    </row>
    <row r="631" spans="1:18" s="39" customFormat="1" ht="31.25" customHeight="1" x14ac:dyDescent="0.2">
      <c r="A631" s="39" t="s">
        <v>1974</v>
      </c>
      <c r="B631" s="39" t="s">
        <v>88</v>
      </c>
      <c r="C631" s="39" t="s">
        <v>171</v>
      </c>
      <c r="D631" s="39" t="s">
        <v>121</v>
      </c>
      <c r="E631" s="39" t="s">
        <v>172</v>
      </c>
      <c r="G631" s="39" t="s">
        <v>134</v>
      </c>
      <c r="H631" s="39" t="s">
        <v>1440</v>
      </c>
      <c r="L631" s="48" t="s">
        <v>1975</v>
      </c>
      <c r="M631" s="76" t="s">
        <v>1976</v>
      </c>
      <c r="O631" s="39" t="s">
        <v>52</v>
      </c>
      <c r="Q631" s="40"/>
      <c r="R631" s="40" t="s">
        <v>1604</v>
      </c>
    </row>
    <row r="632" spans="1:18" s="39" customFormat="1" ht="31.25" customHeight="1" x14ac:dyDescent="0.2">
      <c r="A632" s="39" t="s">
        <v>1977</v>
      </c>
      <c r="B632" s="39" t="s">
        <v>88</v>
      </c>
      <c r="C632" s="39" t="s">
        <v>171</v>
      </c>
      <c r="D632" s="39" t="s">
        <v>121</v>
      </c>
      <c r="E632" s="39" t="s">
        <v>172</v>
      </c>
      <c r="G632" s="39" t="s">
        <v>134</v>
      </c>
      <c r="L632" s="48" t="s">
        <v>1978</v>
      </c>
      <c r="M632" s="76" t="s">
        <v>1976</v>
      </c>
      <c r="O632" s="39" t="s">
        <v>52</v>
      </c>
      <c r="Q632" s="40"/>
      <c r="R632" s="40" t="s">
        <v>1604</v>
      </c>
    </row>
    <row r="633" spans="1:18" s="39" customFormat="1" ht="31.25" customHeight="1" x14ac:dyDescent="0.2">
      <c r="A633" s="39" t="s">
        <v>1979</v>
      </c>
      <c r="B633" s="39" t="s">
        <v>88</v>
      </c>
      <c r="C633" s="39" t="s">
        <v>171</v>
      </c>
      <c r="D633" s="39" t="s">
        <v>121</v>
      </c>
      <c r="E633" s="39" t="s">
        <v>172</v>
      </c>
      <c r="G633" s="39" t="s">
        <v>134</v>
      </c>
      <c r="L633" s="48" t="s">
        <v>1978</v>
      </c>
      <c r="M633" s="76" t="s">
        <v>1976</v>
      </c>
      <c r="O633" s="39" t="s">
        <v>52</v>
      </c>
      <c r="Q633" s="40"/>
      <c r="R633" s="40" t="s">
        <v>1604</v>
      </c>
    </row>
    <row r="634" spans="1:18" s="39" customFormat="1" ht="31.25" customHeight="1" x14ac:dyDescent="0.2">
      <c r="A634" s="39" t="s">
        <v>1980</v>
      </c>
      <c r="B634" s="39" t="s">
        <v>88</v>
      </c>
      <c r="C634" s="39" t="s">
        <v>132</v>
      </c>
      <c r="D634" s="39" t="s">
        <v>137</v>
      </c>
      <c r="E634" s="39" t="s">
        <v>292</v>
      </c>
      <c r="F634" s="39">
        <f>61+77+552+131+421+170+231</f>
        <v>1643</v>
      </c>
      <c r="G634" s="39" t="s">
        <v>134</v>
      </c>
      <c r="L634" s="48" t="s">
        <v>1981</v>
      </c>
      <c r="M634" s="76" t="s">
        <v>1976</v>
      </c>
      <c r="O634" s="39" t="s">
        <v>52</v>
      </c>
      <c r="P634" s="94" t="s">
        <v>65</v>
      </c>
      <c r="Q634" s="40">
        <v>1643</v>
      </c>
      <c r="R634" s="40">
        <v>1811.6850701848914</v>
      </c>
    </row>
    <row r="635" spans="1:18" s="39" customFormat="1" ht="31.25" customHeight="1" x14ac:dyDescent="0.2">
      <c r="A635" s="39" t="s">
        <v>1982</v>
      </c>
      <c r="B635" s="39" t="s">
        <v>88</v>
      </c>
      <c r="C635" s="39" t="s">
        <v>171</v>
      </c>
      <c r="D635" s="39" t="s">
        <v>137</v>
      </c>
      <c r="E635" s="39" t="s">
        <v>172</v>
      </c>
      <c r="G635" s="39" t="s">
        <v>1440</v>
      </c>
      <c r="L635" s="48" t="s">
        <v>1983</v>
      </c>
      <c r="M635" s="76" t="s">
        <v>1984</v>
      </c>
      <c r="O635" s="39" t="s">
        <v>52</v>
      </c>
      <c r="Q635" s="40"/>
      <c r="R635" s="40" t="s">
        <v>1604</v>
      </c>
    </row>
    <row r="636" spans="1:18" s="39" customFormat="1" ht="31.25" customHeight="1" x14ac:dyDescent="0.2">
      <c r="A636" s="39" t="s">
        <v>1985</v>
      </c>
      <c r="B636" s="39" t="s">
        <v>88</v>
      </c>
      <c r="C636" s="39" t="s">
        <v>132</v>
      </c>
      <c r="D636" s="39" t="s">
        <v>137</v>
      </c>
      <c r="E636" s="39" t="s">
        <v>292</v>
      </c>
      <c r="F636" s="39">
        <f>475+100+67+225+225+350+225+55+100+269</f>
        <v>2091</v>
      </c>
      <c r="G636" s="39" t="s">
        <v>1440</v>
      </c>
      <c r="L636" s="48" t="s">
        <v>1986</v>
      </c>
      <c r="M636" s="76" t="s">
        <v>1987</v>
      </c>
      <c r="O636" s="39" t="s">
        <v>52</v>
      </c>
      <c r="P636" s="94" t="s">
        <v>65</v>
      </c>
      <c r="Q636" s="40">
        <v>2091</v>
      </c>
      <c r="R636" s="40">
        <v>2305.6807557861275</v>
      </c>
    </row>
    <row r="637" spans="1:18" s="39" customFormat="1" ht="31.25" customHeight="1" x14ac:dyDescent="0.2">
      <c r="A637" s="39" t="s">
        <v>1988</v>
      </c>
      <c r="B637" s="39" t="s">
        <v>88</v>
      </c>
      <c r="C637" s="39" t="s">
        <v>132</v>
      </c>
      <c r="D637" s="39" t="s">
        <v>121</v>
      </c>
      <c r="E637" s="39" t="s">
        <v>251</v>
      </c>
      <c r="F637" s="39">
        <f>2988+1010+408+177+12+75+120</f>
        <v>4790</v>
      </c>
      <c r="G637" s="39" t="s">
        <v>125</v>
      </c>
      <c r="H637" s="39" t="s">
        <v>162</v>
      </c>
      <c r="L637" s="48" t="s">
        <v>1989</v>
      </c>
      <c r="M637" s="76" t="s">
        <v>1990</v>
      </c>
      <c r="O637" s="39" t="s">
        <v>52</v>
      </c>
      <c r="P637" s="94" t="s">
        <v>65</v>
      </c>
      <c r="Q637" s="39">
        <v>4790</v>
      </c>
      <c r="R637" s="40">
        <v>5281.7842277453619</v>
      </c>
    </row>
    <row r="638" spans="1:18" s="39" customFormat="1" ht="31.25" customHeight="1" x14ac:dyDescent="0.2">
      <c r="A638" s="39" t="s">
        <v>1991</v>
      </c>
      <c r="B638" s="39" t="s">
        <v>88</v>
      </c>
      <c r="C638" s="39" t="s">
        <v>171</v>
      </c>
      <c r="D638" s="39" t="s">
        <v>121</v>
      </c>
      <c r="E638" s="39" t="s">
        <v>251</v>
      </c>
      <c r="G638" s="39" t="s">
        <v>125</v>
      </c>
      <c r="H638" s="39" t="s">
        <v>162</v>
      </c>
      <c r="L638" s="48" t="s">
        <v>1992</v>
      </c>
      <c r="M638" s="76" t="s">
        <v>1993</v>
      </c>
      <c r="O638" s="39" t="s">
        <v>52</v>
      </c>
      <c r="Q638" s="40"/>
      <c r="R638" s="40" t="s">
        <v>1604</v>
      </c>
    </row>
    <row r="639" spans="1:18" s="39" customFormat="1" ht="31.25" customHeight="1" x14ac:dyDescent="0.2">
      <c r="A639" s="39" t="s">
        <v>1994</v>
      </c>
      <c r="B639" s="39" t="s">
        <v>88</v>
      </c>
      <c r="C639" s="39" t="s">
        <v>171</v>
      </c>
      <c r="D639" s="39" t="s">
        <v>121</v>
      </c>
      <c r="E639" s="39" t="s">
        <v>251</v>
      </c>
      <c r="G639" s="39" t="s">
        <v>125</v>
      </c>
      <c r="H639" s="39" t="s">
        <v>162</v>
      </c>
      <c r="L639" s="48" t="s">
        <v>1995</v>
      </c>
      <c r="M639" s="76" t="s">
        <v>1993</v>
      </c>
      <c r="O639" s="39" t="s">
        <v>52</v>
      </c>
      <c r="Q639" s="40"/>
      <c r="R639" s="40" t="s">
        <v>1604</v>
      </c>
    </row>
    <row r="640" spans="1:18" s="39" customFormat="1" ht="31.25" customHeight="1" x14ac:dyDescent="0.2">
      <c r="A640" s="39" t="s">
        <v>1996</v>
      </c>
      <c r="B640" s="39" t="s">
        <v>88</v>
      </c>
      <c r="C640" s="39" t="s">
        <v>171</v>
      </c>
      <c r="D640" s="39" t="s">
        <v>121</v>
      </c>
      <c r="E640" s="39" t="s">
        <v>151</v>
      </c>
      <c r="G640" s="39" t="s">
        <v>125</v>
      </c>
      <c r="H640" s="39" t="s">
        <v>162</v>
      </c>
      <c r="L640" s="48" t="s">
        <v>1997</v>
      </c>
      <c r="M640" s="76" t="s">
        <v>1998</v>
      </c>
      <c r="O640" s="39" t="s">
        <v>52</v>
      </c>
      <c r="Q640" s="40"/>
      <c r="R640" s="40" t="s">
        <v>1604</v>
      </c>
    </row>
    <row r="641" spans="1:18" s="39" customFormat="1" ht="31.25" customHeight="1" x14ac:dyDescent="0.2">
      <c r="A641" s="39" t="s">
        <v>1999</v>
      </c>
      <c r="B641" s="39" t="s">
        <v>88</v>
      </c>
      <c r="C641" s="39" t="s">
        <v>171</v>
      </c>
      <c r="D641" s="39" t="s">
        <v>121</v>
      </c>
      <c r="E641" s="39" t="s">
        <v>151</v>
      </c>
      <c r="G641" s="39" t="s">
        <v>125</v>
      </c>
      <c r="H641" s="39" t="s">
        <v>162</v>
      </c>
      <c r="L641" s="48" t="s">
        <v>2000</v>
      </c>
      <c r="M641" s="76" t="s">
        <v>1998</v>
      </c>
      <c r="O641" s="39" t="s">
        <v>52</v>
      </c>
      <c r="Q641" s="40"/>
      <c r="R641" s="40" t="s">
        <v>1604</v>
      </c>
    </row>
    <row r="642" spans="1:18" s="39" customFormat="1" ht="31.25" customHeight="1" x14ac:dyDescent="0.2">
      <c r="A642" s="39" t="s">
        <v>2001</v>
      </c>
      <c r="B642" s="39" t="s">
        <v>88</v>
      </c>
      <c r="C642" s="39" t="s">
        <v>171</v>
      </c>
      <c r="D642" s="39" t="s">
        <v>121</v>
      </c>
      <c r="E642" s="39" t="s">
        <v>151</v>
      </c>
      <c r="G642" s="39" t="s">
        <v>125</v>
      </c>
      <c r="H642" s="39" t="s">
        <v>162</v>
      </c>
      <c r="L642" s="48" t="s">
        <v>2002</v>
      </c>
      <c r="M642" s="76" t="s">
        <v>1998</v>
      </c>
      <c r="O642" s="39" t="s">
        <v>52</v>
      </c>
      <c r="Q642" s="40"/>
      <c r="R642" s="40" t="s">
        <v>1604</v>
      </c>
    </row>
    <row r="643" spans="1:18" s="39" customFormat="1" ht="31.25" customHeight="1" x14ac:dyDescent="0.2">
      <c r="A643" s="39" t="s">
        <v>2003</v>
      </c>
      <c r="B643" s="39" t="s">
        <v>88</v>
      </c>
      <c r="C643" s="39" t="s">
        <v>132</v>
      </c>
      <c r="D643" s="39" t="s">
        <v>121</v>
      </c>
      <c r="E643" s="39" t="s">
        <v>151</v>
      </c>
      <c r="F643" s="39">
        <v>3165</v>
      </c>
      <c r="G643" s="39" t="s">
        <v>125</v>
      </c>
      <c r="H643" s="39" t="s">
        <v>162</v>
      </c>
      <c r="L643" s="48" t="s">
        <v>2004</v>
      </c>
      <c r="M643" s="76" t="s">
        <v>2005</v>
      </c>
      <c r="O643" s="39" t="s">
        <v>52</v>
      </c>
      <c r="P643" s="94" t="s">
        <v>65</v>
      </c>
      <c r="Q643" s="40">
        <v>3165</v>
      </c>
      <c r="R643" s="40">
        <v>3489.9471984998058</v>
      </c>
    </row>
    <row r="644" spans="1:18" s="39" customFormat="1" ht="31.25" customHeight="1" x14ac:dyDescent="0.2">
      <c r="A644" s="39" t="s">
        <v>2006</v>
      </c>
      <c r="B644" s="39" t="s">
        <v>88</v>
      </c>
      <c r="C644" s="39" t="s">
        <v>171</v>
      </c>
      <c r="D644" s="39" t="s">
        <v>121</v>
      </c>
      <c r="E644" s="39" t="s">
        <v>151</v>
      </c>
      <c r="G644" s="39" t="s">
        <v>125</v>
      </c>
      <c r="H644" s="39" t="s">
        <v>162</v>
      </c>
      <c r="L644" s="48" t="s">
        <v>2007</v>
      </c>
      <c r="M644" s="76" t="s">
        <v>2008</v>
      </c>
      <c r="O644" s="39" t="s">
        <v>52</v>
      </c>
      <c r="Q644" s="40"/>
      <c r="R644" s="40" t="s">
        <v>1604</v>
      </c>
    </row>
    <row r="645" spans="1:18" s="39" customFormat="1" ht="31.25" customHeight="1" x14ac:dyDescent="0.2">
      <c r="A645" s="39" t="s">
        <v>2009</v>
      </c>
      <c r="B645" s="39" t="s">
        <v>88</v>
      </c>
      <c r="C645" s="39" t="s">
        <v>171</v>
      </c>
      <c r="D645" s="39" t="s">
        <v>121</v>
      </c>
      <c r="E645" s="39" t="s">
        <v>151</v>
      </c>
      <c r="G645" s="39" t="s">
        <v>125</v>
      </c>
      <c r="H645" s="39" t="s">
        <v>162</v>
      </c>
      <c r="L645" s="48" t="s">
        <v>2010</v>
      </c>
      <c r="M645" s="76" t="s">
        <v>2008</v>
      </c>
      <c r="O645" s="39" t="s">
        <v>52</v>
      </c>
      <c r="Q645" s="40"/>
      <c r="R645" s="40" t="s">
        <v>1604</v>
      </c>
    </row>
    <row r="646" spans="1:18" s="39" customFormat="1" ht="31.25" customHeight="1" x14ac:dyDescent="0.2">
      <c r="A646" s="39" t="s">
        <v>2011</v>
      </c>
      <c r="B646" s="39" t="s">
        <v>88</v>
      </c>
      <c r="C646" s="39" t="s">
        <v>171</v>
      </c>
      <c r="D646" s="39" t="s">
        <v>121</v>
      </c>
      <c r="E646" s="39" t="s">
        <v>151</v>
      </c>
      <c r="G646" s="39" t="s">
        <v>125</v>
      </c>
      <c r="H646" s="39" t="s">
        <v>162</v>
      </c>
      <c r="L646" s="48" t="s">
        <v>2012</v>
      </c>
      <c r="M646" s="76" t="s">
        <v>2008</v>
      </c>
      <c r="O646" s="39" t="s">
        <v>52</v>
      </c>
      <c r="Q646" s="40"/>
      <c r="R646" s="40" t="s">
        <v>1604</v>
      </c>
    </row>
    <row r="647" spans="1:18" s="39" customFormat="1" ht="31.25" customHeight="1" x14ac:dyDescent="0.2">
      <c r="A647" s="39" t="s">
        <v>2013</v>
      </c>
      <c r="B647" s="39" t="s">
        <v>88</v>
      </c>
      <c r="C647" s="39" t="s">
        <v>171</v>
      </c>
      <c r="D647" s="39" t="s">
        <v>121</v>
      </c>
      <c r="E647" s="39" t="s">
        <v>151</v>
      </c>
      <c r="G647" s="39" t="s">
        <v>125</v>
      </c>
      <c r="H647" s="39" t="s">
        <v>162</v>
      </c>
      <c r="L647" s="48" t="s">
        <v>2014</v>
      </c>
      <c r="M647" s="76" t="s">
        <v>2008</v>
      </c>
      <c r="O647" s="39" t="s">
        <v>52</v>
      </c>
      <c r="Q647" s="40"/>
      <c r="R647" s="40" t="s">
        <v>1604</v>
      </c>
    </row>
    <row r="648" spans="1:18" s="39" customFormat="1" ht="31.25" customHeight="1" x14ac:dyDescent="0.2">
      <c r="A648" s="39" t="s">
        <v>2015</v>
      </c>
      <c r="B648" s="39" t="s">
        <v>88</v>
      </c>
      <c r="C648" s="39" t="s">
        <v>132</v>
      </c>
      <c r="D648" s="39" t="s">
        <v>121</v>
      </c>
      <c r="E648" s="39" t="s">
        <v>151</v>
      </c>
      <c r="F648" s="39">
        <v>1365</v>
      </c>
      <c r="G648" s="39" t="s">
        <v>125</v>
      </c>
      <c r="H648" s="39" t="s">
        <v>162</v>
      </c>
      <c r="L648" s="48" t="s">
        <v>2016</v>
      </c>
      <c r="M648" s="76" t="s">
        <v>2017</v>
      </c>
      <c r="O648" s="39" t="s">
        <v>52</v>
      </c>
      <c r="P648" s="94" t="s">
        <v>65</v>
      </c>
      <c r="Q648" s="40">
        <v>1365</v>
      </c>
      <c r="R648" s="40">
        <v>1505.1431045662671</v>
      </c>
    </row>
    <row r="649" spans="1:18" s="39" customFormat="1" ht="31.25" customHeight="1" x14ac:dyDescent="0.2">
      <c r="A649" s="39" t="s">
        <v>2018</v>
      </c>
      <c r="B649" s="39" t="s">
        <v>88</v>
      </c>
      <c r="C649" s="39" t="s">
        <v>132</v>
      </c>
      <c r="D649" s="39" t="s">
        <v>121</v>
      </c>
      <c r="E649" s="39" t="s">
        <v>151</v>
      </c>
      <c r="F649" s="39">
        <v>1555</v>
      </c>
      <c r="G649" s="39" t="s">
        <v>125</v>
      </c>
      <c r="H649" s="39" t="s">
        <v>162</v>
      </c>
      <c r="L649" s="39" t="s">
        <v>2019</v>
      </c>
      <c r="M649" s="76" t="s">
        <v>2020</v>
      </c>
      <c r="O649" s="39" t="s">
        <v>52</v>
      </c>
      <c r="P649" s="94" t="s">
        <v>65</v>
      </c>
      <c r="Q649" s="40">
        <v>1555</v>
      </c>
      <c r="R649" s="40">
        <v>1714.6502033703628</v>
      </c>
    </row>
    <row r="650" spans="1:18" s="39" customFormat="1" ht="31.25" customHeight="1" x14ac:dyDescent="0.2">
      <c r="A650" s="39" t="s">
        <v>2021</v>
      </c>
      <c r="B650" s="39" t="s">
        <v>88</v>
      </c>
      <c r="C650" s="39" t="s">
        <v>171</v>
      </c>
      <c r="D650" s="39" t="s">
        <v>121</v>
      </c>
      <c r="E650" s="39" t="s">
        <v>151</v>
      </c>
      <c r="G650" s="39" t="s">
        <v>125</v>
      </c>
      <c r="H650" s="39" t="s">
        <v>162</v>
      </c>
      <c r="L650" s="48" t="s">
        <v>2022</v>
      </c>
      <c r="M650" s="76" t="s">
        <v>2023</v>
      </c>
      <c r="O650" s="39" t="s">
        <v>52</v>
      </c>
      <c r="Q650" s="40"/>
      <c r="R650" s="40" t="s">
        <v>1604</v>
      </c>
    </row>
    <row r="651" spans="1:18" s="39" customFormat="1" ht="31.25" customHeight="1" x14ac:dyDescent="0.2">
      <c r="A651" s="39" t="s">
        <v>2024</v>
      </c>
      <c r="B651" s="39" t="s">
        <v>88</v>
      </c>
      <c r="C651" s="39" t="s">
        <v>132</v>
      </c>
      <c r="D651" s="39" t="s">
        <v>160</v>
      </c>
      <c r="E651" s="39" t="s">
        <v>151</v>
      </c>
      <c r="F651" s="39">
        <v>300</v>
      </c>
      <c r="G651" s="39" t="s">
        <v>125</v>
      </c>
      <c r="H651" s="39" t="s">
        <v>162</v>
      </c>
      <c r="L651" s="48" t="s">
        <v>2025</v>
      </c>
      <c r="M651" s="76" t="s">
        <v>2023</v>
      </c>
      <c r="O651" s="39" t="s">
        <v>52</v>
      </c>
      <c r="P651" s="94" t="s">
        <v>65</v>
      </c>
      <c r="Q651" s="40">
        <v>300</v>
      </c>
      <c r="R651" s="40">
        <v>330.80068232225648</v>
      </c>
    </row>
    <row r="652" spans="1:18" s="39" customFormat="1" ht="31.25" customHeight="1" x14ac:dyDescent="0.2">
      <c r="A652" s="39" t="s">
        <v>2026</v>
      </c>
      <c r="B652" s="39" t="s">
        <v>88</v>
      </c>
      <c r="C652" s="39" t="s">
        <v>132</v>
      </c>
      <c r="D652" s="39" t="s">
        <v>137</v>
      </c>
      <c r="E652" s="39" t="s">
        <v>133</v>
      </c>
      <c r="F652" s="39">
        <v>1071</v>
      </c>
      <c r="G652" s="39" t="s">
        <v>125</v>
      </c>
      <c r="H652" s="39" t="s">
        <v>162</v>
      </c>
      <c r="L652" s="39" t="s">
        <v>2027</v>
      </c>
      <c r="M652" s="76" t="s">
        <v>2028</v>
      </c>
      <c r="O652" s="39" t="s">
        <v>52</v>
      </c>
      <c r="P652" s="94" t="s">
        <v>65</v>
      </c>
      <c r="Q652" s="40">
        <v>1071</v>
      </c>
      <c r="R652" s="40">
        <v>1180.9584358904556</v>
      </c>
    </row>
    <row r="653" spans="1:18" s="39" customFormat="1" ht="31.25" customHeight="1" x14ac:dyDescent="0.2">
      <c r="A653" s="39" t="s">
        <v>2029</v>
      </c>
      <c r="B653" s="39" t="s">
        <v>88</v>
      </c>
      <c r="C653" s="39" t="s">
        <v>171</v>
      </c>
      <c r="D653" s="39" t="s">
        <v>137</v>
      </c>
      <c r="E653" s="39" t="s">
        <v>147</v>
      </c>
      <c r="G653" s="39" t="s">
        <v>152</v>
      </c>
      <c r="H653" s="39" t="s">
        <v>125</v>
      </c>
      <c r="I653" s="39" t="s">
        <v>162</v>
      </c>
      <c r="L653" s="48" t="s">
        <v>2030</v>
      </c>
      <c r="O653" s="39" t="s">
        <v>52</v>
      </c>
      <c r="Q653" s="40"/>
      <c r="R653" s="40" t="s">
        <v>1604</v>
      </c>
    </row>
    <row r="654" spans="1:18" s="39" customFormat="1" ht="31.25" customHeight="1" x14ac:dyDescent="0.2">
      <c r="A654" s="39" t="s">
        <v>2031</v>
      </c>
      <c r="B654" s="39" t="s">
        <v>88</v>
      </c>
      <c r="C654" s="39" t="s">
        <v>171</v>
      </c>
      <c r="D654" s="39" t="s">
        <v>137</v>
      </c>
      <c r="E654" s="39" t="s">
        <v>133</v>
      </c>
      <c r="G654" s="39" t="s">
        <v>152</v>
      </c>
      <c r="H654" s="39" t="s">
        <v>125</v>
      </c>
      <c r="I654" s="39" t="s">
        <v>162</v>
      </c>
      <c r="L654" s="48" t="s">
        <v>2032</v>
      </c>
      <c r="O654" s="39" t="s">
        <v>52</v>
      </c>
      <c r="Q654" s="40"/>
      <c r="R654" s="40" t="s">
        <v>1604</v>
      </c>
    </row>
    <row r="655" spans="1:18" s="39" customFormat="1" ht="31.25" customHeight="1" x14ac:dyDescent="0.2">
      <c r="A655" s="39" t="s">
        <v>2033</v>
      </c>
      <c r="B655" s="39" t="s">
        <v>88</v>
      </c>
      <c r="C655" s="39" t="s">
        <v>132</v>
      </c>
      <c r="D655" s="39" t="s">
        <v>137</v>
      </c>
      <c r="E655" s="39" t="s">
        <v>147</v>
      </c>
      <c r="F655" s="39">
        <f>457+457+914+457+118+95+13</f>
        <v>2511</v>
      </c>
      <c r="G655" s="39" t="s">
        <v>152</v>
      </c>
      <c r="H655" s="39" t="s">
        <v>125</v>
      </c>
      <c r="I655" s="39" t="s">
        <v>162</v>
      </c>
      <c r="L655" s="39" t="s">
        <v>2034</v>
      </c>
      <c r="O655" s="39" t="s">
        <v>52</v>
      </c>
      <c r="P655" s="94" t="s">
        <v>65</v>
      </c>
      <c r="Q655" s="39">
        <f>457+457+914+457+118+95+13</f>
        <v>2511</v>
      </c>
      <c r="R655" s="40">
        <v>2768.8017110372866</v>
      </c>
    </row>
    <row r="656" spans="1:18" s="39" customFormat="1" ht="31.25" customHeight="1" x14ac:dyDescent="0.2">
      <c r="A656" s="39" t="s">
        <v>2035</v>
      </c>
      <c r="B656" s="39" t="s">
        <v>88</v>
      </c>
      <c r="C656" s="39" t="s">
        <v>132</v>
      </c>
      <c r="D656" s="39" t="s">
        <v>137</v>
      </c>
      <c r="E656" s="39" t="s">
        <v>147</v>
      </c>
      <c r="F656" s="39">
        <v>850</v>
      </c>
      <c r="G656" s="39" t="s">
        <v>152</v>
      </c>
      <c r="H656" s="39" t="s">
        <v>125</v>
      </c>
      <c r="I656" s="39" t="s">
        <v>162</v>
      </c>
      <c r="L656" s="48" t="s">
        <v>2036</v>
      </c>
      <c r="O656" s="39" t="s">
        <v>52</v>
      </c>
      <c r="P656" s="94" t="s">
        <v>65</v>
      </c>
      <c r="Q656" s="40">
        <v>850</v>
      </c>
      <c r="R656" s="40">
        <v>937.26859991306003</v>
      </c>
    </row>
    <row r="657" spans="1:18" s="39" customFormat="1" ht="31.25" customHeight="1" x14ac:dyDescent="0.2">
      <c r="A657" s="39" t="s">
        <v>2037</v>
      </c>
      <c r="B657" s="39" t="s">
        <v>88</v>
      </c>
      <c r="C657" s="39" t="s">
        <v>132</v>
      </c>
      <c r="D657" s="39" t="s">
        <v>121</v>
      </c>
      <c r="E657" s="39" t="s">
        <v>133</v>
      </c>
      <c r="F657" s="39">
        <f>139+139+372+186</f>
        <v>836</v>
      </c>
      <c r="G657" s="39" t="s">
        <v>152</v>
      </c>
      <c r="H657" s="39" t="s">
        <v>125</v>
      </c>
      <c r="I657" s="39" t="s">
        <v>162</v>
      </c>
      <c r="L657" s="48" t="s">
        <v>2038</v>
      </c>
      <c r="O657" s="39" t="s">
        <v>52</v>
      </c>
      <c r="P657" s="94" t="s">
        <v>65</v>
      </c>
      <c r="Q657" s="40">
        <v>836</v>
      </c>
      <c r="R657" s="40">
        <v>921.83123473802141</v>
      </c>
    </row>
    <row r="658" spans="1:18" s="39" customFormat="1" ht="31.25" customHeight="1" x14ac:dyDescent="0.2">
      <c r="A658" s="39" t="s">
        <v>2039</v>
      </c>
      <c r="B658" s="39" t="s">
        <v>88</v>
      </c>
      <c r="C658" s="39" t="s">
        <v>171</v>
      </c>
      <c r="D658" s="39" t="s">
        <v>121</v>
      </c>
      <c r="E658" s="39" t="s">
        <v>133</v>
      </c>
      <c r="G658" s="39" t="s">
        <v>152</v>
      </c>
      <c r="H658" s="39" t="s">
        <v>125</v>
      </c>
      <c r="I658" s="39" t="s">
        <v>162</v>
      </c>
      <c r="L658" s="48" t="s">
        <v>2040</v>
      </c>
      <c r="O658" s="39" t="s">
        <v>52</v>
      </c>
      <c r="Q658" s="40"/>
      <c r="R658" s="40" t="s">
        <v>1604</v>
      </c>
    </row>
    <row r="659" spans="1:18" s="39" customFormat="1" ht="31.25" customHeight="1" x14ac:dyDescent="0.2">
      <c r="A659" s="39" t="s">
        <v>2041</v>
      </c>
      <c r="B659" s="39" t="s">
        <v>88</v>
      </c>
      <c r="C659" s="39" t="s">
        <v>132</v>
      </c>
      <c r="D659" s="39" t="s">
        <v>121</v>
      </c>
      <c r="E659" s="39" t="s">
        <v>133</v>
      </c>
      <c r="F659" s="39">
        <v>220</v>
      </c>
      <c r="G659" s="39" t="s">
        <v>152</v>
      </c>
      <c r="H659" s="39" t="s">
        <v>125</v>
      </c>
      <c r="I659" s="39" t="s">
        <v>162</v>
      </c>
      <c r="L659" s="48" t="s">
        <v>2042</v>
      </c>
      <c r="O659" s="39" t="s">
        <v>52</v>
      </c>
      <c r="P659" s="94" t="s">
        <v>65</v>
      </c>
      <c r="Q659" s="40">
        <v>220</v>
      </c>
      <c r="R659" s="40">
        <v>242.58716703632143</v>
      </c>
    </row>
    <row r="660" spans="1:18" s="39" customFormat="1" ht="31.25" customHeight="1" x14ac:dyDescent="0.2">
      <c r="A660" s="39" t="s">
        <v>2043</v>
      </c>
      <c r="B660" s="39" t="s">
        <v>88</v>
      </c>
      <c r="C660" s="39" t="s">
        <v>132</v>
      </c>
      <c r="D660" s="39" t="s">
        <v>121</v>
      </c>
      <c r="E660" s="39" t="s">
        <v>251</v>
      </c>
      <c r="F660" s="39">
        <v>40</v>
      </c>
      <c r="G660" s="39" t="s">
        <v>162</v>
      </c>
      <c r="H660" s="39" t="s">
        <v>125</v>
      </c>
      <c r="L660" s="39" t="s">
        <v>2044</v>
      </c>
      <c r="O660" s="39" t="s">
        <v>52</v>
      </c>
      <c r="P660" s="94" t="s">
        <v>65</v>
      </c>
      <c r="Q660" s="40">
        <v>40</v>
      </c>
      <c r="R660" s="40">
        <v>44.10675764296753</v>
      </c>
    </row>
    <row r="661" spans="1:18" s="39" customFormat="1" ht="31.25" customHeight="1" x14ac:dyDescent="0.2">
      <c r="A661" s="39" t="s">
        <v>2045</v>
      </c>
      <c r="B661" s="39" t="s">
        <v>88</v>
      </c>
      <c r="C661" s="39" t="s">
        <v>132</v>
      </c>
      <c r="D661" s="39" t="s">
        <v>121</v>
      </c>
      <c r="E661" s="39" t="s">
        <v>122</v>
      </c>
      <c r="F661" s="39" t="s">
        <v>109</v>
      </c>
      <c r="G661" s="39" t="s">
        <v>162</v>
      </c>
      <c r="H661" s="39" t="s">
        <v>125</v>
      </c>
      <c r="L661" s="48" t="s">
        <v>2046</v>
      </c>
      <c r="O661" s="39" t="s">
        <v>52</v>
      </c>
      <c r="P661" s="94" t="s">
        <v>65</v>
      </c>
      <c r="Q661" s="40" t="s">
        <v>109</v>
      </c>
      <c r="R661" s="40" t="s">
        <v>1604</v>
      </c>
    </row>
    <row r="662" spans="1:18" s="39" customFormat="1" ht="31.25" customHeight="1" x14ac:dyDescent="0.2">
      <c r="A662" s="39" t="s">
        <v>2047</v>
      </c>
      <c r="B662" s="39" t="s">
        <v>88</v>
      </c>
      <c r="C662" s="39" t="s">
        <v>226</v>
      </c>
      <c r="D662" s="39" t="s">
        <v>137</v>
      </c>
      <c r="E662" s="39" t="s">
        <v>147</v>
      </c>
      <c r="G662" s="39" t="s">
        <v>162</v>
      </c>
      <c r="H662" s="39" t="s">
        <v>125</v>
      </c>
      <c r="I662" s="39" t="s">
        <v>152</v>
      </c>
      <c r="L662" s="48" t="s">
        <v>2048</v>
      </c>
      <c r="O662" s="39" t="s">
        <v>52</v>
      </c>
      <c r="Q662" s="40"/>
      <c r="R662" s="40" t="s">
        <v>1604</v>
      </c>
    </row>
    <row r="663" spans="1:18" s="39" customFormat="1" ht="31.25" customHeight="1" x14ac:dyDescent="0.2">
      <c r="A663" s="39" t="s">
        <v>2049</v>
      </c>
      <c r="B663" s="39" t="s">
        <v>88</v>
      </c>
      <c r="C663" s="39" t="s">
        <v>226</v>
      </c>
      <c r="D663" s="39" t="s">
        <v>137</v>
      </c>
      <c r="E663" s="39" t="s">
        <v>133</v>
      </c>
      <c r="F663" s="39">
        <v>107</v>
      </c>
      <c r="G663" s="39" t="s">
        <v>162</v>
      </c>
      <c r="H663" s="39" t="s">
        <v>125</v>
      </c>
      <c r="I663" s="39" t="s">
        <v>152</v>
      </c>
      <c r="L663" s="48" t="s">
        <v>2050</v>
      </c>
      <c r="O663" s="39" t="s">
        <v>52</v>
      </c>
      <c r="P663" s="94" t="s">
        <v>65</v>
      </c>
      <c r="Q663" s="40">
        <v>107</v>
      </c>
      <c r="R663" s="40">
        <v>117.98557669493815</v>
      </c>
    </row>
    <row r="664" spans="1:18" s="39" customFormat="1" ht="31.25" customHeight="1" x14ac:dyDescent="0.2">
      <c r="A664" s="39" t="s">
        <v>2051</v>
      </c>
      <c r="B664" s="39" t="s">
        <v>88</v>
      </c>
      <c r="C664" s="39" t="s">
        <v>132</v>
      </c>
      <c r="D664" s="39" t="s">
        <v>121</v>
      </c>
      <c r="E664" s="39" t="s">
        <v>133</v>
      </c>
      <c r="F664" s="39">
        <f>73+34</f>
        <v>107</v>
      </c>
      <c r="L664" s="39" t="s">
        <v>2052</v>
      </c>
      <c r="O664" s="39" t="s">
        <v>52</v>
      </c>
      <c r="P664" s="94" t="s">
        <v>65</v>
      </c>
      <c r="Q664" s="40">
        <v>107</v>
      </c>
      <c r="R664" s="40">
        <v>117.98557669493815</v>
      </c>
    </row>
    <row r="665" spans="1:18" s="39" customFormat="1" ht="31.25" customHeight="1" x14ac:dyDescent="0.25">
      <c r="A665" s="39" t="s">
        <v>2053</v>
      </c>
      <c r="B665" s="39" t="s">
        <v>88</v>
      </c>
      <c r="C665" s="39" t="s">
        <v>120</v>
      </c>
      <c r="D665" s="39" t="s">
        <v>121</v>
      </c>
      <c r="E665" s="39" t="s">
        <v>1916</v>
      </c>
      <c r="F665" s="39">
        <v>100</v>
      </c>
      <c r="G665" s="39" t="s">
        <v>125</v>
      </c>
      <c r="H665" s="39" t="s">
        <v>162</v>
      </c>
      <c r="J665" s="39" t="s">
        <v>5556</v>
      </c>
      <c r="K665" s="39" t="s">
        <v>5556</v>
      </c>
      <c r="L665" s="146" t="s">
        <v>2054</v>
      </c>
      <c r="M665" s="39" t="s">
        <v>2055</v>
      </c>
      <c r="N665" s="39" t="s">
        <v>275</v>
      </c>
      <c r="O665" s="39" t="s">
        <v>52</v>
      </c>
      <c r="P665" s="94" t="s">
        <v>65</v>
      </c>
      <c r="Q665" s="40">
        <v>100</v>
      </c>
      <c r="R665" s="40">
        <v>110.26689410741884</v>
      </c>
    </row>
    <row r="666" spans="1:18" s="39" customFormat="1" ht="31.25" customHeight="1" x14ac:dyDescent="0.25">
      <c r="A666" s="39" t="s">
        <v>2056</v>
      </c>
      <c r="B666" s="39" t="s">
        <v>2057</v>
      </c>
      <c r="C666" s="39" t="s">
        <v>120</v>
      </c>
      <c r="D666" s="39" t="s">
        <v>121</v>
      </c>
      <c r="E666" s="39" t="s">
        <v>147</v>
      </c>
      <c r="F666" s="39">
        <v>21</v>
      </c>
      <c r="L666" s="146" t="s">
        <v>2058</v>
      </c>
      <c r="M666" s="39" t="s">
        <v>2059</v>
      </c>
      <c r="N666" s="39" t="s">
        <v>275</v>
      </c>
      <c r="O666" s="39" t="s">
        <v>52</v>
      </c>
      <c r="P666" s="94" t="s">
        <v>65</v>
      </c>
      <c r="Q666" s="40">
        <v>21</v>
      </c>
      <c r="R666" s="40">
        <v>23.156047762557954</v>
      </c>
    </row>
    <row r="667" spans="1:18" s="39" customFormat="1" ht="31.25" customHeight="1" x14ac:dyDescent="0.2">
      <c r="A667" s="75" t="s">
        <v>2060</v>
      </c>
      <c r="B667" s="75" t="s">
        <v>64</v>
      </c>
      <c r="C667" s="127" t="s">
        <v>177</v>
      </c>
      <c r="D667" s="75"/>
      <c r="E667" s="75" t="s">
        <v>133</v>
      </c>
      <c r="F667" s="75"/>
      <c r="G667" s="75" t="s">
        <v>125</v>
      </c>
      <c r="H667" s="75" t="s">
        <v>162</v>
      </c>
      <c r="I667" s="75" t="s">
        <v>158</v>
      </c>
      <c r="J667" s="75"/>
      <c r="K667" s="75"/>
      <c r="L667" s="75" t="s">
        <v>2061</v>
      </c>
      <c r="M667" s="75" t="s">
        <v>2062</v>
      </c>
      <c r="N667" s="75"/>
      <c r="O667" s="75" t="s">
        <v>52</v>
      </c>
      <c r="P667" s="75"/>
      <c r="Q667" s="100"/>
      <c r="R667" s="40" t="s">
        <v>1604</v>
      </c>
    </row>
    <row r="668" spans="1:18" s="39" customFormat="1" ht="31.25" customHeight="1" x14ac:dyDescent="0.2">
      <c r="A668" s="39" t="s">
        <v>2063</v>
      </c>
      <c r="B668" s="39" t="s">
        <v>64</v>
      </c>
      <c r="C668" s="39" t="s">
        <v>226</v>
      </c>
      <c r="D668" s="39" t="s">
        <v>2064</v>
      </c>
      <c r="E668" s="39" t="s">
        <v>133</v>
      </c>
      <c r="F668" s="39" t="s">
        <v>2065</v>
      </c>
      <c r="G668" s="39" t="s">
        <v>158</v>
      </c>
      <c r="L668" s="39" t="s">
        <v>2066</v>
      </c>
      <c r="M668" s="39" t="s">
        <v>2067</v>
      </c>
      <c r="N668" s="39" t="s">
        <v>2068</v>
      </c>
      <c r="O668" s="39" t="s">
        <v>52</v>
      </c>
      <c r="P668" s="39" t="s">
        <v>65</v>
      </c>
      <c r="Q668" s="147">
        <v>0.15</v>
      </c>
      <c r="R668" s="40">
        <v>0.16540034116112823</v>
      </c>
    </row>
    <row r="669" spans="1:18" s="39" customFormat="1" ht="31.25" customHeight="1" x14ac:dyDescent="0.2">
      <c r="A669" s="39" t="s">
        <v>2069</v>
      </c>
      <c r="B669" s="39" t="s">
        <v>64</v>
      </c>
      <c r="C669" s="39" t="s">
        <v>120</v>
      </c>
      <c r="D669" s="39" t="s">
        <v>160</v>
      </c>
      <c r="E669" s="39" t="s">
        <v>199</v>
      </c>
      <c r="F669" s="39" t="s">
        <v>2070</v>
      </c>
      <c r="G669" s="39" t="s">
        <v>152</v>
      </c>
      <c r="H669" s="39" t="s">
        <v>323</v>
      </c>
      <c r="L669" s="39" t="s">
        <v>2071</v>
      </c>
      <c r="M669" s="39" t="s">
        <v>2072</v>
      </c>
      <c r="N669" s="39" t="s">
        <v>2073</v>
      </c>
      <c r="O669" s="39" t="s">
        <v>52</v>
      </c>
      <c r="P669" s="39" t="s">
        <v>65</v>
      </c>
      <c r="Q669" s="148">
        <v>1.4</v>
      </c>
      <c r="R669" s="40">
        <v>1.5437365175038635</v>
      </c>
    </row>
    <row r="670" spans="1:18" s="39" customFormat="1" ht="31.25" customHeight="1" x14ac:dyDescent="0.2">
      <c r="A670" s="39" t="s">
        <v>2074</v>
      </c>
      <c r="B670" s="39" t="s">
        <v>64</v>
      </c>
      <c r="C670" s="39" t="s">
        <v>120</v>
      </c>
      <c r="D670" s="39" t="s">
        <v>137</v>
      </c>
      <c r="E670" s="39" t="s">
        <v>147</v>
      </c>
      <c r="F670" s="39" t="s">
        <v>2075</v>
      </c>
      <c r="G670" s="39" t="s">
        <v>158</v>
      </c>
      <c r="L670" s="39" t="s">
        <v>2076</v>
      </c>
      <c r="M670" s="39" t="s">
        <v>2077</v>
      </c>
      <c r="N670" s="39" t="s">
        <v>2078</v>
      </c>
      <c r="O670" s="39" t="s">
        <v>52</v>
      </c>
      <c r="P670" s="39" t="s">
        <v>65</v>
      </c>
      <c r="Q670" s="148">
        <v>9.5</v>
      </c>
      <c r="R670" s="40">
        <v>10.475354940204788</v>
      </c>
    </row>
    <row r="671" spans="1:18" s="39" customFormat="1" ht="31.25" customHeight="1" x14ac:dyDescent="0.2">
      <c r="A671" s="39" t="s">
        <v>2079</v>
      </c>
      <c r="B671" s="39" t="s">
        <v>64</v>
      </c>
      <c r="C671" s="39" t="s">
        <v>120</v>
      </c>
      <c r="D671" s="39" t="s">
        <v>121</v>
      </c>
      <c r="E671" s="39" t="s">
        <v>172</v>
      </c>
      <c r="F671" s="39" t="s">
        <v>2080</v>
      </c>
      <c r="G671" s="39" t="s">
        <v>158</v>
      </c>
      <c r="L671" s="39" t="s">
        <v>2081</v>
      </c>
      <c r="M671" s="39" t="s">
        <v>2082</v>
      </c>
      <c r="O671" s="39" t="s">
        <v>53</v>
      </c>
      <c r="P671" s="39" t="s">
        <v>65</v>
      </c>
      <c r="Q671" s="40">
        <v>200.5</v>
      </c>
      <c r="R671" s="40">
        <v>221.08512268537476</v>
      </c>
    </row>
    <row r="672" spans="1:18" s="39" customFormat="1" ht="31.25" customHeight="1" x14ac:dyDescent="0.2">
      <c r="A672" s="39" t="s">
        <v>2083</v>
      </c>
      <c r="B672" s="39" t="s">
        <v>64</v>
      </c>
      <c r="C672" s="39" t="s">
        <v>120</v>
      </c>
      <c r="D672" s="39" t="s">
        <v>121</v>
      </c>
      <c r="E672" s="39" t="s">
        <v>166</v>
      </c>
      <c r="F672" s="39" t="s">
        <v>2084</v>
      </c>
      <c r="G672" s="39" t="s">
        <v>125</v>
      </c>
      <c r="H672" s="39" t="s">
        <v>162</v>
      </c>
      <c r="L672" s="39" t="s">
        <v>2085</v>
      </c>
      <c r="M672" s="39" t="s">
        <v>2082</v>
      </c>
      <c r="N672" s="39" t="s">
        <v>2086</v>
      </c>
      <c r="O672" s="39" t="s">
        <v>52</v>
      </c>
      <c r="P672" s="39" t="s">
        <v>65</v>
      </c>
      <c r="Q672" s="40">
        <v>73</v>
      </c>
      <c r="R672" s="40">
        <v>80.494832698415749</v>
      </c>
    </row>
    <row r="673" spans="1:18" s="39" customFormat="1" ht="31.25" customHeight="1" x14ac:dyDescent="0.2">
      <c r="A673" s="39" t="s">
        <v>2087</v>
      </c>
      <c r="B673" s="39" t="s">
        <v>64</v>
      </c>
      <c r="C673" s="39" t="s">
        <v>120</v>
      </c>
      <c r="D673" s="39" t="s">
        <v>2064</v>
      </c>
      <c r="E673" s="39" t="s">
        <v>251</v>
      </c>
      <c r="F673" s="39" t="s">
        <v>2088</v>
      </c>
      <c r="G673" s="39" t="s">
        <v>125</v>
      </c>
      <c r="H673" s="39" t="s">
        <v>162</v>
      </c>
      <c r="L673" s="39" t="s">
        <v>2089</v>
      </c>
      <c r="M673" s="39" t="s">
        <v>2090</v>
      </c>
      <c r="N673" s="39" t="s">
        <v>2091</v>
      </c>
      <c r="O673" s="39" t="s">
        <v>52</v>
      </c>
      <c r="P673" s="39" t="s">
        <v>65</v>
      </c>
      <c r="Q673" s="148">
        <v>0.4</v>
      </c>
      <c r="R673" s="40">
        <v>0.44106757642967531</v>
      </c>
    </row>
    <row r="674" spans="1:18" s="39" customFormat="1" ht="31.25" customHeight="1" x14ac:dyDescent="0.2">
      <c r="A674" s="39" t="s">
        <v>2092</v>
      </c>
      <c r="B674" s="39" t="s">
        <v>64</v>
      </c>
      <c r="C674" s="39" t="s">
        <v>120</v>
      </c>
      <c r="E674" s="39" t="s">
        <v>251</v>
      </c>
      <c r="F674" s="39" t="s">
        <v>2093</v>
      </c>
      <c r="G674" s="39" t="s">
        <v>125</v>
      </c>
      <c r="H674" s="39" t="s">
        <v>162</v>
      </c>
      <c r="L674" s="39" t="s">
        <v>2094</v>
      </c>
      <c r="M674" s="120" t="s">
        <v>2095</v>
      </c>
      <c r="N674" s="149" t="s">
        <v>2096</v>
      </c>
      <c r="O674" s="39" t="s">
        <v>52</v>
      </c>
      <c r="P674" s="39" t="s">
        <v>65</v>
      </c>
      <c r="Q674" s="40">
        <v>4</v>
      </c>
      <c r="R674" s="40">
        <v>4.4106757642967533</v>
      </c>
    </row>
    <row r="675" spans="1:18" s="39" customFormat="1" ht="31.25" customHeight="1" x14ac:dyDescent="0.2">
      <c r="A675" s="50" t="s">
        <v>2097</v>
      </c>
      <c r="B675" s="50" t="s">
        <v>64</v>
      </c>
      <c r="C675" s="50" t="s">
        <v>188</v>
      </c>
      <c r="D675" s="50" t="s">
        <v>121</v>
      </c>
      <c r="E675" s="50" t="s">
        <v>151</v>
      </c>
      <c r="F675" s="50"/>
      <c r="G675" s="50" t="s">
        <v>125</v>
      </c>
      <c r="H675" s="50" t="s">
        <v>162</v>
      </c>
      <c r="I675" s="50"/>
      <c r="J675" s="50"/>
      <c r="K675" s="50"/>
      <c r="L675" s="50" t="s">
        <v>2098</v>
      </c>
      <c r="M675" s="150" t="s">
        <v>2099</v>
      </c>
      <c r="N675" s="150" t="s">
        <v>2100</v>
      </c>
      <c r="O675" s="50" t="s">
        <v>54</v>
      </c>
      <c r="P675" s="50"/>
      <c r="Q675" s="151"/>
      <c r="R675" s="40" t="s">
        <v>1604</v>
      </c>
    </row>
    <row r="676" spans="1:18" s="39" customFormat="1" ht="31.25" customHeight="1" x14ac:dyDescent="0.2">
      <c r="A676" s="39" t="s">
        <v>2101</v>
      </c>
      <c r="B676" s="39" t="s">
        <v>64</v>
      </c>
      <c r="C676" s="39" t="s">
        <v>120</v>
      </c>
      <c r="D676" s="39" t="s">
        <v>121</v>
      </c>
      <c r="E676" s="39" t="s">
        <v>151</v>
      </c>
      <c r="F676" s="39" t="s">
        <v>2102</v>
      </c>
      <c r="G676" s="39" t="s">
        <v>125</v>
      </c>
      <c r="H676" s="39" t="s">
        <v>162</v>
      </c>
      <c r="J676" s="39" t="s">
        <v>124</v>
      </c>
      <c r="K676" s="39" t="s">
        <v>5557</v>
      </c>
      <c r="L676" s="43" t="s">
        <v>2103</v>
      </c>
      <c r="M676" s="39" t="s">
        <v>2104</v>
      </c>
      <c r="O676" s="39" t="s">
        <v>52</v>
      </c>
      <c r="P676" s="39" t="s">
        <v>65</v>
      </c>
      <c r="Q676" s="40">
        <v>45</v>
      </c>
      <c r="R676" s="40">
        <v>49.62010234833847</v>
      </c>
    </row>
    <row r="677" spans="1:18" s="39" customFormat="1" ht="31.25" customHeight="1" x14ac:dyDescent="0.2">
      <c r="A677" s="39" t="s">
        <v>2105</v>
      </c>
      <c r="B677" s="39" t="s">
        <v>64</v>
      </c>
      <c r="C677" s="39" t="s">
        <v>120</v>
      </c>
      <c r="D677" s="39" t="s">
        <v>121</v>
      </c>
      <c r="E677" s="39" t="s">
        <v>166</v>
      </c>
      <c r="F677" s="39" t="s">
        <v>2106</v>
      </c>
      <c r="G677" s="39" t="s">
        <v>125</v>
      </c>
      <c r="H677" s="39" t="s">
        <v>162</v>
      </c>
      <c r="J677" s="39" t="s">
        <v>124</v>
      </c>
      <c r="K677" s="39" t="s">
        <v>5557</v>
      </c>
      <c r="L677" s="43" t="s">
        <v>2107</v>
      </c>
      <c r="M677" s="39" t="s">
        <v>2104</v>
      </c>
      <c r="O677" s="39" t="s">
        <v>52</v>
      </c>
      <c r="P677" s="39" t="s">
        <v>65</v>
      </c>
      <c r="Q677" s="40">
        <v>47</v>
      </c>
      <c r="R677" s="40">
        <v>51.825440230486848</v>
      </c>
    </row>
    <row r="678" spans="1:18" s="39" customFormat="1" ht="31.25" customHeight="1" x14ac:dyDescent="0.2">
      <c r="A678" s="39" t="s">
        <v>2108</v>
      </c>
      <c r="B678" s="39" t="s">
        <v>64</v>
      </c>
      <c r="C678" s="39" t="s">
        <v>177</v>
      </c>
      <c r="D678" s="39" t="s">
        <v>137</v>
      </c>
      <c r="E678" s="39" t="s">
        <v>133</v>
      </c>
      <c r="F678" s="39" t="s">
        <v>339</v>
      </c>
      <c r="G678" s="39" t="s">
        <v>125</v>
      </c>
      <c r="H678" s="39" t="s">
        <v>158</v>
      </c>
      <c r="J678" s="39" t="s">
        <v>124</v>
      </c>
      <c r="K678" s="39" t="s">
        <v>5557</v>
      </c>
      <c r="L678" s="43" t="s">
        <v>2109</v>
      </c>
      <c r="M678" s="39" t="s">
        <v>2104</v>
      </c>
      <c r="O678" s="39" t="s">
        <v>52</v>
      </c>
      <c r="P678" s="39" t="s">
        <v>65</v>
      </c>
      <c r="Q678" s="40">
        <v>100</v>
      </c>
      <c r="R678" s="40">
        <v>110.26689410741884</v>
      </c>
    </row>
    <row r="679" spans="1:18" s="39" customFormat="1" ht="31.25" customHeight="1" x14ac:dyDescent="0.2">
      <c r="A679" s="39" t="s">
        <v>2110</v>
      </c>
      <c r="B679" s="39" t="s">
        <v>64</v>
      </c>
      <c r="C679" s="39" t="s">
        <v>120</v>
      </c>
      <c r="D679" s="39" t="s">
        <v>121</v>
      </c>
      <c r="E679" s="39" t="s">
        <v>133</v>
      </c>
      <c r="F679" s="39" t="s">
        <v>2111</v>
      </c>
      <c r="G679" s="39" t="s">
        <v>125</v>
      </c>
      <c r="H679" s="39" t="s">
        <v>162</v>
      </c>
      <c r="I679" s="39" t="s">
        <v>1441</v>
      </c>
      <c r="J679" s="39" t="s">
        <v>124</v>
      </c>
      <c r="K679" s="39" t="s">
        <v>5557</v>
      </c>
      <c r="L679" s="43" t="s">
        <v>2112</v>
      </c>
      <c r="M679" s="39" t="s">
        <v>2104</v>
      </c>
      <c r="O679" s="39" t="s">
        <v>52</v>
      </c>
      <c r="P679" s="39" t="s">
        <v>65</v>
      </c>
      <c r="Q679" s="40">
        <v>38</v>
      </c>
      <c r="R679" s="40">
        <v>41.901419760819152</v>
      </c>
    </row>
    <row r="680" spans="1:18" s="39" customFormat="1" ht="31.25" customHeight="1" x14ac:dyDescent="0.2">
      <c r="A680" s="39" t="s">
        <v>2113</v>
      </c>
      <c r="B680" s="39" t="s">
        <v>64</v>
      </c>
      <c r="C680" s="39" t="s">
        <v>120</v>
      </c>
      <c r="D680" s="39" t="s">
        <v>137</v>
      </c>
      <c r="E680" s="39" t="s">
        <v>133</v>
      </c>
      <c r="F680" s="39" t="s">
        <v>552</v>
      </c>
      <c r="G680" s="39" t="s">
        <v>125</v>
      </c>
      <c r="H680" s="39" t="s">
        <v>158</v>
      </c>
      <c r="J680" s="39" t="s">
        <v>124</v>
      </c>
      <c r="K680" s="39" t="s">
        <v>5557</v>
      </c>
      <c r="L680" s="43" t="s">
        <v>2114</v>
      </c>
      <c r="M680" s="39" t="s">
        <v>2104</v>
      </c>
      <c r="O680" s="39" t="s">
        <v>52</v>
      </c>
      <c r="P680" s="39" t="s">
        <v>65</v>
      </c>
      <c r="Q680" s="40">
        <v>8</v>
      </c>
      <c r="R680" s="40">
        <v>8.8213515285935067</v>
      </c>
    </row>
    <row r="681" spans="1:18" s="39" customFormat="1" ht="31.25" customHeight="1" x14ac:dyDescent="0.2">
      <c r="A681" s="39" t="s">
        <v>2115</v>
      </c>
      <c r="B681" s="39" t="s">
        <v>64</v>
      </c>
      <c r="C681" s="39" t="s">
        <v>120</v>
      </c>
      <c r="D681" s="39" t="s">
        <v>137</v>
      </c>
      <c r="E681" s="39" t="s">
        <v>133</v>
      </c>
      <c r="F681" s="39" t="s">
        <v>308</v>
      </c>
      <c r="G681" s="39" t="s">
        <v>125</v>
      </c>
      <c r="H681" s="39" t="s">
        <v>162</v>
      </c>
      <c r="J681" s="39" t="s">
        <v>124</v>
      </c>
      <c r="K681" s="39" t="s">
        <v>5557</v>
      </c>
      <c r="L681" s="43" t="s">
        <v>2116</v>
      </c>
      <c r="M681" s="39" t="s">
        <v>2104</v>
      </c>
      <c r="O681" s="39" t="s">
        <v>52</v>
      </c>
      <c r="P681" s="39" t="s">
        <v>65</v>
      </c>
      <c r="Q681" s="40">
        <v>50</v>
      </c>
      <c r="R681" s="40">
        <v>55.133447053709418</v>
      </c>
    </row>
    <row r="682" spans="1:18" s="39" customFormat="1" ht="31.25" customHeight="1" x14ac:dyDescent="0.2">
      <c r="A682" s="39" t="s">
        <v>2117</v>
      </c>
      <c r="B682" s="39" t="s">
        <v>64</v>
      </c>
      <c r="C682" s="39" t="s">
        <v>120</v>
      </c>
      <c r="D682" s="39" t="s">
        <v>160</v>
      </c>
      <c r="E682" s="39" t="s">
        <v>251</v>
      </c>
      <c r="F682" s="39" t="s">
        <v>496</v>
      </c>
      <c r="G682" s="39" t="s">
        <v>125</v>
      </c>
      <c r="H682" s="39" t="s">
        <v>162</v>
      </c>
      <c r="J682" s="39" t="s">
        <v>124</v>
      </c>
      <c r="K682" s="39" t="s">
        <v>5557</v>
      </c>
      <c r="L682" s="43" t="s">
        <v>2118</v>
      </c>
      <c r="M682" s="39" t="s">
        <v>2104</v>
      </c>
      <c r="O682" s="39" t="s">
        <v>52</v>
      </c>
      <c r="P682" s="39" t="s">
        <v>65</v>
      </c>
      <c r="Q682" s="40">
        <v>34</v>
      </c>
      <c r="R682" s="40">
        <v>37.490743996522404</v>
      </c>
    </row>
    <row r="683" spans="1:18" s="39" customFormat="1" ht="31.25" customHeight="1" x14ac:dyDescent="0.2">
      <c r="A683" s="39" t="s">
        <v>2119</v>
      </c>
      <c r="B683" s="39" t="s">
        <v>64</v>
      </c>
      <c r="C683" s="39" t="s">
        <v>120</v>
      </c>
      <c r="D683" s="39" t="s">
        <v>160</v>
      </c>
      <c r="E683" s="39" t="s">
        <v>251</v>
      </c>
      <c r="F683" s="39" t="s">
        <v>2120</v>
      </c>
      <c r="G683" s="39" t="s">
        <v>125</v>
      </c>
      <c r="H683" s="39" t="s">
        <v>162</v>
      </c>
      <c r="J683" s="39" t="s">
        <v>124</v>
      </c>
      <c r="K683" s="39" t="s">
        <v>5557</v>
      </c>
      <c r="L683" s="43" t="s">
        <v>2121</v>
      </c>
      <c r="M683" s="39" t="s">
        <v>2104</v>
      </c>
      <c r="O683" s="39" t="s">
        <v>52</v>
      </c>
      <c r="P683" s="39" t="s">
        <v>65</v>
      </c>
      <c r="Q683" s="40">
        <v>31</v>
      </c>
      <c r="R683" s="40">
        <v>34.182737173299834</v>
      </c>
    </row>
    <row r="684" spans="1:18" s="39" customFormat="1" ht="31.25" customHeight="1" x14ac:dyDescent="0.2">
      <c r="A684" s="39" t="s">
        <v>2122</v>
      </c>
      <c r="B684" s="39" t="s">
        <v>64</v>
      </c>
      <c r="C684" s="39" t="s">
        <v>120</v>
      </c>
      <c r="D684" s="39" t="s">
        <v>160</v>
      </c>
      <c r="E684" s="39" t="s">
        <v>251</v>
      </c>
      <c r="F684" s="39" t="s">
        <v>406</v>
      </c>
      <c r="G684" s="39" t="s">
        <v>125</v>
      </c>
      <c r="H684" s="39" t="s">
        <v>162</v>
      </c>
      <c r="J684" s="39" t="s">
        <v>124</v>
      </c>
      <c r="K684" s="39" t="s">
        <v>5557</v>
      </c>
      <c r="L684" s="43" t="s">
        <v>2123</v>
      </c>
      <c r="M684" s="39" t="s">
        <v>2104</v>
      </c>
      <c r="O684" s="39" t="s">
        <v>52</v>
      </c>
      <c r="P684" s="39" t="s">
        <v>65</v>
      </c>
      <c r="Q684" s="40">
        <v>5</v>
      </c>
      <c r="R684" s="40">
        <v>5.5133447053709412</v>
      </c>
    </row>
    <row r="685" spans="1:18" s="39" customFormat="1" ht="31.25" customHeight="1" x14ac:dyDescent="0.2">
      <c r="A685" s="39" t="s">
        <v>2124</v>
      </c>
      <c r="B685" s="39" t="s">
        <v>64</v>
      </c>
      <c r="C685" s="39" t="s">
        <v>120</v>
      </c>
      <c r="D685" s="39" t="s">
        <v>160</v>
      </c>
      <c r="E685" s="39" t="s">
        <v>251</v>
      </c>
      <c r="F685" s="39" t="s">
        <v>539</v>
      </c>
      <c r="G685" s="39" t="s">
        <v>125</v>
      </c>
      <c r="H685" s="39" t="s">
        <v>162</v>
      </c>
      <c r="J685" s="39" t="s">
        <v>124</v>
      </c>
      <c r="K685" s="39" t="s">
        <v>5557</v>
      </c>
      <c r="L685" s="43" t="s">
        <v>2125</v>
      </c>
      <c r="M685" s="39" t="s">
        <v>2104</v>
      </c>
      <c r="O685" s="39" t="s">
        <v>52</v>
      </c>
      <c r="P685" s="39" t="s">
        <v>65</v>
      </c>
      <c r="Q685" s="40">
        <v>26</v>
      </c>
      <c r="R685" s="40">
        <v>28.669392467928894</v>
      </c>
    </row>
    <row r="686" spans="1:18" s="39" customFormat="1" ht="31.25" customHeight="1" x14ac:dyDescent="0.2">
      <c r="A686" s="39" t="s">
        <v>2126</v>
      </c>
      <c r="B686" s="39" t="s">
        <v>64</v>
      </c>
      <c r="C686" s="39" t="s">
        <v>226</v>
      </c>
      <c r="D686" s="39" t="s">
        <v>137</v>
      </c>
      <c r="E686" s="39" t="s">
        <v>133</v>
      </c>
      <c r="F686" s="39" t="s">
        <v>355</v>
      </c>
      <c r="G686" s="39" t="s">
        <v>125</v>
      </c>
      <c r="H686" s="39" t="s">
        <v>162</v>
      </c>
      <c r="J686" s="39" t="s">
        <v>295</v>
      </c>
      <c r="L686" s="43" t="s">
        <v>2127</v>
      </c>
      <c r="M686" s="76" t="s">
        <v>2104</v>
      </c>
      <c r="O686" s="39" t="s">
        <v>52</v>
      </c>
      <c r="P686" s="39" t="s">
        <v>65</v>
      </c>
      <c r="Q686" s="40">
        <v>15</v>
      </c>
      <c r="R686" s="40">
        <v>16.540034116112825</v>
      </c>
    </row>
    <row r="687" spans="1:18" s="39" customFormat="1" ht="31.25" customHeight="1" x14ac:dyDescent="0.2">
      <c r="A687" s="75" t="s">
        <v>2128</v>
      </c>
      <c r="B687" s="75" t="s">
        <v>65</v>
      </c>
      <c r="C687" s="75" t="s">
        <v>120</v>
      </c>
      <c r="D687" s="75" t="s">
        <v>137</v>
      </c>
      <c r="E687" s="75" t="s">
        <v>133</v>
      </c>
      <c r="F687" s="75" t="s">
        <v>2129</v>
      </c>
      <c r="G687" s="75" t="s">
        <v>125</v>
      </c>
      <c r="H687" s="75"/>
      <c r="I687" s="75"/>
      <c r="J687" s="75"/>
      <c r="K687" s="75"/>
      <c r="L687" s="75" t="s">
        <v>2130</v>
      </c>
      <c r="M687" s="99" t="s">
        <v>2131</v>
      </c>
      <c r="N687" s="75" t="s">
        <v>2132</v>
      </c>
      <c r="O687" s="75" t="s">
        <v>104</v>
      </c>
      <c r="P687" s="75" t="s">
        <v>65</v>
      </c>
      <c r="Q687" s="100">
        <v>217140</v>
      </c>
      <c r="R687" s="40">
        <v>239433.53386484925</v>
      </c>
    </row>
    <row r="688" spans="1:18" s="39" customFormat="1" ht="31.25" customHeight="1" x14ac:dyDescent="0.2">
      <c r="A688" s="39" t="s">
        <v>2133</v>
      </c>
      <c r="B688" s="39" t="s">
        <v>65</v>
      </c>
      <c r="C688" s="39" t="s">
        <v>120</v>
      </c>
      <c r="D688" s="39" t="s">
        <v>137</v>
      </c>
      <c r="E688" s="39" t="s">
        <v>133</v>
      </c>
      <c r="F688" s="39" t="s">
        <v>2134</v>
      </c>
      <c r="L688" s="39" t="s">
        <v>2135</v>
      </c>
      <c r="N688" s="39" t="s">
        <v>2132</v>
      </c>
      <c r="O688" s="39" t="s">
        <v>106</v>
      </c>
      <c r="P688" s="39" t="s">
        <v>65</v>
      </c>
      <c r="Q688" s="40">
        <v>506660</v>
      </c>
      <c r="R688" s="40">
        <v>558678.24568464828</v>
      </c>
    </row>
    <row r="689" spans="1:18" s="39" customFormat="1" ht="31.25" customHeight="1" x14ac:dyDescent="0.2">
      <c r="A689" s="39" t="s">
        <v>2136</v>
      </c>
      <c r="B689" s="39" t="s">
        <v>65</v>
      </c>
      <c r="C689" s="39" t="s">
        <v>120</v>
      </c>
      <c r="D689" s="39" t="s">
        <v>137</v>
      </c>
      <c r="E689" s="39" t="s">
        <v>133</v>
      </c>
      <c r="F689" s="39" t="s">
        <v>2137</v>
      </c>
      <c r="G689" s="39" t="s">
        <v>125</v>
      </c>
      <c r="L689" s="39" t="s">
        <v>2138</v>
      </c>
      <c r="O689" s="39" t="s">
        <v>52</v>
      </c>
      <c r="P689" s="39" t="s">
        <v>65</v>
      </c>
      <c r="Q689" s="40">
        <v>4140</v>
      </c>
      <c r="R689" s="40">
        <v>4565.0494160471399</v>
      </c>
    </row>
    <row r="690" spans="1:18" s="39" customFormat="1" ht="31.25" customHeight="1" x14ac:dyDescent="0.2">
      <c r="A690" s="39" t="s">
        <v>2139</v>
      </c>
      <c r="B690" s="39" t="s">
        <v>65</v>
      </c>
      <c r="C690" s="39" t="s">
        <v>120</v>
      </c>
      <c r="D690" s="39" t="s">
        <v>121</v>
      </c>
      <c r="E690" s="39" t="s">
        <v>133</v>
      </c>
      <c r="F690" s="39" t="s">
        <v>2140</v>
      </c>
      <c r="G690" s="39" t="s">
        <v>125</v>
      </c>
      <c r="L690" s="39" t="s">
        <v>103</v>
      </c>
      <c r="M690" s="39" t="s">
        <v>2131</v>
      </c>
      <c r="N690" s="39" t="s">
        <v>2132</v>
      </c>
      <c r="O690" s="39" t="s">
        <v>52</v>
      </c>
      <c r="P690" s="39" t="s">
        <v>65</v>
      </c>
      <c r="Q690" s="40">
        <v>15180</v>
      </c>
      <c r="R690" s="40">
        <v>16738.51452550618</v>
      </c>
    </row>
    <row r="691" spans="1:18" s="39" customFormat="1" ht="31.25" customHeight="1" x14ac:dyDescent="0.2">
      <c r="A691" s="39" t="s">
        <v>2141</v>
      </c>
      <c r="B691" s="39" t="s">
        <v>65</v>
      </c>
      <c r="C691" s="39" t="s">
        <v>120</v>
      </c>
      <c r="D691" s="39" t="s">
        <v>121</v>
      </c>
      <c r="E691" s="39" t="s">
        <v>133</v>
      </c>
      <c r="F691" s="39" t="s">
        <v>2140</v>
      </c>
      <c r="G691" s="39" t="s">
        <v>125</v>
      </c>
      <c r="L691" s="39" t="s">
        <v>105</v>
      </c>
      <c r="M691" s="39" t="s">
        <v>2131</v>
      </c>
      <c r="N691" s="39" t="s">
        <v>2132</v>
      </c>
      <c r="O691" s="39" t="s">
        <v>106</v>
      </c>
      <c r="P691" s="39" t="s">
        <v>65</v>
      </c>
      <c r="Q691" s="40">
        <f>50600-15180</f>
        <v>35420</v>
      </c>
      <c r="R691" s="40">
        <v>39056.53389284775</v>
      </c>
    </row>
    <row r="692" spans="1:18" s="39" customFormat="1" ht="31.25" customHeight="1" x14ac:dyDescent="0.2">
      <c r="A692" s="39" t="s">
        <v>2142</v>
      </c>
      <c r="B692" s="39" t="s">
        <v>65</v>
      </c>
      <c r="C692" s="39" t="s">
        <v>120</v>
      </c>
      <c r="D692" s="39" t="s">
        <v>137</v>
      </c>
      <c r="E692" s="39" t="s">
        <v>133</v>
      </c>
      <c r="F692" s="39" t="s">
        <v>2143</v>
      </c>
      <c r="G692" s="39" t="s">
        <v>125</v>
      </c>
      <c r="H692" s="39" t="s">
        <v>152</v>
      </c>
      <c r="I692" s="39" t="s">
        <v>134</v>
      </c>
      <c r="L692" s="39" t="s">
        <v>107</v>
      </c>
      <c r="M692" s="39" t="s">
        <v>2131</v>
      </c>
      <c r="N692" s="39" t="s">
        <v>2132</v>
      </c>
      <c r="O692" s="39" t="s">
        <v>52</v>
      </c>
      <c r="P692" s="39" t="s">
        <v>65</v>
      </c>
      <c r="Q692" s="40">
        <f>5400*0.3</f>
        <v>1620</v>
      </c>
      <c r="R692" s="40">
        <v>1786.323684540185</v>
      </c>
    </row>
    <row r="693" spans="1:18" s="39" customFormat="1" ht="31.25" customHeight="1" x14ac:dyDescent="0.2">
      <c r="A693" s="39" t="s">
        <v>2144</v>
      </c>
      <c r="B693" s="39" t="s">
        <v>65</v>
      </c>
      <c r="C693" s="39" t="s">
        <v>120</v>
      </c>
      <c r="D693" s="39" t="s">
        <v>137</v>
      </c>
      <c r="E693" s="39" t="s">
        <v>133</v>
      </c>
      <c r="F693" s="39" t="s">
        <v>2143</v>
      </c>
      <c r="G693" s="39" t="s">
        <v>125</v>
      </c>
      <c r="H693" s="39" t="s">
        <v>152</v>
      </c>
      <c r="I693" s="39" t="s">
        <v>134</v>
      </c>
      <c r="L693" s="39" t="s">
        <v>108</v>
      </c>
      <c r="M693" s="39" t="s">
        <v>2131</v>
      </c>
      <c r="N693" s="39" t="s">
        <v>2132</v>
      </c>
      <c r="O693" s="39" t="s">
        <v>106</v>
      </c>
      <c r="P693" s="39" t="s">
        <v>65</v>
      </c>
      <c r="Q693" s="40">
        <f>5400*0.7</f>
        <v>3779.9999999999995</v>
      </c>
      <c r="R693" s="40">
        <v>4168.088597260431</v>
      </c>
    </row>
    <row r="694" spans="1:18" s="39" customFormat="1" ht="31.25" customHeight="1" x14ac:dyDescent="0.2">
      <c r="A694" s="39" t="s">
        <v>2145</v>
      </c>
      <c r="B694" s="39" t="s">
        <v>65</v>
      </c>
      <c r="C694" s="60" t="s">
        <v>177</v>
      </c>
      <c r="D694" s="39" t="s">
        <v>137</v>
      </c>
      <c r="E694" s="39" t="s">
        <v>133</v>
      </c>
      <c r="F694" s="39" t="s">
        <v>2146</v>
      </c>
      <c r="L694" s="39" t="s">
        <v>110</v>
      </c>
      <c r="M694" s="39" t="s">
        <v>2131</v>
      </c>
      <c r="N694" s="39" t="s">
        <v>2132</v>
      </c>
      <c r="O694" s="39" t="s">
        <v>52</v>
      </c>
      <c r="P694" s="39" t="s">
        <v>65</v>
      </c>
      <c r="Q694" s="40">
        <f>6100*0.3</f>
        <v>1830</v>
      </c>
      <c r="R694" s="40">
        <v>2017.8841621657646</v>
      </c>
    </row>
    <row r="695" spans="1:18" s="39" customFormat="1" ht="31.25" customHeight="1" x14ac:dyDescent="0.2">
      <c r="A695" s="39" t="s">
        <v>2147</v>
      </c>
      <c r="B695" s="39" t="s">
        <v>65</v>
      </c>
      <c r="C695" s="60" t="s">
        <v>177</v>
      </c>
      <c r="D695" s="39" t="s">
        <v>137</v>
      </c>
      <c r="E695" s="39" t="s">
        <v>133</v>
      </c>
      <c r="F695" s="39" t="s">
        <v>2146</v>
      </c>
      <c r="L695" s="39" t="s">
        <v>111</v>
      </c>
      <c r="M695" s="39" t="s">
        <v>2131</v>
      </c>
      <c r="N695" s="39" t="s">
        <v>2132</v>
      </c>
      <c r="O695" s="39" t="s">
        <v>106</v>
      </c>
      <c r="P695" s="39" t="s">
        <v>65</v>
      </c>
      <c r="Q695" s="40">
        <f>6100*0.7</f>
        <v>4270</v>
      </c>
      <c r="R695" s="40">
        <v>4708.3963783867839</v>
      </c>
    </row>
    <row r="696" spans="1:18" s="39" customFormat="1" ht="31.25" customHeight="1" x14ac:dyDescent="0.2">
      <c r="A696" s="39" t="s">
        <v>2148</v>
      </c>
      <c r="B696" s="39" t="s">
        <v>65</v>
      </c>
      <c r="C696" s="60" t="s">
        <v>177</v>
      </c>
      <c r="D696" s="39" t="s">
        <v>121</v>
      </c>
      <c r="E696" s="39" t="s">
        <v>172</v>
      </c>
      <c r="F696" s="39" t="s">
        <v>2149</v>
      </c>
      <c r="G696" s="39" t="s">
        <v>125</v>
      </c>
      <c r="H696" s="39" t="s">
        <v>1441</v>
      </c>
      <c r="I696" s="39" t="s">
        <v>153</v>
      </c>
      <c r="L696" s="39" t="s">
        <v>112</v>
      </c>
      <c r="M696" s="39" t="s">
        <v>2131</v>
      </c>
      <c r="N696" s="39" t="s">
        <v>2132</v>
      </c>
      <c r="O696" s="39" t="s">
        <v>52</v>
      </c>
      <c r="P696" s="39" t="s">
        <v>65</v>
      </c>
      <c r="Q696" s="40">
        <f>8100*0.3</f>
        <v>2430</v>
      </c>
      <c r="R696" s="40">
        <v>2679.4855268102774</v>
      </c>
    </row>
    <row r="697" spans="1:18" s="39" customFormat="1" ht="31.25" customHeight="1" x14ac:dyDescent="0.2">
      <c r="A697" s="39" t="s">
        <v>2150</v>
      </c>
      <c r="B697" s="39" t="s">
        <v>65</v>
      </c>
      <c r="C697" s="60" t="s">
        <v>177</v>
      </c>
      <c r="D697" s="39" t="s">
        <v>121</v>
      </c>
      <c r="E697" s="39" t="s">
        <v>172</v>
      </c>
      <c r="F697" s="39" t="s">
        <v>2149</v>
      </c>
      <c r="G697" s="39" t="s">
        <v>125</v>
      </c>
      <c r="H697" s="39" t="s">
        <v>1441</v>
      </c>
      <c r="I697" s="39" t="s">
        <v>153</v>
      </c>
      <c r="L697" s="39" t="s">
        <v>113</v>
      </c>
      <c r="M697" s="39" t="s">
        <v>2131</v>
      </c>
      <c r="N697" s="39" t="s">
        <v>2132</v>
      </c>
      <c r="O697" s="39" t="s">
        <v>106</v>
      </c>
      <c r="P697" s="39" t="s">
        <v>65</v>
      </c>
      <c r="Q697" s="40">
        <f>8100*0.7</f>
        <v>5670</v>
      </c>
      <c r="R697" s="40">
        <v>6252.1328958906479</v>
      </c>
    </row>
    <row r="698" spans="1:18" s="39" customFormat="1" ht="31.25" customHeight="1" x14ac:dyDescent="0.2">
      <c r="A698" s="39" t="s">
        <v>2151</v>
      </c>
      <c r="B698" s="39" t="s">
        <v>65</v>
      </c>
      <c r="C698" s="39" t="s">
        <v>226</v>
      </c>
      <c r="D698" s="39" t="s">
        <v>137</v>
      </c>
      <c r="E698" s="39" t="s">
        <v>133</v>
      </c>
      <c r="F698" s="39" t="s">
        <v>2152</v>
      </c>
      <c r="G698" s="39" t="s">
        <v>125</v>
      </c>
      <c r="L698" s="39" t="s">
        <v>114</v>
      </c>
      <c r="M698" s="39" t="s">
        <v>2131</v>
      </c>
      <c r="N698" s="39" t="s">
        <v>2132</v>
      </c>
      <c r="O698" s="39" t="s">
        <v>52</v>
      </c>
      <c r="P698" s="39" t="s">
        <v>65</v>
      </c>
      <c r="Q698" s="40">
        <f>10900</f>
        <v>10900</v>
      </c>
      <c r="R698" s="40">
        <v>12019.091457708651</v>
      </c>
    </row>
    <row r="699" spans="1:18" s="39" customFormat="1" ht="31.25" customHeight="1" x14ac:dyDescent="0.2">
      <c r="A699" s="39" t="s">
        <v>2153</v>
      </c>
      <c r="B699" s="39" t="s">
        <v>65</v>
      </c>
      <c r="C699" s="60" t="s">
        <v>177</v>
      </c>
      <c r="D699" s="39" t="s">
        <v>137</v>
      </c>
      <c r="E699" s="39" t="s">
        <v>133</v>
      </c>
      <c r="F699" s="39" t="s">
        <v>2154</v>
      </c>
      <c r="G699" s="39" t="s">
        <v>125</v>
      </c>
      <c r="L699" s="39" t="s">
        <v>115</v>
      </c>
      <c r="M699" s="39" t="s">
        <v>2131</v>
      </c>
      <c r="N699" s="39" t="s">
        <v>2132</v>
      </c>
      <c r="O699" s="39" t="s">
        <v>52</v>
      </c>
      <c r="P699" s="39" t="s">
        <v>65</v>
      </c>
      <c r="Q699" s="40">
        <f>2000*0.3</f>
        <v>600</v>
      </c>
      <c r="R699" s="40">
        <v>661.60136464451296</v>
      </c>
    </row>
    <row r="700" spans="1:18" s="39" customFormat="1" ht="31.25" customHeight="1" x14ac:dyDescent="0.2">
      <c r="A700" s="39" t="s">
        <v>2155</v>
      </c>
      <c r="B700" s="39" t="s">
        <v>65</v>
      </c>
      <c r="C700" s="60" t="s">
        <v>177</v>
      </c>
      <c r="D700" s="39" t="s">
        <v>137</v>
      </c>
      <c r="E700" s="39" t="s">
        <v>133</v>
      </c>
      <c r="F700" s="39" t="s">
        <v>2154</v>
      </c>
      <c r="G700" s="39" t="s">
        <v>125</v>
      </c>
      <c r="L700" s="39" t="s">
        <v>116</v>
      </c>
      <c r="M700" s="39" t="s">
        <v>2131</v>
      </c>
      <c r="N700" s="39" t="s">
        <v>2132</v>
      </c>
      <c r="O700" s="39" t="s">
        <v>106</v>
      </c>
      <c r="P700" s="39" t="s">
        <v>65</v>
      </c>
      <c r="Q700" s="40">
        <f>2000*0.7</f>
        <v>1400</v>
      </c>
      <c r="R700" s="40">
        <v>1543.7365175038635</v>
      </c>
    </row>
    <row r="701" spans="1:18" s="39" customFormat="1" ht="31.25" customHeight="1" x14ac:dyDescent="0.2">
      <c r="A701" s="39" t="s">
        <v>2156</v>
      </c>
      <c r="B701" s="39" t="s">
        <v>65</v>
      </c>
      <c r="C701" s="39" t="s">
        <v>132</v>
      </c>
      <c r="D701" s="39" t="s">
        <v>137</v>
      </c>
      <c r="E701" s="39" t="s">
        <v>133</v>
      </c>
      <c r="G701" s="39" t="s">
        <v>323</v>
      </c>
      <c r="H701" s="39" t="s">
        <v>125</v>
      </c>
      <c r="L701" s="39" t="s">
        <v>2157</v>
      </c>
      <c r="M701" s="39" t="s">
        <v>2131</v>
      </c>
      <c r="O701" s="39" t="s">
        <v>52</v>
      </c>
      <c r="P701" s="39" t="s">
        <v>65</v>
      </c>
      <c r="Q701" s="40">
        <v>0</v>
      </c>
      <c r="R701" s="40">
        <v>0</v>
      </c>
    </row>
    <row r="702" spans="1:18" s="39" customFormat="1" ht="31.25" customHeight="1" x14ac:dyDescent="0.2">
      <c r="A702" s="39" t="s">
        <v>2158</v>
      </c>
      <c r="B702" s="39" t="s">
        <v>65</v>
      </c>
      <c r="C702" s="39" t="s">
        <v>120</v>
      </c>
      <c r="D702" s="39" t="s">
        <v>137</v>
      </c>
      <c r="E702" s="39" t="s">
        <v>133</v>
      </c>
      <c r="F702" s="39" t="s">
        <v>2159</v>
      </c>
      <c r="L702" s="39" t="s">
        <v>2160</v>
      </c>
      <c r="M702" s="39" t="s">
        <v>2161</v>
      </c>
      <c r="O702" s="39" t="s">
        <v>55</v>
      </c>
      <c r="P702" s="39" t="s">
        <v>65</v>
      </c>
      <c r="Q702" s="40">
        <v>240000</v>
      </c>
      <c r="R702" s="40">
        <v>264640.54585780518</v>
      </c>
    </row>
    <row r="703" spans="1:18" s="39" customFormat="1" ht="31.25" customHeight="1" x14ac:dyDescent="0.2">
      <c r="A703" s="39" t="s">
        <v>2162</v>
      </c>
      <c r="B703" s="39" t="s">
        <v>65</v>
      </c>
      <c r="C703" s="39" t="s">
        <v>120</v>
      </c>
      <c r="D703" s="39" t="s">
        <v>137</v>
      </c>
      <c r="E703" s="39" t="s">
        <v>133</v>
      </c>
      <c r="F703" s="39" t="s">
        <v>2163</v>
      </c>
      <c r="L703" s="39" t="s">
        <v>2164</v>
      </c>
      <c r="M703" s="39" t="s">
        <v>2161</v>
      </c>
      <c r="O703" s="39" t="s">
        <v>55</v>
      </c>
      <c r="P703" s="39" t="s">
        <v>65</v>
      </c>
      <c r="Q703" s="40">
        <v>200000</v>
      </c>
      <c r="R703" s="40">
        <v>220533.78821483767</v>
      </c>
    </row>
    <row r="704" spans="1:18" s="39" customFormat="1" ht="31.25" customHeight="1" x14ac:dyDescent="0.2">
      <c r="A704" s="39" t="s">
        <v>2165</v>
      </c>
      <c r="B704" s="39" t="s">
        <v>65</v>
      </c>
      <c r="C704" s="39" t="s">
        <v>120</v>
      </c>
      <c r="D704" s="39" t="s">
        <v>137</v>
      </c>
      <c r="E704" s="39" t="s">
        <v>133</v>
      </c>
      <c r="F704" s="39" t="s">
        <v>2159</v>
      </c>
      <c r="L704" s="39" t="s">
        <v>2166</v>
      </c>
      <c r="M704" s="39" t="s">
        <v>2161</v>
      </c>
      <c r="O704" s="39" t="s">
        <v>55</v>
      </c>
      <c r="P704" s="39" t="s">
        <v>65</v>
      </c>
      <c r="Q704" s="40">
        <v>240000</v>
      </c>
      <c r="R704" s="40">
        <v>264640.54585780518</v>
      </c>
    </row>
    <row r="705" spans="1:18" s="39" customFormat="1" ht="31.25" customHeight="1" x14ac:dyDescent="0.2">
      <c r="A705" s="50" t="s">
        <v>2167</v>
      </c>
      <c r="B705" s="50" t="s">
        <v>65</v>
      </c>
      <c r="C705" s="50" t="s">
        <v>280</v>
      </c>
      <c r="D705" s="50" t="s">
        <v>2168</v>
      </c>
      <c r="E705" s="50" t="s">
        <v>133</v>
      </c>
      <c r="F705" s="50" t="s">
        <v>2169</v>
      </c>
      <c r="G705" s="50" t="s">
        <v>125</v>
      </c>
      <c r="H705" s="50" t="s">
        <v>162</v>
      </c>
      <c r="I705" s="50" t="s">
        <v>152</v>
      </c>
      <c r="J705" s="50"/>
      <c r="K705" s="50"/>
      <c r="L705" s="50" t="s">
        <v>2170</v>
      </c>
      <c r="M705" s="50" t="s">
        <v>2171</v>
      </c>
      <c r="N705" s="50"/>
      <c r="O705" s="50" t="s">
        <v>52</v>
      </c>
      <c r="P705" s="50" t="s">
        <v>65</v>
      </c>
      <c r="Q705" s="97">
        <v>1000</v>
      </c>
      <c r="R705" s="40">
        <v>1102.6689410741883</v>
      </c>
    </row>
    <row r="706" spans="1:18" s="39" customFormat="1" ht="31.25" customHeight="1" x14ac:dyDescent="0.2">
      <c r="A706" s="39" t="s">
        <v>2172</v>
      </c>
      <c r="B706" s="39" t="s">
        <v>66</v>
      </c>
      <c r="C706" s="39" t="s">
        <v>120</v>
      </c>
      <c r="D706" s="39" t="s">
        <v>121</v>
      </c>
      <c r="E706" s="39" t="s">
        <v>166</v>
      </c>
      <c r="F706" s="39" t="s">
        <v>2173</v>
      </c>
      <c r="G706" s="39" t="s">
        <v>125</v>
      </c>
      <c r="H706" s="39" t="s">
        <v>162</v>
      </c>
      <c r="L706" s="39" t="s">
        <v>2174</v>
      </c>
      <c r="M706" s="39" t="s">
        <v>2175</v>
      </c>
      <c r="O706" s="39" t="s">
        <v>52</v>
      </c>
      <c r="P706" s="39" t="s">
        <v>65</v>
      </c>
      <c r="Q706" s="152">
        <v>45</v>
      </c>
      <c r="R706" s="40">
        <v>49.62010234833847</v>
      </c>
    </row>
    <row r="707" spans="1:18" s="39" customFormat="1" ht="31.25" customHeight="1" x14ac:dyDescent="0.2">
      <c r="A707" s="39" t="s">
        <v>2176</v>
      </c>
      <c r="B707" s="39" t="s">
        <v>66</v>
      </c>
      <c r="C707" s="39" t="s">
        <v>280</v>
      </c>
      <c r="D707" s="39" t="s">
        <v>121</v>
      </c>
      <c r="E707" s="39" t="s">
        <v>151</v>
      </c>
      <c r="F707" s="39" t="s">
        <v>2177</v>
      </c>
      <c r="G707" s="39" t="s">
        <v>125</v>
      </c>
      <c r="H707" s="39" t="s">
        <v>162</v>
      </c>
      <c r="L707" s="39" t="s">
        <v>2178</v>
      </c>
      <c r="O707" s="39" t="s">
        <v>52</v>
      </c>
      <c r="P707" s="39" t="s">
        <v>65</v>
      </c>
      <c r="Q707" s="152">
        <f>20+20</f>
        <v>40</v>
      </c>
      <c r="R707" s="40">
        <v>44.10675764296753</v>
      </c>
    </row>
    <row r="708" spans="1:18" s="39" customFormat="1" ht="31.25" customHeight="1" x14ac:dyDescent="0.2">
      <c r="A708" s="39" t="s">
        <v>2179</v>
      </c>
      <c r="B708" s="39" t="s">
        <v>66</v>
      </c>
      <c r="C708" s="39" t="s">
        <v>120</v>
      </c>
      <c r="D708" s="39" t="s">
        <v>121</v>
      </c>
      <c r="E708" s="39" t="s">
        <v>292</v>
      </c>
      <c r="F708" s="39" t="s">
        <v>2180</v>
      </c>
      <c r="G708" s="39" t="s">
        <v>134</v>
      </c>
      <c r="H708" s="39" t="s">
        <v>153</v>
      </c>
      <c r="L708" s="39" t="s">
        <v>2181</v>
      </c>
      <c r="O708" s="39" t="s">
        <v>52</v>
      </c>
      <c r="P708" s="39" t="s">
        <v>65</v>
      </c>
      <c r="Q708" s="152">
        <v>33.9</v>
      </c>
      <c r="R708" s="40">
        <v>37.380477102414979</v>
      </c>
    </row>
    <row r="709" spans="1:18" s="39" customFormat="1" ht="31.25" customHeight="1" x14ac:dyDescent="0.2">
      <c r="A709" s="39" t="s">
        <v>2182</v>
      </c>
      <c r="B709" s="39" t="s">
        <v>66</v>
      </c>
      <c r="C709" s="39" t="s">
        <v>177</v>
      </c>
      <c r="D709" s="39" t="s">
        <v>121</v>
      </c>
      <c r="E709" s="39" t="s">
        <v>166</v>
      </c>
      <c r="F709" s="39" t="s">
        <v>2183</v>
      </c>
      <c r="G709" s="39" t="s">
        <v>125</v>
      </c>
      <c r="H709" s="39" t="s">
        <v>134</v>
      </c>
      <c r="L709" s="39" t="s">
        <v>2184</v>
      </c>
      <c r="M709" s="76" t="s">
        <v>2185</v>
      </c>
      <c r="O709" s="39" t="s">
        <v>53</v>
      </c>
      <c r="P709" s="39" t="s">
        <v>65</v>
      </c>
      <c r="Q709" s="152">
        <v>5</v>
      </c>
      <c r="R709" s="40">
        <v>5.5133447053709412</v>
      </c>
    </row>
    <row r="710" spans="1:18" s="39" customFormat="1" ht="31.25" customHeight="1" x14ac:dyDescent="0.2">
      <c r="A710" s="39" t="s">
        <v>2186</v>
      </c>
      <c r="B710" s="39" t="s">
        <v>66</v>
      </c>
      <c r="C710" s="39" t="s">
        <v>120</v>
      </c>
      <c r="D710" s="39" t="s">
        <v>121</v>
      </c>
      <c r="E710" s="39" t="s">
        <v>251</v>
      </c>
      <c r="F710" s="39" t="s">
        <v>2187</v>
      </c>
      <c r="G710" s="39" t="s">
        <v>125</v>
      </c>
      <c r="H710" s="39" t="s">
        <v>162</v>
      </c>
      <c r="L710" s="39" t="s">
        <v>2188</v>
      </c>
      <c r="O710" s="39" t="s">
        <v>52</v>
      </c>
      <c r="P710" s="39" t="s">
        <v>65</v>
      </c>
      <c r="Q710" s="152">
        <v>118</v>
      </c>
      <c r="R710" s="40">
        <v>130.11493504675423</v>
      </c>
    </row>
    <row r="711" spans="1:18" s="39" customFormat="1" ht="31.25" customHeight="1" x14ac:dyDescent="0.2">
      <c r="A711" s="39" t="s">
        <v>2189</v>
      </c>
      <c r="B711" s="39" t="s">
        <v>66</v>
      </c>
      <c r="C711" s="39" t="s">
        <v>120</v>
      </c>
      <c r="D711" s="39" t="s">
        <v>121</v>
      </c>
      <c r="E711" s="39" t="s">
        <v>251</v>
      </c>
      <c r="F711" s="39" t="s">
        <v>2190</v>
      </c>
      <c r="G711" s="39" t="s">
        <v>125</v>
      </c>
      <c r="H711" s="39" t="s">
        <v>162</v>
      </c>
      <c r="L711" s="39" t="s">
        <v>2191</v>
      </c>
      <c r="O711" s="39" t="s">
        <v>52</v>
      </c>
      <c r="P711" s="39" t="s">
        <v>65</v>
      </c>
      <c r="Q711" s="152">
        <v>755.8</v>
      </c>
      <c r="R711" s="40">
        <v>833.39718566387148</v>
      </c>
    </row>
    <row r="712" spans="1:18" s="39" customFormat="1" ht="31.25" customHeight="1" x14ac:dyDescent="0.2">
      <c r="A712" s="39" t="s">
        <v>2192</v>
      </c>
      <c r="B712" s="39" t="s">
        <v>66</v>
      </c>
      <c r="C712" s="39" t="s">
        <v>120</v>
      </c>
      <c r="D712" s="39" t="s">
        <v>121</v>
      </c>
      <c r="E712" s="39" t="s">
        <v>251</v>
      </c>
      <c r="F712" s="39" t="s">
        <v>2193</v>
      </c>
      <c r="G712" s="39" t="s">
        <v>125</v>
      </c>
      <c r="H712" s="39" t="s">
        <v>162</v>
      </c>
      <c r="L712" s="39" t="s">
        <v>2194</v>
      </c>
      <c r="O712" s="39" t="s">
        <v>52</v>
      </c>
      <c r="P712" s="39" t="s">
        <v>65</v>
      </c>
      <c r="Q712" s="152">
        <v>2.5</v>
      </c>
      <c r="R712" s="40">
        <v>2.7566723526854706</v>
      </c>
    </row>
    <row r="713" spans="1:18" s="39" customFormat="1" ht="31.25" customHeight="1" x14ac:dyDescent="0.2">
      <c r="A713" s="39" t="s">
        <v>2195</v>
      </c>
      <c r="B713" s="39" t="s">
        <v>66</v>
      </c>
      <c r="C713" s="39" t="s">
        <v>120</v>
      </c>
      <c r="D713" s="39" t="s">
        <v>137</v>
      </c>
      <c r="E713" s="39" t="s">
        <v>133</v>
      </c>
      <c r="F713" s="39" t="s">
        <v>2196</v>
      </c>
      <c r="G713" s="39" t="s">
        <v>158</v>
      </c>
      <c r="L713" s="39" t="s">
        <v>2197</v>
      </c>
      <c r="M713" s="39" t="s">
        <v>2198</v>
      </c>
      <c r="O713" s="39" t="s">
        <v>53</v>
      </c>
      <c r="P713" s="39" t="s">
        <v>65</v>
      </c>
      <c r="Q713" s="152">
        <v>100</v>
      </c>
      <c r="R713" s="40">
        <v>110.26689410741884</v>
      </c>
    </row>
    <row r="714" spans="1:18" s="39" customFormat="1" ht="31.25" customHeight="1" x14ac:dyDescent="0.2">
      <c r="A714" s="39" t="s">
        <v>2199</v>
      </c>
      <c r="B714" s="39" t="s">
        <v>66</v>
      </c>
      <c r="C714" s="39" t="s">
        <v>120</v>
      </c>
      <c r="D714" s="39" t="s">
        <v>121</v>
      </c>
      <c r="E714" s="39" t="s">
        <v>147</v>
      </c>
      <c r="F714" s="39" t="s">
        <v>288</v>
      </c>
      <c r="G714" s="39" t="s">
        <v>125</v>
      </c>
      <c r="H714" s="39" t="s">
        <v>162</v>
      </c>
      <c r="L714" s="39" t="s">
        <v>2200</v>
      </c>
      <c r="M714" s="39" t="s">
        <v>2201</v>
      </c>
      <c r="O714" s="39" t="s">
        <v>52</v>
      </c>
      <c r="P714" s="39" t="s">
        <v>65</v>
      </c>
      <c r="Q714" s="152">
        <v>300</v>
      </c>
      <c r="R714" s="40">
        <v>330.80068232225648</v>
      </c>
    </row>
    <row r="715" spans="1:18" s="39" customFormat="1" ht="31.25" customHeight="1" x14ac:dyDescent="0.2">
      <c r="A715" s="39" t="s">
        <v>2202</v>
      </c>
      <c r="B715" s="39" t="s">
        <v>66</v>
      </c>
      <c r="C715" s="39" t="s">
        <v>120</v>
      </c>
      <c r="D715" s="39" t="s">
        <v>121</v>
      </c>
      <c r="E715" s="39" t="s">
        <v>133</v>
      </c>
      <c r="F715" s="39" t="s">
        <v>2203</v>
      </c>
      <c r="G715" s="39" t="s">
        <v>134</v>
      </c>
      <c r="H715" s="39" t="s">
        <v>125</v>
      </c>
      <c r="L715" s="39" t="s">
        <v>2204</v>
      </c>
      <c r="M715" s="76" t="s">
        <v>2205</v>
      </c>
      <c r="O715" s="39" t="s">
        <v>52</v>
      </c>
      <c r="P715" s="39" t="s">
        <v>65</v>
      </c>
      <c r="Q715" s="152">
        <v>20</v>
      </c>
      <c r="R715" s="40">
        <v>22.053378821483765</v>
      </c>
    </row>
    <row r="716" spans="1:18" s="39" customFormat="1" ht="31.25" customHeight="1" x14ac:dyDescent="0.2">
      <c r="A716" s="39" t="s">
        <v>2206</v>
      </c>
      <c r="B716" s="39" t="s">
        <v>66</v>
      </c>
      <c r="C716" s="39" t="s">
        <v>120</v>
      </c>
      <c r="D716" s="39" t="s">
        <v>137</v>
      </c>
      <c r="E716" s="39" t="s">
        <v>133</v>
      </c>
      <c r="F716" s="39" t="s">
        <v>2207</v>
      </c>
      <c r="G716" s="39" t="s">
        <v>323</v>
      </c>
      <c r="H716" s="39" t="s">
        <v>158</v>
      </c>
      <c r="L716" s="39" t="s">
        <v>2208</v>
      </c>
      <c r="M716" s="39" t="s">
        <v>2209</v>
      </c>
      <c r="O716" s="39" t="s">
        <v>52</v>
      </c>
      <c r="P716" s="39" t="s">
        <v>65</v>
      </c>
      <c r="Q716" s="152">
        <v>1</v>
      </c>
      <c r="R716" s="40">
        <v>1.1026689410741883</v>
      </c>
    </row>
    <row r="717" spans="1:18" s="39" customFormat="1" ht="31.25" customHeight="1" x14ac:dyDescent="0.2">
      <c r="A717" s="39" t="s">
        <v>2210</v>
      </c>
      <c r="B717" s="39" t="s">
        <v>66</v>
      </c>
      <c r="C717" s="39" t="s">
        <v>120</v>
      </c>
      <c r="D717" s="39" t="s">
        <v>121</v>
      </c>
      <c r="E717" s="39" t="s">
        <v>151</v>
      </c>
      <c r="F717" s="39" t="s">
        <v>2211</v>
      </c>
      <c r="G717" s="39" t="s">
        <v>125</v>
      </c>
      <c r="H717" s="39" t="s">
        <v>162</v>
      </c>
      <c r="L717" s="39" t="s">
        <v>2212</v>
      </c>
      <c r="M717" s="76" t="s">
        <v>2213</v>
      </c>
      <c r="O717" s="39" t="s">
        <v>52</v>
      </c>
      <c r="P717" s="39" t="s">
        <v>65</v>
      </c>
      <c r="Q717" s="152">
        <v>3</v>
      </c>
      <c r="R717" s="40">
        <v>3.308006823222565</v>
      </c>
    </row>
    <row r="718" spans="1:18" s="39" customFormat="1" ht="31.25" customHeight="1" x14ac:dyDescent="0.2">
      <c r="A718" s="39" t="s">
        <v>2214</v>
      </c>
      <c r="B718" s="39" t="s">
        <v>66</v>
      </c>
      <c r="C718" s="39" t="s">
        <v>120</v>
      </c>
      <c r="D718" s="39" t="s">
        <v>121</v>
      </c>
      <c r="E718" s="39" t="s">
        <v>151</v>
      </c>
      <c r="F718" s="39" t="s">
        <v>2215</v>
      </c>
      <c r="G718" s="39" t="s">
        <v>153</v>
      </c>
      <c r="H718" s="39" t="s">
        <v>125</v>
      </c>
      <c r="L718" s="39" t="s">
        <v>2216</v>
      </c>
      <c r="M718" s="76" t="s">
        <v>2217</v>
      </c>
      <c r="O718" s="39" t="s">
        <v>52</v>
      </c>
      <c r="P718" s="39" t="s">
        <v>65</v>
      </c>
      <c r="Q718" s="152">
        <v>10</v>
      </c>
      <c r="R718" s="40">
        <v>11.026689410741882</v>
      </c>
    </row>
    <row r="719" spans="1:18" s="39" customFormat="1" ht="31.25" customHeight="1" x14ac:dyDescent="0.2">
      <c r="A719" s="39" t="s">
        <v>2218</v>
      </c>
      <c r="B719" s="39" t="s">
        <v>66</v>
      </c>
      <c r="C719" s="39" t="s">
        <v>188</v>
      </c>
      <c r="D719" s="39" t="s">
        <v>121</v>
      </c>
      <c r="E719" s="39" t="s">
        <v>166</v>
      </c>
      <c r="F719" s="39" t="s">
        <v>2219</v>
      </c>
      <c r="G719" s="39" t="s">
        <v>125</v>
      </c>
      <c r="H719" s="39" t="s">
        <v>162</v>
      </c>
      <c r="L719" s="39" t="s">
        <v>2220</v>
      </c>
      <c r="O719" s="39" t="s">
        <v>53</v>
      </c>
      <c r="P719" s="39" t="s">
        <v>65</v>
      </c>
      <c r="Q719" s="152">
        <v>0.8</v>
      </c>
      <c r="R719" s="40">
        <v>0.88213515285935062</v>
      </c>
    </row>
    <row r="720" spans="1:18" s="39" customFormat="1" ht="31.25" customHeight="1" x14ac:dyDescent="0.2">
      <c r="A720" s="39" t="s">
        <v>2221</v>
      </c>
      <c r="B720" s="39" t="s">
        <v>66</v>
      </c>
      <c r="C720" s="39" t="s">
        <v>120</v>
      </c>
      <c r="E720" s="39" t="s">
        <v>166</v>
      </c>
      <c r="F720" s="39" t="s">
        <v>2222</v>
      </c>
      <c r="G720" s="39" t="s">
        <v>125</v>
      </c>
      <c r="H720" s="39" t="s">
        <v>162</v>
      </c>
      <c r="L720" s="39" t="s">
        <v>2223</v>
      </c>
      <c r="O720" s="39" t="s">
        <v>53</v>
      </c>
      <c r="P720" s="39" t="s">
        <v>65</v>
      </c>
      <c r="Q720" s="152">
        <v>340</v>
      </c>
      <c r="R720" s="40">
        <v>374.907439965224</v>
      </c>
    </row>
    <row r="721" spans="1:18" s="39" customFormat="1" ht="31.25" customHeight="1" x14ac:dyDescent="0.2">
      <c r="A721" s="39" t="s">
        <v>2224</v>
      </c>
      <c r="B721" s="39" t="s">
        <v>66</v>
      </c>
      <c r="C721" s="39" t="s">
        <v>120</v>
      </c>
      <c r="E721" s="39" t="s">
        <v>166</v>
      </c>
      <c r="F721" s="39" t="s">
        <v>2225</v>
      </c>
      <c r="G721" s="39" t="s">
        <v>125</v>
      </c>
      <c r="H721" s="39" t="s">
        <v>162</v>
      </c>
      <c r="L721" s="39" t="s">
        <v>2226</v>
      </c>
      <c r="O721" s="39" t="s">
        <v>53</v>
      </c>
      <c r="P721" s="39" t="s">
        <v>65</v>
      </c>
      <c r="Q721" s="152">
        <v>2</v>
      </c>
      <c r="R721" s="40">
        <v>2.2053378821483767</v>
      </c>
    </row>
    <row r="722" spans="1:18" s="39" customFormat="1" ht="31.25" customHeight="1" x14ac:dyDescent="0.2">
      <c r="A722" s="39" t="s">
        <v>2227</v>
      </c>
      <c r="B722" s="39" t="s">
        <v>66</v>
      </c>
      <c r="C722" s="39" t="s">
        <v>120</v>
      </c>
      <c r="E722" s="39" t="s">
        <v>166</v>
      </c>
      <c r="F722" s="39" t="s">
        <v>2228</v>
      </c>
      <c r="G722" s="39" t="s">
        <v>125</v>
      </c>
      <c r="H722" s="39" t="s">
        <v>162</v>
      </c>
      <c r="L722" s="39" t="s">
        <v>2229</v>
      </c>
      <c r="O722" s="39" t="s">
        <v>53</v>
      </c>
      <c r="P722" s="39" t="s">
        <v>65</v>
      </c>
      <c r="Q722" s="152">
        <v>8</v>
      </c>
      <c r="R722" s="40">
        <v>8.8213515285935067</v>
      </c>
    </row>
    <row r="723" spans="1:18" s="39" customFormat="1" ht="31.25" customHeight="1" x14ac:dyDescent="0.2">
      <c r="A723" s="39" t="s">
        <v>2230</v>
      </c>
      <c r="B723" s="39" t="s">
        <v>66</v>
      </c>
      <c r="C723" s="39" t="s">
        <v>120</v>
      </c>
      <c r="E723" s="39" t="s">
        <v>166</v>
      </c>
      <c r="F723" s="39" t="s">
        <v>2231</v>
      </c>
      <c r="G723" s="39" t="s">
        <v>125</v>
      </c>
      <c r="H723" s="39" t="s">
        <v>162</v>
      </c>
      <c r="L723" s="39" t="s">
        <v>2232</v>
      </c>
      <c r="M723" s="76" t="s">
        <v>2233</v>
      </c>
      <c r="O723" s="39" t="s">
        <v>53</v>
      </c>
      <c r="P723" s="39" t="s">
        <v>65</v>
      </c>
      <c r="Q723" s="152">
        <v>12</v>
      </c>
      <c r="R723" s="40">
        <v>13.23202729289026</v>
      </c>
    </row>
    <row r="724" spans="1:18" s="39" customFormat="1" ht="31.25" customHeight="1" x14ac:dyDescent="0.2">
      <c r="A724" s="39" t="s">
        <v>2234</v>
      </c>
      <c r="B724" s="39" t="s">
        <v>66</v>
      </c>
      <c r="C724" s="39" t="s">
        <v>120</v>
      </c>
      <c r="D724" s="39" t="s">
        <v>121</v>
      </c>
      <c r="E724" s="39" t="s">
        <v>734</v>
      </c>
      <c r="F724" s="39" t="s">
        <v>2235</v>
      </c>
      <c r="G724" s="39" t="s">
        <v>125</v>
      </c>
      <c r="H724" s="39" t="s">
        <v>162</v>
      </c>
      <c r="L724" s="39" t="s">
        <v>2236</v>
      </c>
      <c r="M724" s="39" t="s">
        <v>2237</v>
      </c>
      <c r="O724" s="39" t="s">
        <v>54</v>
      </c>
      <c r="P724" s="39" t="s">
        <v>65</v>
      </c>
      <c r="Q724" s="152">
        <v>24.8</v>
      </c>
      <c r="R724" s="40">
        <v>27.346189738639872</v>
      </c>
    </row>
    <row r="725" spans="1:18" s="39" customFormat="1" ht="31.25" customHeight="1" x14ac:dyDescent="0.2">
      <c r="A725" s="39" t="s">
        <v>2238</v>
      </c>
      <c r="B725" s="39" t="s">
        <v>66</v>
      </c>
      <c r="C725" s="39" t="s">
        <v>280</v>
      </c>
      <c r="D725" s="39" t="s">
        <v>121</v>
      </c>
      <c r="E725" s="39" t="s">
        <v>734</v>
      </c>
      <c r="F725" s="39" t="s">
        <v>2239</v>
      </c>
      <c r="G725" s="39" t="s">
        <v>125</v>
      </c>
      <c r="H725" s="39" t="s">
        <v>162</v>
      </c>
      <c r="L725" s="39" t="s">
        <v>2240</v>
      </c>
      <c r="M725" s="39" t="s">
        <v>2237</v>
      </c>
      <c r="O725" s="39" t="s">
        <v>53</v>
      </c>
      <c r="P725" s="39" t="s">
        <v>65</v>
      </c>
      <c r="Q725" s="152">
        <v>20.75</v>
      </c>
      <c r="R725" s="40">
        <v>22.880380527289407</v>
      </c>
    </row>
    <row r="726" spans="1:18" s="39" customFormat="1" ht="31.25" customHeight="1" x14ac:dyDescent="0.2">
      <c r="A726" s="39" t="s">
        <v>2241</v>
      </c>
      <c r="B726" s="39" t="s">
        <v>66</v>
      </c>
      <c r="C726" s="39" t="s">
        <v>120</v>
      </c>
      <c r="D726" s="39" t="s">
        <v>121</v>
      </c>
      <c r="E726" s="39" t="s">
        <v>122</v>
      </c>
      <c r="F726" s="39" t="s">
        <v>2242</v>
      </c>
      <c r="G726" s="39" t="s">
        <v>125</v>
      </c>
      <c r="H726" s="39" t="s">
        <v>162</v>
      </c>
      <c r="L726" s="39" t="s">
        <v>2243</v>
      </c>
      <c r="M726" s="39" t="s">
        <v>2237</v>
      </c>
      <c r="O726" s="39" t="s">
        <v>54</v>
      </c>
      <c r="P726" s="39" t="s">
        <v>65</v>
      </c>
      <c r="Q726" s="152">
        <v>2.9</v>
      </c>
      <c r="R726" s="40">
        <v>3.197739929115146</v>
      </c>
    </row>
    <row r="727" spans="1:18" s="39" customFormat="1" ht="31.25" customHeight="1" x14ac:dyDescent="0.2">
      <c r="A727" s="39" t="s">
        <v>2244</v>
      </c>
      <c r="B727" s="39" t="s">
        <v>66</v>
      </c>
      <c r="C727" s="39" t="s">
        <v>120</v>
      </c>
      <c r="D727" s="39" t="s">
        <v>121</v>
      </c>
      <c r="E727" s="39" t="s">
        <v>147</v>
      </c>
      <c r="F727" s="39" t="s">
        <v>2215</v>
      </c>
      <c r="G727" s="39" t="s">
        <v>125</v>
      </c>
      <c r="H727" s="39" t="s">
        <v>162</v>
      </c>
      <c r="L727" s="39" t="s">
        <v>2245</v>
      </c>
      <c r="M727" s="39" t="s">
        <v>2237</v>
      </c>
      <c r="O727" s="39" t="s">
        <v>52</v>
      </c>
      <c r="P727" s="39" t="s">
        <v>65</v>
      </c>
      <c r="Q727" s="152">
        <v>10</v>
      </c>
      <c r="R727" s="40">
        <v>11.026689410741882</v>
      </c>
    </row>
    <row r="728" spans="1:18" s="39" customFormat="1" ht="31.25" customHeight="1" x14ac:dyDescent="0.2">
      <c r="A728" s="39" t="s">
        <v>2246</v>
      </c>
      <c r="B728" s="39" t="s">
        <v>66</v>
      </c>
      <c r="C728" s="39" t="s">
        <v>280</v>
      </c>
      <c r="D728" s="39" t="s">
        <v>137</v>
      </c>
      <c r="E728" s="39" t="s">
        <v>151</v>
      </c>
      <c r="F728" s="39" t="s">
        <v>2203</v>
      </c>
      <c r="G728" s="39" t="s">
        <v>125</v>
      </c>
      <c r="H728" s="39" t="s">
        <v>162</v>
      </c>
      <c r="I728" s="39" t="s">
        <v>158</v>
      </c>
      <c r="L728" s="39" t="s">
        <v>2247</v>
      </c>
      <c r="M728" s="39" t="s">
        <v>2237</v>
      </c>
      <c r="O728" s="39" t="s">
        <v>52</v>
      </c>
      <c r="P728" s="39" t="s">
        <v>65</v>
      </c>
      <c r="Q728" s="152">
        <v>20</v>
      </c>
      <c r="R728" s="40">
        <v>22.053378821483765</v>
      </c>
    </row>
    <row r="729" spans="1:18" s="39" customFormat="1" ht="31.25" customHeight="1" x14ac:dyDescent="0.2">
      <c r="A729" s="39" t="s">
        <v>2248</v>
      </c>
      <c r="B729" s="39" t="s">
        <v>66</v>
      </c>
      <c r="C729" s="39" t="s">
        <v>120</v>
      </c>
      <c r="D729" s="39" t="s">
        <v>121</v>
      </c>
      <c r="E729" s="39" t="s">
        <v>122</v>
      </c>
      <c r="F729" s="39" t="s">
        <v>2249</v>
      </c>
      <c r="G729" s="39" t="s">
        <v>125</v>
      </c>
      <c r="H729" s="39" t="s">
        <v>162</v>
      </c>
      <c r="L729" s="39" t="s">
        <v>2250</v>
      </c>
      <c r="M729" s="39" t="s">
        <v>2237</v>
      </c>
      <c r="N729" s="76" t="s">
        <v>2251</v>
      </c>
      <c r="O729" s="39" t="s">
        <v>54</v>
      </c>
      <c r="P729" s="39" t="s">
        <v>65</v>
      </c>
      <c r="Q729" s="152">
        <v>700</v>
      </c>
      <c r="R729" s="40">
        <v>771.86825875193176</v>
      </c>
    </row>
    <row r="730" spans="1:18" s="39" customFormat="1" ht="31.25" customHeight="1" x14ac:dyDescent="0.2">
      <c r="A730" s="39" t="s">
        <v>2252</v>
      </c>
      <c r="B730" s="50" t="s">
        <v>66</v>
      </c>
      <c r="C730" s="50" t="s">
        <v>120</v>
      </c>
      <c r="D730" s="50" t="s">
        <v>121</v>
      </c>
      <c r="E730" s="50" t="s">
        <v>122</v>
      </c>
      <c r="F730" s="50" t="s">
        <v>2253</v>
      </c>
      <c r="G730" s="50" t="s">
        <v>125</v>
      </c>
      <c r="H730" s="50" t="s">
        <v>162</v>
      </c>
      <c r="I730" s="50"/>
      <c r="J730" s="50"/>
      <c r="K730" s="50"/>
      <c r="L730" s="50" t="s">
        <v>2254</v>
      </c>
      <c r="M730" s="50" t="s">
        <v>2237</v>
      </c>
      <c r="N730" s="145" t="s">
        <v>2255</v>
      </c>
      <c r="O730" s="50" t="s">
        <v>54</v>
      </c>
      <c r="P730" s="50" t="s">
        <v>65</v>
      </c>
      <c r="Q730" s="153">
        <v>599.999999</v>
      </c>
      <c r="R730" s="40">
        <v>661.60136354184408</v>
      </c>
    </row>
    <row r="731" spans="1:18" s="39" customFormat="1" ht="31.25" customHeight="1" x14ac:dyDescent="0.2">
      <c r="A731" s="39" t="s">
        <v>2256</v>
      </c>
      <c r="B731" s="39" t="s">
        <v>66</v>
      </c>
      <c r="C731" s="39" t="s">
        <v>120</v>
      </c>
      <c r="D731" s="39" t="s">
        <v>121</v>
      </c>
      <c r="E731" s="39" t="s">
        <v>151</v>
      </c>
      <c r="F731" s="39" t="s">
        <v>2257</v>
      </c>
      <c r="G731" s="39" t="s">
        <v>125</v>
      </c>
      <c r="H731" s="39" t="s">
        <v>162</v>
      </c>
      <c r="J731" s="39" t="s">
        <v>124</v>
      </c>
      <c r="K731" s="39" t="s">
        <v>5557</v>
      </c>
      <c r="L731" s="39" t="s">
        <v>2258</v>
      </c>
      <c r="M731" s="39" t="s">
        <v>2259</v>
      </c>
      <c r="N731" s="76" t="s">
        <v>2260</v>
      </c>
      <c r="O731" s="39" t="s">
        <v>52</v>
      </c>
      <c r="P731" s="39" t="s">
        <v>65</v>
      </c>
      <c r="Q731" s="152">
        <v>155</v>
      </c>
      <c r="R731" s="40">
        <v>170.91368586649918</v>
      </c>
    </row>
    <row r="732" spans="1:18" s="39" customFormat="1" ht="31.25" customHeight="1" x14ac:dyDescent="0.2">
      <c r="A732" s="39" t="s">
        <v>2261</v>
      </c>
      <c r="B732" s="39" t="s">
        <v>66</v>
      </c>
      <c r="C732" s="39" t="s">
        <v>120</v>
      </c>
      <c r="D732" s="39" t="s">
        <v>121</v>
      </c>
      <c r="E732" s="39" t="s">
        <v>151</v>
      </c>
      <c r="F732" s="39" t="s">
        <v>2257</v>
      </c>
      <c r="G732" s="39" t="s">
        <v>125</v>
      </c>
      <c r="H732" s="39" t="s">
        <v>162</v>
      </c>
      <c r="J732" s="39" t="s">
        <v>124</v>
      </c>
      <c r="K732" s="39" t="s">
        <v>5557</v>
      </c>
      <c r="L732" s="39" t="s">
        <v>2262</v>
      </c>
      <c r="M732" s="76" t="s">
        <v>2259</v>
      </c>
      <c r="N732" s="76" t="s">
        <v>2260</v>
      </c>
      <c r="O732" s="39" t="s">
        <v>52</v>
      </c>
      <c r="P732" s="39" t="s">
        <v>65</v>
      </c>
      <c r="Q732" s="152">
        <v>155</v>
      </c>
      <c r="R732" s="40">
        <v>170.91368586649918</v>
      </c>
    </row>
    <row r="733" spans="1:18" s="39" customFormat="1" ht="31.25" customHeight="1" x14ac:dyDescent="0.2">
      <c r="A733" s="39" t="s">
        <v>2263</v>
      </c>
      <c r="B733" s="39" t="s">
        <v>66</v>
      </c>
      <c r="C733" s="39" t="s">
        <v>120</v>
      </c>
      <c r="D733" s="39" t="s">
        <v>121</v>
      </c>
      <c r="E733" s="39" t="s">
        <v>251</v>
      </c>
      <c r="F733" s="39" t="s">
        <v>2203</v>
      </c>
      <c r="G733" s="39" t="s">
        <v>125</v>
      </c>
      <c r="H733" s="39" t="s">
        <v>162</v>
      </c>
      <c r="J733" s="39" t="s">
        <v>124</v>
      </c>
      <c r="K733" s="39" t="s">
        <v>5557</v>
      </c>
      <c r="L733" s="39" t="s">
        <v>2264</v>
      </c>
      <c r="M733" s="39" t="s">
        <v>2259</v>
      </c>
      <c r="N733" s="76" t="s">
        <v>2260</v>
      </c>
      <c r="O733" s="39" t="s">
        <v>53</v>
      </c>
      <c r="P733" s="39" t="s">
        <v>65</v>
      </c>
      <c r="Q733" s="152">
        <v>20</v>
      </c>
      <c r="R733" s="40">
        <v>22.053378821483765</v>
      </c>
    </row>
    <row r="734" spans="1:18" s="39" customFormat="1" ht="31.25" customHeight="1" x14ac:dyDescent="0.2">
      <c r="A734" s="39" t="s">
        <v>2265</v>
      </c>
      <c r="B734" s="39" t="s">
        <v>66</v>
      </c>
      <c r="C734" s="39" t="s">
        <v>120</v>
      </c>
      <c r="D734" s="39" t="s">
        <v>121</v>
      </c>
      <c r="E734" s="39" t="s">
        <v>251</v>
      </c>
      <c r="F734" s="39" t="s">
        <v>2203</v>
      </c>
      <c r="G734" s="39" t="s">
        <v>125</v>
      </c>
      <c r="H734" s="39" t="s">
        <v>162</v>
      </c>
      <c r="J734" s="39" t="s">
        <v>124</v>
      </c>
      <c r="K734" s="39" t="s">
        <v>5557</v>
      </c>
      <c r="L734" s="39" t="s">
        <v>2266</v>
      </c>
      <c r="M734" s="39" t="s">
        <v>2259</v>
      </c>
      <c r="N734" s="76" t="s">
        <v>2260</v>
      </c>
      <c r="O734" s="39" t="s">
        <v>52</v>
      </c>
      <c r="P734" s="39" t="s">
        <v>65</v>
      </c>
      <c r="Q734" s="152">
        <v>20</v>
      </c>
      <c r="R734" s="40">
        <v>22.053378821483765</v>
      </c>
    </row>
    <row r="735" spans="1:18" s="39" customFormat="1" ht="31.25" customHeight="1" x14ac:dyDescent="0.2">
      <c r="A735" s="39" t="s">
        <v>2267</v>
      </c>
      <c r="B735" s="39" t="s">
        <v>66</v>
      </c>
      <c r="C735" s="39" t="s">
        <v>120</v>
      </c>
      <c r="D735" s="39" t="s">
        <v>121</v>
      </c>
      <c r="E735" s="39" t="s">
        <v>147</v>
      </c>
      <c r="F735" s="39" t="s">
        <v>2268</v>
      </c>
      <c r="G735" s="39" t="s">
        <v>125</v>
      </c>
      <c r="H735" s="39" t="s">
        <v>162</v>
      </c>
      <c r="J735" s="39" t="s">
        <v>124</v>
      </c>
      <c r="K735" s="39" t="s">
        <v>5557</v>
      </c>
      <c r="L735" s="39" t="s">
        <v>2269</v>
      </c>
      <c r="M735" s="39" t="s">
        <v>2259</v>
      </c>
      <c r="N735" s="76" t="s">
        <v>2260</v>
      </c>
      <c r="O735" s="39" t="s">
        <v>52</v>
      </c>
      <c r="P735" s="39" t="s">
        <v>65</v>
      </c>
      <c r="Q735" s="152">
        <v>150</v>
      </c>
      <c r="R735" s="40">
        <v>165.40034116112824</v>
      </c>
    </row>
    <row r="736" spans="1:18" s="39" customFormat="1" ht="31.25" customHeight="1" x14ac:dyDescent="0.2">
      <c r="A736" s="39" t="s">
        <v>2270</v>
      </c>
      <c r="B736" s="39" t="s">
        <v>66</v>
      </c>
      <c r="C736" s="39" t="s">
        <v>120</v>
      </c>
      <c r="D736" s="39" t="s">
        <v>121</v>
      </c>
      <c r="E736" s="39" t="s">
        <v>147</v>
      </c>
      <c r="F736" s="39" t="s">
        <v>2271</v>
      </c>
      <c r="G736" s="39" t="s">
        <v>125</v>
      </c>
      <c r="H736" s="39" t="s">
        <v>162</v>
      </c>
      <c r="J736" s="39" t="s">
        <v>124</v>
      </c>
      <c r="K736" s="39" t="s">
        <v>5557</v>
      </c>
      <c r="L736" s="39" t="s">
        <v>2272</v>
      </c>
      <c r="M736" s="39" t="s">
        <v>2259</v>
      </c>
      <c r="N736" s="76" t="s">
        <v>2260</v>
      </c>
      <c r="O736" s="39" t="s">
        <v>52</v>
      </c>
      <c r="P736" s="39" t="s">
        <v>65</v>
      </c>
      <c r="Q736" s="152">
        <v>60</v>
      </c>
      <c r="R736" s="40">
        <v>66.160136464451298</v>
      </c>
    </row>
    <row r="737" spans="1:18" s="39" customFormat="1" ht="31.25" customHeight="1" x14ac:dyDescent="0.2">
      <c r="A737" s="39" t="s">
        <v>2273</v>
      </c>
      <c r="B737" s="39" t="s">
        <v>66</v>
      </c>
      <c r="C737" s="39" t="s">
        <v>120</v>
      </c>
      <c r="D737" s="39" t="s">
        <v>121</v>
      </c>
      <c r="E737" s="39" t="s">
        <v>147</v>
      </c>
      <c r="F737" s="39" t="s">
        <v>2274</v>
      </c>
      <c r="G737" s="39" t="s">
        <v>125</v>
      </c>
      <c r="H737" s="39" t="s">
        <v>152</v>
      </c>
      <c r="I737" s="39" t="s">
        <v>323</v>
      </c>
      <c r="J737" s="39" t="s">
        <v>124</v>
      </c>
      <c r="K737" s="39" t="s">
        <v>5557</v>
      </c>
      <c r="L737" s="54" t="s">
        <v>2275</v>
      </c>
      <c r="M737" s="39" t="s">
        <v>2259</v>
      </c>
      <c r="N737" s="76" t="s">
        <v>2260</v>
      </c>
      <c r="O737" s="39" t="s">
        <v>52</v>
      </c>
      <c r="P737" s="39" t="s">
        <v>65</v>
      </c>
      <c r="Q737" s="152">
        <v>110</v>
      </c>
      <c r="R737" s="40">
        <v>121.29358351816072</v>
      </c>
    </row>
    <row r="738" spans="1:18" s="39" customFormat="1" ht="31.25" customHeight="1" x14ac:dyDescent="0.2">
      <c r="A738" s="39" t="s">
        <v>2276</v>
      </c>
      <c r="B738" s="39" t="s">
        <v>66</v>
      </c>
      <c r="C738" s="39" t="s">
        <v>120</v>
      </c>
      <c r="D738" s="39" t="s">
        <v>121</v>
      </c>
      <c r="E738" s="39" t="s">
        <v>147</v>
      </c>
      <c r="F738" s="39" t="s">
        <v>2231</v>
      </c>
      <c r="G738" s="39" t="s">
        <v>125</v>
      </c>
      <c r="J738" s="39" t="s">
        <v>124</v>
      </c>
      <c r="K738" s="39" t="s">
        <v>5557</v>
      </c>
      <c r="L738" s="39" t="s">
        <v>2277</v>
      </c>
      <c r="M738" s="39" t="s">
        <v>2259</v>
      </c>
      <c r="N738" s="76" t="s">
        <v>2260</v>
      </c>
      <c r="O738" s="39" t="s">
        <v>52</v>
      </c>
      <c r="P738" s="39" t="s">
        <v>65</v>
      </c>
      <c r="Q738" s="152">
        <v>12</v>
      </c>
      <c r="R738" s="40">
        <v>13.23202729289026</v>
      </c>
    </row>
    <row r="739" spans="1:18" s="39" customFormat="1" ht="31.25" customHeight="1" x14ac:dyDescent="0.2">
      <c r="A739" s="39" t="s">
        <v>2278</v>
      </c>
      <c r="B739" s="39" t="s">
        <v>66</v>
      </c>
      <c r="C739" s="39" t="s">
        <v>120</v>
      </c>
      <c r="D739" s="39" t="s">
        <v>121</v>
      </c>
      <c r="E739" s="39" t="s">
        <v>166</v>
      </c>
      <c r="F739" s="39" t="s">
        <v>2279</v>
      </c>
      <c r="G739" s="39" t="s">
        <v>125</v>
      </c>
      <c r="H739" s="39" t="s">
        <v>162</v>
      </c>
      <c r="J739" s="39" t="s">
        <v>124</v>
      </c>
      <c r="K739" s="39" t="s">
        <v>5557</v>
      </c>
      <c r="L739" s="39" t="s">
        <v>2280</v>
      </c>
      <c r="M739" s="39" t="s">
        <v>2259</v>
      </c>
      <c r="N739" s="76" t="s">
        <v>2260</v>
      </c>
      <c r="O739" s="39" t="s">
        <v>52</v>
      </c>
      <c r="P739" s="39" t="s">
        <v>65</v>
      </c>
      <c r="Q739" s="152">
        <v>70</v>
      </c>
      <c r="R739" s="40">
        <v>77.186825875193179</v>
      </c>
    </row>
    <row r="740" spans="1:18" s="39" customFormat="1" ht="31.25" customHeight="1" x14ac:dyDescent="0.2">
      <c r="A740" s="39" t="s">
        <v>2281</v>
      </c>
      <c r="B740" s="39" t="s">
        <v>66</v>
      </c>
      <c r="C740" s="39" t="s">
        <v>120</v>
      </c>
      <c r="D740" s="39" t="s">
        <v>121</v>
      </c>
      <c r="E740" s="39" t="s">
        <v>166</v>
      </c>
      <c r="F740" s="39" t="s">
        <v>2177</v>
      </c>
      <c r="G740" s="39" t="s">
        <v>125</v>
      </c>
      <c r="H740" s="39" t="s">
        <v>162</v>
      </c>
      <c r="J740" s="39" t="s">
        <v>124</v>
      </c>
      <c r="K740" s="39" t="s">
        <v>5557</v>
      </c>
      <c r="L740" s="39" t="s">
        <v>2282</v>
      </c>
      <c r="M740" s="39" t="s">
        <v>2259</v>
      </c>
      <c r="N740" s="76" t="s">
        <v>2260</v>
      </c>
      <c r="O740" s="39" t="s">
        <v>52</v>
      </c>
      <c r="P740" s="39" t="s">
        <v>65</v>
      </c>
      <c r="Q740" s="152">
        <v>40</v>
      </c>
      <c r="R740" s="40">
        <v>44.10675764296753</v>
      </c>
    </row>
    <row r="741" spans="1:18" s="39" customFormat="1" ht="31.25" customHeight="1" x14ac:dyDescent="0.2">
      <c r="A741" s="39" t="s">
        <v>2283</v>
      </c>
      <c r="B741" s="39" t="s">
        <v>66</v>
      </c>
      <c r="C741" s="39" t="s">
        <v>120</v>
      </c>
      <c r="D741" s="39" t="s">
        <v>121</v>
      </c>
      <c r="E741" s="39" t="s">
        <v>172</v>
      </c>
      <c r="F741" s="39" t="s">
        <v>2203</v>
      </c>
      <c r="G741" s="39" t="s">
        <v>125</v>
      </c>
      <c r="H741" s="39" t="s">
        <v>152</v>
      </c>
      <c r="J741" s="39" t="s">
        <v>124</v>
      </c>
      <c r="K741" s="39" t="s">
        <v>5557</v>
      </c>
      <c r="L741" s="39" t="s">
        <v>2284</v>
      </c>
      <c r="M741" s="39" t="s">
        <v>2259</v>
      </c>
      <c r="N741" s="76" t="s">
        <v>2260</v>
      </c>
      <c r="O741" s="39" t="s">
        <v>52</v>
      </c>
      <c r="P741" s="39" t="s">
        <v>65</v>
      </c>
      <c r="Q741" s="152">
        <v>20</v>
      </c>
      <c r="R741" s="40">
        <v>22.053378821483765</v>
      </c>
    </row>
    <row r="742" spans="1:18" s="39" customFormat="1" ht="31.25" customHeight="1" x14ac:dyDescent="0.2">
      <c r="A742" s="39" t="s">
        <v>2285</v>
      </c>
      <c r="B742" s="39" t="s">
        <v>66</v>
      </c>
      <c r="C742" s="39" t="s">
        <v>120</v>
      </c>
      <c r="D742" s="39" t="s">
        <v>121</v>
      </c>
      <c r="E742" s="39" t="s">
        <v>172</v>
      </c>
      <c r="F742" s="39" t="s">
        <v>2215</v>
      </c>
      <c r="G742" s="39" t="s">
        <v>125</v>
      </c>
      <c r="J742" s="39" t="s">
        <v>124</v>
      </c>
      <c r="K742" s="39" t="s">
        <v>5557</v>
      </c>
      <c r="L742" s="39" t="s">
        <v>2286</v>
      </c>
      <c r="M742" s="76" t="s">
        <v>2259</v>
      </c>
      <c r="N742" s="76" t="s">
        <v>2260</v>
      </c>
      <c r="O742" s="39" t="s">
        <v>52</v>
      </c>
      <c r="P742" s="39" t="s">
        <v>65</v>
      </c>
      <c r="Q742" s="152">
        <v>10</v>
      </c>
      <c r="R742" s="40">
        <v>11.026689410741882</v>
      </c>
    </row>
    <row r="743" spans="1:18" s="39" customFormat="1" ht="31.25" customHeight="1" x14ac:dyDescent="0.2">
      <c r="A743" s="39" t="s">
        <v>2287</v>
      </c>
      <c r="B743" s="39" t="s">
        <v>66</v>
      </c>
      <c r="C743" s="39" t="s">
        <v>280</v>
      </c>
      <c r="D743" s="39" t="s">
        <v>137</v>
      </c>
      <c r="E743" s="39" t="s">
        <v>133</v>
      </c>
      <c r="F743" s="39" t="s">
        <v>2288</v>
      </c>
      <c r="G743" s="39" t="s">
        <v>125</v>
      </c>
      <c r="H743" s="39" t="s">
        <v>158</v>
      </c>
      <c r="J743" s="39" t="s">
        <v>124</v>
      </c>
      <c r="K743" s="39" t="s">
        <v>5557</v>
      </c>
      <c r="L743" s="39" t="s">
        <v>2289</v>
      </c>
      <c r="M743" s="39" t="s">
        <v>2259</v>
      </c>
      <c r="N743" s="76"/>
      <c r="O743" s="39" t="s">
        <v>52</v>
      </c>
      <c r="P743" s="39" t="s">
        <v>65</v>
      </c>
      <c r="Q743" s="152">
        <v>192</v>
      </c>
      <c r="R743" s="40">
        <v>211.71243668624416</v>
      </c>
    </row>
    <row r="744" spans="1:18" s="39" customFormat="1" ht="31.25" customHeight="1" x14ac:dyDescent="0.2">
      <c r="A744" s="39" t="s">
        <v>2290</v>
      </c>
      <c r="B744" s="39" t="s">
        <v>66</v>
      </c>
      <c r="C744" s="39" t="s">
        <v>280</v>
      </c>
      <c r="D744" s="39" t="s">
        <v>137</v>
      </c>
      <c r="E744" s="39" t="s">
        <v>133</v>
      </c>
      <c r="F744" s="39" t="s">
        <v>2291</v>
      </c>
      <c r="G744" s="39" t="s">
        <v>125</v>
      </c>
      <c r="H744" s="39" t="s">
        <v>158</v>
      </c>
      <c r="J744" s="39" t="s">
        <v>124</v>
      </c>
      <c r="K744" s="39" t="s">
        <v>5557</v>
      </c>
      <c r="L744" s="39" t="s">
        <v>2292</v>
      </c>
      <c r="M744" s="39" t="s">
        <v>2259</v>
      </c>
      <c r="N744" s="76"/>
      <c r="O744" s="39" t="s">
        <v>52</v>
      </c>
      <c r="P744" s="39" t="s">
        <v>65</v>
      </c>
      <c r="Q744" s="152">
        <v>75</v>
      </c>
      <c r="R744" s="40">
        <v>82.700170580564119</v>
      </c>
    </row>
    <row r="745" spans="1:18" s="39" customFormat="1" ht="31.25" customHeight="1" x14ac:dyDescent="0.2">
      <c r="A745" s="39" t="s">
        <v>2293</v>
      </c>
      <c r="B745" s="39" t="s">
        <v>66</v>
      </c>
      <c r="C745" s="39" t="s">
        <v>171</v>
      </c>
      <c r="D745" s="39" t="s">
        <v>121</v>
      </c>
      <c r="E745" s="39" t="s">
        <v>151</v>
      </c>
      <c r="F745" s="39">
        <v>0</v>
      </c>
      <c r="G745" s="39" t="s">
        <v>125</v>
      </c>
      <c r="H745" s="39" t="s">
        <v>162</v>
      </c>
      <c r="J745" s="39" t="s">
        <v>124</v>
      </c>
      <c r="K745" s="39" t="s">
        <v>5557</v>
      </c>
      <c r="L745" s="39" t="s">
        <v>2294</v>
      </c>
      <c r="M745" s="39" t="s">
        <v>2295</v>
      </c>
      <c r="N745" s="76"/>
      <c r="O745" s="39" t="s">
        <v>52</v>
      </c>
      <c r="P745" s="39" t="s">
        <v>2296</v>
      </c>
      <c r="Q745" s="152"/>
      <c r="R745" s="40" t="s">
        <v>1604</v>
      </c>
    </row>
    <row r="746" spans="1:18" s="39" customFormat="1" ht="31.25" customHeight="1" x14ac:dyDescent="0.2">
      <c r="A746" s="39" t="s">
        <v>2297</v>
      </c>
      <c r="B746" s="39" t="s">
        <v>66</v>
      </c>
      <c r="C746" s="39" t="s">
        <v>188</v>
      </c>
      <c r="D746" s="39" t="s">
        <v>121</v>
      </c>
      <c r="E746" s="39" t="s">
        <v>151</v>
      </c>
      <c r="F746" s="39">
        <v>0</v>
      </c>
      <c r="G746" s="39" t="s">
        <v>125</v>
      </c>
      <c r="H746" s="39" t="s">
        <v>162</v>
      </c>
      <c r="J746" s="39" t="s">
        <v>124</v>
      </c>
      <c r="K746" s="39" t="s">
        <v>5557</v>
      </c>
      <c r="L746" s="39" t="s">
        <v>2298</v>
      </c>
      <c r="M746" s="39" t="s">
        <v>2299</v>
      </c>
      <c r="O746" s="39" t="s">
        <v>52</v>
      </c>
      <c r="P746" s="39" t="s">
        <v>2296</v>
      </c>
      <c r="Q746" s="40"/>
      <c r="R746" s="40" t="s">
        <v>1604</v>
      </c>
    </row>
    <row r="747" spans="1:18" s="39" customFormat="1" ht="31.25" customHeight="1" x14ac:dyDescent="0.2">
      <c r="A747" s="39" t="s">
        <v>2300</v>
      </c>
      <c r="B747" s="39" t="s">
        <v>66</v>
      </c>
      <c r="C747" s="39" t="s">
        <v>171</v>
      </c>
      <c r="D747" s="39" t="s">
        <v>121</v>
      </c>
      <c r="E747" s="39" t="s">
        <v>133</v>
      </c>
      <c r="F747" s="39">
        <v>0</v>
      </c>
      <c r="G747" s="39" t="s">
        <v>152</v>
      </c>
      <c r="H747" s="39" t="s">
        <v>323</v>
      </c>
      <c r="J747" s="39" t="s">
        <v>124</v>
      </c>
      <c r="K747" s="39" t="s">
        <v>5557</v>
      </c>
      <c r="L747" s="39" t="s">
        <v>2301</v>
      </c>
      <c r="M747" s="39" t="s">
        <v>2302</v>
      </c>
      <c r="O747" s="39" t="s">
        <v>52</v>
      </c>
      <c r="P747" s="39" t="s">
        <v>2296</v>
      </c>
      <c r="Q747" s="40"/>
      <c r="R747" s="40" t="s">
        <v>1604</v>
      </c>
    </row>
    <row r="748" spans="1:18" s="39" customFormat="1" ht="31.25" customHeight="1" x14ac:dyDescent="0.2">
      <c r="A748" s="39" t="s">
        <v>2303</v>
      </c>
      <c r="B748" s="39" t="s">
        <v>66</v>
      </c>
      <c r="C748" s="39" t="s">
        <v>171</v>
      </c>
      <c r="D748" s="39" t="s">
        <v>121</v>
      </c>
      <c r="E748" s="39" t="s">
        <v>166</v>
      </c>
      <c r="F748" s="39">
        <v>0</v>
      </c>
      <c r="G748" s="39" t="s">
        <v>125</v>
      </c>
      <c r="H748" s="39" t="s">
        <v>162</v>
      </c>
      <c r="J748" s="39" t="s">
        <v>124</v>
      </c>
      <c r="K748" s="39" t="s">
        <v>5557</v>
      </c>
      <c r="L748" s="39" t="s">
        <v>2304</v>
      </c>
      <c r="M748" s="39" t="s">
        <v>2305</v>
      </c>
      <c r="O748" s="39" t="s">
        <v>52</v>
      </c>
      <c r="P748" s="39" t="s">
        <v>2296</v>
      </c>
      <c r="Q748" s="40"/>
      <c r="R748" s="40" t="s">
        <v>1604</v>
      </c>
    </row>
    <row r="749" spans="1:18" s="39" customFormat="1" ht="31.25" customHeight="1" x14ac:dyDescent="0.2">
      <c r="A749" s="39" t="s">
        <v>2306</v>
      </c>
      <c r="B749" s="39" t="s">
        <v>66</v>
      </c>
      <c r="C749" s="39" t="s">
        <v>171</v>
      </c>
      <c r="D749" s="39" t="s">
        <v>121</v>
      </c>
      <c r="E749" s="39" t="s">
        <v>166</v>
      </c>
      <c r="F749" s="39">
        <v>0</v>
      </c>
      <c r="G749" s="39" t="s">
        <v>125</v>
      </c>
      <c r="H749" s="39" t="s">
        <v>162</v>
      </c>
      <c r="J749" s="39" t="s">
        <v>124</v>
      </c>
      <c r="K749" s="39" t="s">
        <v>5557</v>
      </c>
      <c r="L749" s="39" t="s">
        <v>2307</v>
      </c>
      <c r="M749" s="39" t="s">
        <v>2308</v>
      </c>
      <c r="O749" s="39" t="s">
        <v>52</v>
      </c>
      <c r="P749" s="39" t="s">
        <v>2296</v>
      </c>
      <c r="Q749" s="40"/>
      <c r="R749" s="40" t="s">
        <v>1604</v>
      </c>
    </row>
    <row r="750" spans="1:18" s="39" customFormat="1" ht="31.25" customHeight="1" x14ac:dyDescent="0.2">
      <c r="A750" s="39" t="s">
        <v>2309</v>
      </c>
      <c r="B750" s="39" t="s">
        <v>66</v>
      </c>
      <c r="C750" s="39" t="s">
        <v>171</v>
      </c>
      <c r="D750" s="39" t="s">
        <v>121</v>
      </c>
      <c r="E750" s="39" t="s">
        <v>251</v>
      </c>
      <c r="F750" s="39">
        <v>0</v>
      </c>
      <c r="G750" s="39" t="s">
        <v>125</v>
      </c>
      <c r="H750" s="39" t="s">
        <v>162</v>
      </c>
      <c r="J750" s="39" t="s">
        <v>124</v>
      </c>
      <c r="K750" s="39" t="s">
        <v>5557</v>
      </c>
      <c r="L750" s="39" t="s">
        <v>2310</v>
      </c>
      <c r="M750" s="39" t="s">
        <v>2311</v>
      </c>
      <c r="O750" s="39" t="s">
        <v>52</v>
      </c>
      <c r="P750" s="39" t="s">
        <v>2296</v>
      </c>
      <c r="Q750" s="40"/>
      <c r="R750" s="40" t="s">
        <v>1604</v>
      </c>
    </row>
    <row r="751" spans="1:18" s="39" customFormat="1" ht="31.25" customHeight="1" x14ac:dyDescent="0.2">
      <c r="A751" s="39" t="s">
        <v>2312</v>
      </c>
      <c r="B751" s="39" t="s">
        <v>66</v>
      </c>
      <c r="C751" s="39" t="s">
        <v>188</v>
      </c>
      <c r="D751" s="39" t="s">
        <v>121</v>
      </c>
      <c r="E751" s="39" t="s">
        <v>251</v>
      </c>
      <c r="F751" s="39">
        <v>0</v>
      </c>
      <c r="G751" s="39" t="s">
        <v>125</v>
      </c>
      <c r="H751" s="39" t="s">
        <v>162</v>
      </c>
      <c r="J751" s="39" t="s">
        <v>124</v>
      </c>
      <c r="K751" s="39" t="s">
        <v>5557</v>
      </c>
      <c r="L751" s="39" t="s">
        <v>2313</v>
      </c>
      <c r="M751" s="39" t="s">
        <v>2314</v>
      </c>
      <c r="O751" s="39" t="s">
        <v>52</v>
      </c>
      <c r="P751" s="39" t="s">
        <v>2296</v>
      </c>
      <c r="Q751" s="40"/>
      <c r="R751" s="40" t="s">
        <v>1604</v>
      </c>
    </row>
    <row r="752" spans="1:18" s="39" customFormat="1" ht="31.25" customHeight="1" x14ac:dyDescent="0.2">
      <c r="A752" s="75" t="s">
        <v>2315</v>
      </c>
      <c r="B752" s="75" t="s">
        <v>67</v>
      </c>
      <c r="C752" s="75" t="s">
        <v>280</v>
      </c>
      <c r="D752" s="75" t="s">
        <v>121</v>
      </c>
      <c r="E752" s="75" t="s">
        <v>147</v>
      </c>
      <c r="F752" s="75" t="s">
        <v>2316</v>
      </c>
      <c r="G752" s="75" t="s">
        <v>125</v>
      </c>
      <c r="H752" s="75" t="s">
        <v>162</v>
      </c>
      <c r="I752" s="75"/>
      <c r="J752" s="75"/>
      <c r="K752" s="75"/>
      <c r="L752" s="75" t="s">
        <v>2317</v>
      </c>
      <c r="M752" s="75" t="s">
        <v>2318</v>
      </c>
      <c r="N752" s="75"/>
      <c r="O752" s="75" t="s">
        <v>52</v>
      </c>
      <c r="P752" s="75" t="s">
        <v>65</v>
      </c>
      <c r="Q752" s="100">
        <v>690</v>
      </c>
      <c r="R752" s="40">
        <v>760.84156934118994</v>
      </c>
    </row>
    <row r="753" spans="1:18" s="39" customFormat="1" ht="31.25" customHeight="1" x14ac:dyDescent="0.2">
      <c r="A753" s="39" t="s">
        <v>2319</v>
      </c>
      <c r="B753" s="39" t="s">
        <v>67</v>
      </c>
      <c r="C753" s="39" t="s">
        <v>280</v>
      </c>
      <c r="D753" s="39" t="s">
        <v>121</v>
      </c>
      <c r="E753" s="39" t="s">
        <v>251</v>
      </c>
      <c r="F753" s="39" t="s">
        <v>2268</v>
      </c>
      <c r="G753" s="39" t="s">
        <v>125</v>
      </c>
      <c r="H753" s="39" t="s">
        <v>162</v>
      </c>
      <c r="L753" s="39" t="s">
        <v>2320</v>
      </c>
      <c r="O753" s="39" t="s">
        <v>52</v>
      </c>
      <c r="P753" s="39" t="s">
        <v>65</v>
      </c>
      <c r="Q753" s="40">
        <v>150</v>
      </c>
      <c r="R753" s="40">
        <v>165.40034116112824</v>
      </c>
    </row>
    <row r="754" spans="1:18" s="39" customFormat="1" ht="31.25" customHeight="1" x14ac:dyDescent="0.2">
      <c r="A754" s="39" t="s">
        <v>2321</v>
      </c>
      <c r="B754" s="39" t="s">
        <v>67</v>
      </c>
      <c r="C754" s="39" t="s">
        <v>177</v>
      </c>
      <c r="D754" s="39" t="s">
        <v>121</v>
      </c>
      <c r="E754" s="39" t="s">
        <v>251</v>
      </c>
      <c r="F754" s="39" t="s">
        <v>2196</v>
      </c>
      <c r="G754" s="39" t="s">
        <v>125</v>
      </c>
      <c r="H754" s="39" t="s">
        <v>162</v>
      </c>
      <c r="L754" s="39" t="s">
        <v>2322</v>
      </c>
      <c r="O754" s="39" t="s">
        <v>52</v>
      </c>
      <c r="P754" s="39" t="s">
        <v>65</v>
      </c>
      <c r="Q754" s="40">
        <v>100</v>
      </c>
      <c r="R754" s="40">
        <v>110.26689410741884</v>
      </c>
    </row>
    <row r="755" spans="1:18" s="39" customFormat="1" ht="31.25" customHeight="1" x14ac:dyDescent="0.2">
      <c r="A755" s="39" t="s">
        <v>2323</v>
      </c>
      <c r="B755" s="39" t="s">
        <v>67</v>
      </c>
      <c r="C755" s="39" t="s">
        <v>120</v>
      </c>
      <c r="D755" s="39" t="s">
        <v>121</v>
      </c>
      <c r="E755" s="39" t="s">
        <v>251</v>
      </c>
      <c r="F755" s="39" t="s">
        <v>2324</v>
      </c>
      <c r="G755" s="39" t="s">
        <v>125</v>
      </c>
      <c r="H755" s="39" t="s">
        <v>162</v>
      </c>
      <c r="L755" s="39" t="s">
        <v>2325</v>
      </c>
      <c r="M755" s="39" t="s">
        <v>2318</v>
      </c>
      <c r="O755" s="39" t="s">
        <v>53</v>
      </c>
      <c r="P755" s="39" t="s">
        <v>65</v>
      </c>
      <c r="Q755" s="40">
        <v>5000</v>
      </c>
      <c r="R755" s="40">
        <v>5513.3447053709415</v>
      </c>
    </row>
    <row r="756" spans="1:18" s="39" customFormat="1" ht="31.25" customHeight="1" x14ac:dyDescent="0.2">
      <c r="A756" s="39" t="s">
        <v>2326</v>
      </c>
      <c r="B756" s="39" t="s">
        <v>67</v>
      </c>
      <c r="C756" s="39" t="s">
        <v>120</v>
      </c>
      <c r="D756" s="39" t="s">
        <v>121</v>
      </c>
      <c r="E756" s="39" t="s">
        <v>122</v>
      </c>
      <c r="F756" s="39" t="s">
        <v>2327</v>
      </c>
      <c r="G756" s="39" t="s">
        <v>125</v>
      </c>
      <c r="L756" s="39" t="s">
        <v>2328</v>
      </c>
      <c r="M756" s="39" t="s">
        <v>2329</v>
      </c>
      <c r="O756" s="39" t="s">
        <v>53</v>
      </c>
      <c r="P756" s="39" t="s">
        <v>65</v>
      </c>
      <c r="Q756" s="40">
        <v>7000</v>
      </c>
      <c r="R756" s="40">
        <v>7718.6825875193181</v>
      </c>
    </row>
    <row r="757" spans="1:18" s="39" customFormat="1" ht="31.25" customHeight="1" x14ac:dyDescent="0.2">
      <c r="A757" s="39" t="s">
        <v>2330</v>
      </c>
      <c r="B757" s="39" t="s">
        <v>67</v>
      </c>
      <c r="C757" s="39" t="s">
        <v>120</v>
      </c>
      <c r="D757" s="39" t="s">
        <v>121</v>
      </c>
      <c r="E757" s="39" t="s">
        <v>251</v>
      </c>
      <c r="F757" s="39" t="s">
        <v>2271</v>
      </c>
      <c r="G757" s="39" t="s">
        <v>125</v>
      </c>
      <c r="H757" s="39" t="s">
        <v>162</v>
      </c>
      <c r="L757" s="39" t="s">
        <v>2331</v>
      </c>
      <c r="M757" s="39" t="s">
        <v>2332</v>
      </c>
      <c r="O757" s="39" t="s">
        <v>52</v>
      </c>
      <c r="P757" s="39" t="s">
        <v>65</v>
      </c>
      <c r="Q757" s="40">
        <v>60</v>
      </c>
      <c r="R757" s="40">
        <v>66.160136464451298</v>
      </c>
    </row>
    <row r="758" spans="1:18" s="39" customFormat="1" ht="31.25" customHeight="1" x14ac:dyDescent="0.2">
      <c r="A758" s="39" t="s">
        <v>2333</v>
      </c>
      <c r="B758" s="39" t="s">
        <v>67</v>
      </c>
      <c r="C758" s="39" t="s">
        <v>120</v>
      </c>
      <c r="D758" s="39" t="s">
        <v>121</v>
      </c>
      <c r="E758" s="39" t="s">
        <v>166</v>
      </c>
      <c r="F758" s="39" t="s">
        <v>2334</v>
      </c>
      <c r="G758" s="39" t="s">
        <v>125</v>
      </c>
      <c r="H758" s="39" t="s">
        <v>208</v>
      </c>
      <c r="I758" s="39" t="s">
        <v>162</v>
      </c>
      <c r="L758" s="39" t="s">
        <v>2335</v>
      </c>
      <c r="M758" s="39" t="s">
        <v>2336</v>
      </c>
      <c r="N758" s="39" t="s">
        <v>2336</v>
      </c>
      <c r="O758" s="39" t="s">
        <v>52</v>
      </c>
      <c r="P758" s="39" t="s">
        <v>65</v>
      </c>
      <c r="Q758" s="40">
        <v>4000</v>
      </c>
      <c r="R758" s="40">
        <v>4410.6757642967532</v>
      </c>
    </row>
    <row r="759" spans="1:18" s="39" customFormat="1" ht="31.25" customHeight="1" x14ac:dyDescent="0.2">
      <c r="A759" s="39" t="s">
        <v>2337</v>
      </c>
      <c r="B759" s="39" t="s">
        <v>67</v>
      </c>
      <c r="C759" s="39" t="s">
        <v>120</v>
      </c>
      <c r="D759" s="39" t="s">
        <v>121</v>
      </c>
      <c r="E759" s="39" t="s">
        <v>166</v>
      </c>
      <c r="F759" s="39" t="s">
        <v>2338</v>
      </c>
      <c r="G759" s="39" t="s">
        <v>125</v>
      </c>
      <c r="H759" s="39" t="s">
        <v>208</v>
      </c>
      <c r="I759" s="39" t="s">
        <v>162</v>
      </c>
      <c r="L759" s="39" t="s">
        <v>2339</v>
      </c>
      <c r="M759" s="39" t="s">
        <v>2336</v>
      </c>
      <c r="N759" s="39" t="s">
        <v>2336</v>
      </c>
      <c r="O759" s="39" t="s">
        <v>52</v>
      </c>
      <c r="P759" s="39" t="s">
        <v>65</v>
      </c>
      <c r="Q759" s="40">
        <v>500</v>
      </c>
      <c r="R759" s="40">
        <v>551.33447053709415</v>
      </c>
    </row>
    <row r="760" spans="1:18" s="39" customFormat="1" ht="31.25" customHeight="1" x14ac:dyDescent="0.2">
      <c r="A760" s="39" t="s">
        <v>2340</v>
      </c>
      <c r="B760" s="39" t="s">
        <v>67</v>
      </c>
      <c r="C760" s="39" t="s">
        <v>120</v>
      </c>
      <c r="D760" s="39" t="s">
        <v>121</v>
      </c>
      <c r="E760" s="39" t="s">
        <v>166</v>
      </c>
      <c r="F760" s="39" t="s">
        <v>2341</v>
      </c>
      <c r="G760" s="39" t="s">
        <v>125</v>
      </c>
      <c r="H760" s="39" t="s">
        <v>208</v>
      </c>
      <c r="I760" s="39" t="s">
        <v>162</v>
      </c>
      <c r="L760" s="39" t="s">
        <v>2342</v>
      </c>
      <c r="M760" s="39" t="s">
        <v>2336</v>
      </c>
      <c r="N760" s="39" t="s">
        <v>2336</v>
      </c>
      <c r="O760" s="39" t="s">
        <v>52</v>
      </c>
      <c r="P760" s="39" t="s">
        <v>65</v>
      </c>
      <c r="Q760" s="40">
        <v>200</v>
      </c>
      <c r="R760" s="40">
        <v>220.53378821483767</v>
      </c>
    </row>
    <row r="761" spans="1:18" s="39" customFormat="1" ht="31.25" customHeight="1" x14ac:dyDescent="0.2">
      <c r="A761" s="39" t="s">
        <v>2343</v>
      </c>
      <c r="B761" s="39" t="s">
        <v>67</v>
      </c>
      <c r="C761" s="39" t="s">
        <v>120</v>
      </c>
      <c r="D761" s="39" t="s">
        <v>121</v>
      </c>
      <c r="E761" s="39" t="s">
        <v>166</v>
      </c>
      <c r="F761" s="39" t="s">
        <v>2344</v>
      </c>
      <c r="G761" s="39" t="s">
        <v>125</v>
      </c>
      <c r="H761" s="39" t="s">
        <v>208</v>
      </c>
      <c r="I761" s="39" t="s">
        <v>162</v>
      </c>
      <c r="L761" s="39" t="s">
        <v>2345</v>
      </c>
      <c r="M761" s="39" t="s">
        <v>2336</v>
      </c>
      <c r="N761" s="39" t="s">
        <v>2336</v>
      </c>
      <c r="O761" s="39" t="s">
        <v>52</v>
      </c>
      <c r="P761" s="39" t="s">
        <v>65</v>
      </c>
      <c r="Q761" s="40">
        <v>2000</v>
      </c>
      <c r="R761" s="40">
        <v>2205.3378821483766</v>
      </c>
    </row>
    <row r="762" spans="1:18" s="39" customFormat="1" ht="30.6" customHeight="1" x14ac:dyDescent="0.2">
      <c r="A762" s="39" t="s">
        <v>2346</v>
      </c>
      <c r="B762" s="39" t="s">
        <v>67</v>
      </c>
      <c r="C762" s="39" t="s">
        <v>132</v>
      </c>
      <c r="D762" s="39" t="s">
        <v>121</v>
      </c>
      <c r="E762" s="39" t="s">
        <v>133</v>
      </c>
      <c r="F762" s="39" t="s">
        <v>2347</v>
      </c>
      <c r="G762" s="39" t="s">
        <v>134</v>
      </c>
      <c r="H762" s="39" t="s">
        <v>125</v>
      </c>
      <c r="I762" s="39" t="s">
        <v>208</v>
      </c>
      <c r="L762" s="39" t="s">
        <v>2348</v>
      </c>
      <c r="M762" s="39" t="s">
        <v>2336</v>
      </c>
      <c r="O762" s="39" t="s">
        <v>52</v>
      </c>
      <c r="P762" s="39" t="s">
        <v>65</v>
      </c>
      <c r="Q762" s="40">
        <v>650</v>
      </c>
      <c r="R762" s="40">
        <v>716.73481169822242</v>
      </c>
    </row>
    <row r="763" spans="1:18" s="39" customFormat="1" ht="31.25" customHeight="1" x14ac:dyDescent="0.2">
      <c r="A763" s="39" t="s">
        <v>2349</v>
      </c>
      <c r="B763" s="39" t="s">
        <v>67</v>
      </c>
      <c r="C763" s="39" t="s">
        <v>120</v>
      </c>
      <c r="D763" s="39" t="s">
        <v>121</v>
      </c>
      <c r="E763" s="39" t="s">
        <v>133</v>
      </c>
      <c r="F763" s="39" t="s">
        <v>2350</v>
      </c>
      <c r="G763" s="39" t="s">
        <v>134</v>
      </c>
      <c r="H763" s="39" t="s">
        <v>208</v>
      </c>
      <c r="I763" s="39" t="s">
        <v>208</v>
      </c>
      <c r="L763" s="39" t="s">
        <v>2351</v>
      </c>
      <c r="M763" s="39" t="s">
        <v>2336</v>
      </c>
      <c r="O763" s="39" t="s">
        <v>52</v>
      </c>
      <c r="P763" s="39" t="s">
        <v>65</v>
      </c>
      <c r="Q763" s="40">
        <v>300</v>
      </c>
      <c r="R763" s="40">
        <v>330.80068232225648</v>
      </c>
    </row>
    <row r="764" spans="1:18" s="39" customFormat="1" ht="31.25" customHeight="1" x14ac:dyDescent="0.2">
      <c r="A764" s="39" t="s">
        <v>2352</v>
      </c>
      <c r="B764" s="39" t="s">
        <v>67</v>
      </c>
      <c r="C764" s="39" t="s">
        <v>120</v>
      </c>
      <c r="D764" s="39" t="s">
        <v>121</v>
      </c>
      <c r="E764" s="39" t="s">
        <v>199</v>
      </c>
      <c r="F764" s="39" t="s">
        <v>2350</v>
      </c>
      <c r="G764" s="39" t="s">
        <v>153</v>
      </c>
      <c r="H764" s="39" t="s">
        <v>134</v>
      </c>
      <c r="I764" s="39" t="s">
        <v>152</v>
      </c>
      <c r="L764" s="39" t="s">
        <v>2353</v>
      </c>
      <c r="M764" s="39" t="s">
        <v>2336</v>
      </c>
      <c r="O764" s="39" t="s">
        <v>52</v>
      </c>
      <c r="P764" s="39" t="s">
        <v>65</v>
      </c>
      <c r="Q764" s="40">
        <v>300</v>
      </c>
      <c r="R764" s="40">
        <v>330.80068232225648</v>
      </c>
    </row>
    <row r="765" spans="1:18" s="39" customFormat="1" ht="31.25" customHeight="1" x14ac:dyDescent="0.2">
      <c r="A765" s="39" t="s">
        <v>2354</v>
      </c>
      <c r="B765" s="39" t="s">
        <v>67</v>
      </c>
      <c r="C765" s="60" t="s">
        <v>120</v>
      </c>
      <c r="D765" s="39" t="s">
        <v>121</v>
      </c>
      <c r="E765" s="39" t="s">
        <v>147</v>
      </c>
      <c r="F765" s="39" t="s">
        <v>2355</v>
      </c>
      <c r="G765" s="39" t="s">
        <v>125</v>
      </c>
      <c r="H765" s="39" t="s">
        <v>162</v>
      </c>
      <c r="L765" s="39" t="s">
        <v>2356</v>
      </c>
      <c r="M765" s="39" t="s">
        <v>2336</v>
      </c>
      <c r="O765" s="39" t="s">
        <v>52</v>
      </c>
      <c r="P765" s="39" t="s">
        <v>65</v>
      </c>
      <c r="Q765" s="40">
        <v>1200</v>
      </c>
      <c r="R765" s="40">
        <v>1323.2027292890259</v>
      </c>
    </row>
    <row r="766" spans="1:18" s="39" customFormat="1" ht="31.25" customHeight="1" x14ac:dyDescent="0.2">
      <c r="A766" s="39" t="s">
        <v>2357</v>
      </c>
      <c r="B766" s="39" t="s">
        <v>67</v>
      </c>
      <c r="C766" s="60" t="s">
        <v>120</v>
      </c>
      <c r="D766" s="39" t="s">
        <v>121</v>
      </c>
      <c r="E766" s="39" t="s">
        <v>147</v>
      </c>
      <c r="F766" s="39" t="s">
        <v>2358</v>
      </c>
      <c r="G766" s="39" t="s">
        <v>152</v>
      </c>
      <c r="H766" s="39" t="s">
        <v>125</v>
      </c>
      <c r="I766" s="39" t="s">
        <v>158</v>
      </c>
      <c r="L766" s="39" t="s">
        <v>2359</v>
      </c>
      <c r="O766" s="39" t="s">
        <v>52</v>
      </c>
      <c r="P766" s="39" t="s">
        <v>65</v>
      </c>
      <c r="Q766" s="40">
        <v>226</v>
      </c>
      <c r="R766" s="40">
        <v>249.20318068276654</v>
      </c>
    </row>
    <row r="767" spans="1:18" s="39" customFormat="1" ht="31.25" customHeight="1" x14ac:dyDescent="0.2">
      <c r="A767" s="39" t="s">
        <v>2360</v>
      </c>
      <c r="B767" s="39" t="s">
        <v>67</v>
      </c>
      <c r="C767" s="60" t="s">
        <v>120</v>
      </c>
      <c r="D767" s="39" t="s">
        <v>121</v>
      </c>
      <c r="E767" s="39" t="s">
        <v>147</v>
      </c>
      <c r="F767" s="39" t="s">
        <v>2361</v>
      </c>
      <c r="G767" s="39" t="s">
        <v>152</v>
      </c>
      <c r="H767" s="39" t="s">
        <v>125</v>
      </c>
      <c r="I767" s="39" t="s">
        <v>158</v>
      </c>
      <c r="L767" s="39" t="s">
        <v>2362</v>
      </c>
      <c r="M767" s="39" t="s">
        <v>2336</v>
      </c>
      <c r="O767" s="39" t="s">
        <v>52</v>
      </c>
      <c r="P767" s="39" t="s">
        <v>65</v>
      </c>
      <c r="Q767" s="40">
        <v>274</v>
      </c>
      <c r="R767" s="40">
        <v>302.13128985432758</v>
      </c>
    </row>
    <row r="768" spans="1:18" s="39" customFormat="1" ht="31.25" customHeight="1" x14ac:dyDescent="0.2">
      <c r="A768" s="39" t="s">
        <v>2363</v>
      </c>
      <c r="B768" s="39" t="s">
        <v>67</v>
      </c>
      <c r="C768" s="60" t="s">
        <v>177</v>
      </c>
      <c r="D768" s="39" t="s">
        <v>121</v>
      </c>
      <c r="E768" s="39" t="s">
        <v>172</v>
      </c>
      <c r="F768" s="39" t="s">
        <v>2364</v>
      </c>
      <c r="G768" s="39" t="s">
        <v>134</v>
      </c>
      <c r="H768" s="39" t="s">
        <v>125</v>
      </c>
      <c r="I768" s="39" t="s">
        <v>208</v>
      </c>
      <c r="L768" s="39" t="s">
        <v>2365</v>
      </c>
      <c r="M768" s="39" t="s">
        <v>2336</v>
      </c>
      <c r="O768" s="39" t="s">
        <v>52</v>
      </c>
      <c r="P768" s="39" t="s">
        <v>65</v>
      </c>
      <c r="Q768" s="40">
        <v>400</v>
      </c>
      <c r="R768" s="40">
        <v>441.06757642967534</v>
      </c>
    </row>
    <row r="769" spans="1:18" s="39" customFormat="1" ht="31.25" customHeight="1" x14ac:dyDescent="0.2">
      <c r="A769" s="39" t="s">
        <v>2366</v>
      </c>
      <c r="B769" s="39" t="s">
        <v>67</v>
      </c>
      <c r="C769" s="60" t="s">
        <v>120</v>
      </c>
      <c r="D769" s="39" t="s">
        <v>121</v>
      </c>
      <c r="E769" s="39" t="s">
        <v>172</v>
      </c>
      <c r="F769" s="39" t="s">
        <v>2367</v>
      </c>
      <c r="G769" s="39" t="s">
        <v>125</v>
      </c>
      <c r="H769" s="39" t="s">
        <v>134</v>
      </c>
      <c r="L769" s="39" t="s">
        <v>2368</v>
      </c>
      <c r="M769" s="76" t="s">
        <v>2336</v>
      </c>
      <c r="O769" s="39" t="s">
        <v>52</v>
      </c>
      <c r="P769" s="39" t="s">
        <v>65</v>
      </c>
      <c r="Q769" s="40">
        <v>100</v>
      </c>
      <c r="R769" s="40">
        <v>110.26689410741884</v>
      </c>
    </row>
    <row r="770" spans="1:18" s="39" customFormat="1" ht="31.25" customHeight="1" x14ac:dyDescent="0.2">
      <c r="A770" s="39" t="s">
        <v>2369</v>
      </c>
      <c r="B770" s="39" t="s">
        <v>67</v>
      </c>
      <c r="C770" s="60" t="s">
        <v>177</v>
      </c>
      <c r="D770" s="39" t="s">
        <v>121</v>
      </c>
      <c r="E770" s="39" t="s">
        <v>172</v>
      </c>
      <c r="F770" s="39" t="s">
        <v>2370</v>
      </c>
      <c r="G770" s="39" t="s">
        <v>158</v>
      </c>
      <c r="L770" s="39" t="s">
        <v>2371</v>
      </c>
      <c r="M770" s="39" t="s">
        <v>2336</v>
      </c>
      <c r="O770" s="39" t="s">
        <v>55</v>
      </c>
      <c r="P770" s="39" t="s">
        <v>65</v>
      </c>
      <c r="Q770" s="40">
        <v>250</v>
      </c>
      <c r="R770" s="40">
        <v>275.66723526854707</v>
      </c>
    </row>
    <row r="771" spans="1:18" s="39" customFormat="1" ht="31.25" customHeight="1" x14ac:dyDescent="0.2">
      <c r="A771" s="39" t="s">
        <v>2372</v>
      </c>
      <c r="B771" s="39" t="s">
        <v>67</v>
      </c>
      <c r="C771" s="60" t="s">
        <v>120</v>
      </c>
      <c r="D771" s="39" t="s">
        <v>121</v>
      </c>
      <c r="E771" s="39" t="s">
        <v>172</v>
      </c>
      <c r="F771" s="39" t="s">
        <v>2370</v>
      </c>
      <c r="G771" s="39" t="s">
        <v>134</v>
      </c>
      <c r="H771" s="39" t="s">
        <v>208</v>
      </c>
      <c r="I771" s="39" t="s">
        <v>158</v>
      </c>
      <c r="L771" s="39" t="s">
        <v>2373</v>
      </c>
      <c r="M771" s="39" t="s">
        <v>2336</v>
      </c>
      <c r="O771" s="39" t="s">
        <v>52</v>
      </c>
      <c r="P771" s="39" t="s">
        <v>65</v>
      </c>
      <c r="Q771" s="40">
        <v>250</v>
      </c>
      <c r="R771" s="40">
        <v>275.66723526854707</v>
      </c>
    </row>
    <row r="772" spans="1:18" s="39" customFormat="1" ht="31.25" customHeight="1" x14ac:dyDescent="0.2">
      <c r="A772" s="39" t="s">
        <v>2374</v>
      </c>
      <c r="B772" s="39" t="s">
        <v>67</v>
      </c>
      <c r="C772" s="60" t="s">
        <v>177</v>
      </c>
      <c r="D772" s="39" t="s">
        <v>121</v>
      </c>
      <c r="E772" s="39" t="s">
        <v>292</v>
      </c>
      <c r="F772" s="39" t="s">
        <v>2341</v>
      </c>
      <c r="G772" s="39" t="s">
        <v>134</v>
      </c>
      <c r="H772" s="39" t="s">
        <v>125</v>
      </c>
      <c r="I772" s="39" t="s">
        <v>208</v>
      </c>
      <c r="L772" s="39" t="s">
        <v>2375</v>
      </c>
      <c r="M772" s="39" t="s">
        <v>2336</v>
      </c>
      <c r="O772" s="39" t="s">
        <v>52</v>
      </c>
      <c r="P772" s="39" t="s">
        <v>65</v>
      </c>
      <c r="Q772" s="40">
        <v>200</v>
      </c>
      <c r="R772" s="40">
        <v>220.53378821483767</v>
      </c>
    </row>
    <row r="773" spans="1:18" s="39" customFormat="1" ht="31.25" customHeight="1" x14ac:dyDescent="0.2">
      <c r="A773" s="39" t="s">
        <v>2376</v>
      </c>
      <c r="B773" s="39" t="s">
        <v>67</v>
      </c>
      <c r="C773" s="60" t="s">
        <v>120</v>
      </c>
      <c r="D773" s="39" t="s">
        <v>121</v>
      </c>
      <c r="E773" s="39" t="s">
        <v>734</v>
      </c>
      <c r="F773" s="39" t="s">
        <v>2377</v>
      </c>
      <c r="G773" s="39" t="s">
        <v>134</v>
      </c>
      <c r="H773" s="39" t="s">
        <v>125</v>
      </c>
      <c r="L773" s="39" t="s">
        <v>2378</v>
      </c>
      <c r="M773" s="39" t="s">
        <v>2336</v>
      </c>
      <c r="O773" s="39" t="s">
        <v>52</v>
      </c>
      <c r="P773" s="39" t="s">
        <v>65</v>
      </c>
      <c r="Q773" s="40">
        <v>50</v>
      </c>
      <c r="R773" s="40">
        <v>55.133447053709418</v>
      </c>
    </row>
    <row r="774" spans="1:18" s="39" customFormat="1" ht="31.25" customHeight="1" x14ac:dyDescent="0.2">
      <c r="A774" s="39" t="s">
        <v>2379</v>
      </c>
      <c r="B774" s="39" t="s">
        <v>67</v>
      </c>
      <c r="C774" s="60" t="s">
        <v>177</v>
      </c>
      <c r="D774" s="39" t="s">
        <v>121</v>
      </c>
      <c r="E774" s="39" t="s">
        <v>734</v>
      </c>
      <c r="F774" s="39" t="s">
        <v>2341</v>
      </c>
      <c r="G774" s="39" t="s">
        <v>125</v>
      </c>
      <c r="L774" s="39" t="s">
        <v>2380</v>
      </c>
      <c r="M774" s="39" t="s">
        <v>2336</v>
      </c>
      <c r="O774" s="39" t="s">
        <v>52</v>
      </c>
      <c r="P774" s="39" t="s">
        <v>65</v>
      </c>
      <c r="Q774" s="40">
        <v>200</v>
      </c>
      <c r="R774" s="40">
        <v>220.53378821483767</v>
      </c>
    </row>
    <row r="775" spans="1:18" s="39" customFormat="1" ht="31.25" customHeight="1" x14ac:dyDescent="0.2">
      <c r="A775" s="39" t="s">
        <v>2381</v>
      </c>
      <c r="B775" s="39" t="s">
        <v>67</v>
      </c>
      <c r="C775" s="60" t="s">
        <v>177</v>
      </c>
      <c r="D775" s="39" t="s">
        <v>121</v>
      </c>
      <c r="E775" s="39" t="s">
        <v>151</v>
      </c>
      <c r="F775" s="42" t="s">
        <v>2382</v>
      </c>
      <c r="G775" s="39" t="s">
        <v>208</v>
      </c>
      <c r="L775" s="39" t="s">
        <v>2383</v>
      </c>
      <c r="M775" s="39" t="s">
        <v>2336</v>
      </c>
      <c r="O775" s="39" t="s">
        <v>52</v>
      </c>
      <c r="P775" s="39" t="s">
        <v>65</v>
      </c>
      <c r="Q775" s="40">
        <v>50</v>
      </c>
      <c r="R775" s="40">
        <v>55.133447053709418</v>
      </c>
    </row>
    <row r="776" spans="1:18" s="39" customFormat="1" ht="31.25" customHeight="1" x14ac:dyDescent="0.2">
      <c r="A776" s="39" t="s">
        <v>2384</v>
      </c>
      <c r="B776" s="39" t="s">
        <v>67</v>
      </c>
      <c r="C776" s="60" t="s">
        <v>177</v>
      </c>
      <c r="D776" s="39" t="s">
        <v>121</v>
      </c>
      <c r="E776" s="39" t="s">
        <v>251</v>
      </c>
      <c r="F776" s="39" t="s">
        <v>2385</v>
      </c>
      <c r="G776" s="39" t="s">
        <v>125</v>
      </c>
      <c r="H776" s="39" t="s">
        <v>162</v>
      </c>
      <c r="L776" s="39" t="s">
        <v>2386</v>
      </c>
      <c r="M776" s="39" t="s">
        <v>2336</v>
      </c>
      <c r="N776" s="39" t="s">
        <v>2387</v>
      </c>
      <c r="O776" s="39" t="s">
        <v>52</v>
      </c>
      <c r="P776" s="39" t="s">
        <v>65</v>
      </c>
      <c r="Q776" s="40">
        <v>1200</v>
      </c>
      <c r="R776" s="40">
        <v>1323.2027292890259</v>
      </c>
    </row>
    <row r="777" spans="1:18" s="39" customFormat="1" ht="31.25" customHeight="1" x14ac:dyDescent="0.2">
      <c r="A777" s="39" t="s">
        <v>2388</v>
      </c>
      <c r="B777" s="39" t="s">
        <v>67</v>
      </c>
      <c r="C777" s="60" t="s">
        <v>120</v>
      </c>
      <c r="D777" s="39" t="s">
        <v>121</v>
      </c>
      <c r="E777" s="39" t="s">
        <v>251</v>
      </c>
      <c r="F777" s="39" t="s">
        <v>2389</v>
      </c>
      <c r="G777" s="39" t="s">
        <v>125</v>
      </c>
      <c r="H777" s="39" t="s">
        <v>162</v>
      </c>
      <c r="L777" s="39" t="s">
        <v>2390</v>
      </c>
      <c r="M777" s="39" t="s">
        <v>2336</v>
      </c>
      <c r="O777" s="39" t="s">
        <v>52</v>
      </c>
      <c r="P777" s="39" t="s">
        <v>65</v>
      </c>
      <c r="Q777" s="40">
        <v>4700</v>
      </c>
      <c r="R777" s="40">
        <v>5182.5440230486847</v>
      </c>
    </row>
    <row r="778" spans="1:18" s="39" customFormat="1" ht="31.25" customHeight="1" x14ac:dyDescent="0.2">
      <c r="A778" s="39" t="s">
        <v>2391</v>
      </c>
      <c r="B778" s="39" t="s">
        <v>67</v>
      </c>
      <c r="C778" s="60" t="s">
        <v>120</v>
      </c>
      <c r="D778" s="39" t="s">
        <v>121</v>
      </c>
      <c r="E778" s="39" t="s">
        <v>251</v>
      </c>
      <c r="F778" s="39" t="s">
        <v>2392</v>
      </c>
      <c r="G778" s="39" t="s">
        <v>125</v>
      </c>
      <c r="H778" s="39" t="s">
        <v>162</v>
      </c>
      <c r="L778" s="39" t="s">
        <v>2393</v>
      </c>
      <c r="M778" s="39" t="s">
        <v>2336</v>
      </c>
      <c r="O778" s="39" t="s">
        <v>52</v>
      </c>
      <c r="P778" s="39" t="s">
        <v>65</v>
      </c>
      <c r="Q778" s="40">
        <v>550</v>
      </c>
      <c r="R778" s="40">
        <v>606.46791759080361</v>
      </c>
    </row>
    <row r="779" spans="1:18" s="39" customFormat="1" ht="31.25" customHeight="1" x14ac:dyDescent="0.2">
      <c r="A779" s="39" t="s">
        <v>2394</v>
      </c>
      <c r="B779" s="39" t="s">
        <v>67</v>
      </c>
      <c r="C779" s="60" t="s">
        <v>120</v>
      </c>
      <c r="D779" s="39" t="s">
        <v>121</v>
      </c>
      <c r="E779" s="39" t="s">
        <v>251</v>
      </c>
      <c r="F779" s="39" t="s">
        <v>2395</v>
      </c>
      <c r="G779" s="39" t="s">
        <v>125</v>
      </c>
      <c r="H779" s="39" t="s">
        <v>162</v>
      </c>
      <c r="L779" s="39" t="s">
        <v>2396</v>
      </c>
      <c r="M779" s="39" t="s">
        <v>2336</v>
      </c>
      <c r="O779" s="39" t="s">
        <v>52</v>
      </c>
      <c r="P779" s="39" t="s">
        <v>65</v>
      </c>
      <c r="Q779" s="40">
        <v>1900</v>
      </c>
      <c r="R779" s="40">
        <v>2095.0709880409577</v>
      </c>
    </row>
    <row r="780" spans="1:18" s="39" customFormat="1" ht="31.25" customHeight="1" x14ac:dyDescent="0.2">
      <c r="A780" s="39" t="s">
        <v>2397</v>
      </c>
      <c r="B780" s="39" t="s">
        <v>67</v>
      </c>
      <c r="C780" s="60" t="s">
        <v>120</v>
      </c>
      <c r="D780" s="39" t="s">
        <v>121</v>
      </c>
      <c r="E780" s="39" t="s">
        <v>251</v>
      </c>
      <c r="F780" s="39" t="s">
        <v>2398</v>
      </c>
      <c r="G780" s="39" t="s">
        <v>125</v>
      </c>
      <c r="H780" s="39" t="s">
        <v>162</v>
      </c>
      <c r="L780" s="39" t="s">
        <v>2399</v>
      </c>
      <c r="M780" s="39" t="s">
        <v>2336</v>
      </c>
      <c r="O780" s="39" t="s">
        <v>52</v>
      </c>
      <c r="P780" s="39" t="s">
        <v>65</v>
      </c>
      <c r="Q780" s="40">
        <v>180</v>
      </c>
      <c r="R780" s="40">
        <v>198.48040939335388</v>
      </c>
    </row>
    <row r="781" spans="1:18" s="39" customFormat="1" ht="31.25" customHeight="1" x14ac:dyDescent="0.2">
      <c r="A781" s="39" t="s">
        <v>2400</v>
      </c>
      <c r="B781" s="39" t="s">
        <v>67</v>
      </c>
      <c r="C781" s="60" t="s">
        <v>120</v>
      </c>
      <c r="D781" s="39" t="s">
        <v>121</v>
      </c>
      <c r="E781" s="39" t="s">
        <v>151</v>
      </c>
      <c r="F781" s="39" t="s">
        <v>2344</v>
      </c>
      <c r="G781" s="39" t="s">
        <v>125</v>
      </c>
      <c r="H781" s="39" t="s">
        <v>162</v>
      </c>
      <c r="L781" s="39" t="s">
        <v>2401</v>
      </c>
      <c r="M781" s="39" t="s">
        <v>2336</v>
      </c>
      <c r="N781" s="39" t="s">
        <v>2402</v>
      </c>
      <c r="O781" s="39" t="s">
        <v>52</v>
      </c>
      <c r="P781" s="39" t="s">
        <v>65</v>
      </c>
      <c r="Q781" s="40">
        <v>2000</v>
      </c>
      <c r="R781" s="40">
        <v>2205.3378821483766</v>
      </c>
    </row>
    <row r="782" spans="1:18" s="39" customFormat="1" ht="31.25" customHeight="1" x14ac:dyDescent="0.2">
      <c r="A782" s="39" t="s">
        <v>2403</v>
      </c>
      <c r="B782" s="39" t="s">
        <v>67</v>
      </c>
      <c r="C782" s="60" t="s">
        <v>120</v>
      </c>
      <c r="D782" s="39" t="s">
        <v>121</v>
      </c>
      <c r="E782" s="39" t="s">
        <v>151</v>
      </c>
      <c r="F782" s="39" t="s">
        <v>2404</v>
      </c>
      <c r="G782" s="39" t="s">
        <v>125</v>
      </c>
      <c r="L782" s="39" t="s">
        <v>2405</v>
      </c>
      <c r="M782" s="39" t="s">
        <v>2336</v>
      </c>
      <c r="O782" s="39" t="s">
        <v>52</v>
      </c>
      <c r="P782" s="39" t="s">
        <v>65</v>
      </c>
      <c r="Q782" s="40">
        <v>200</v>
      </c>
      <c r="R782" s="40">
        <v>220.53378821483767</v>
      </c>
    </row>
    <row r="783" spans="1:18" s="39" customFormat="1" ht="31.25" customHeight="1" x14ac:dyDescent="0.2">
      <c r="A783" s="39" t="s">
        <v>2406</v>
      </c>
      <c r="B783" s="39" t="s">
        <v>67</v>
      </c>
      <c r="C783" s="60" t="s">
        <v>120</v>
      </c>
      <c r="D783" s="39" t="s">
        <v>121</v>
      </c>
      <c r="E783" s="39" t="s">
        <v>122</v>
      </c>
      <c r="F783" s="39" t="s">
        <v>2407</v>
      </c>
      <c r="G783" s="39" t="s">
        <v>125</v>
      </c>
      <c r="L783" s="39" t="s">
        <v>2408</v>
      </c>
      <c r="M783" s="39" t="s">
        <v>2336</v>
      </c>
      <c r="O783" s="39" t="s">
        <v>53</v>
      </c>
      <c r="P783" s="39" t="s">
        <v>65</v>
      </c>
      <c r="Q783" s="40">
        <v>2600</v>
      </c>
      <c r="R783" s="40">
        <v>2866.9392467928897</v>
      </c>
    </row>
    <row r="784" spans="1:18" s="39" customFormat="1" ht="31.25" customHeight="1" x14ac:dyDescent="0.2">
      <c r="A784" s="39" t="s">
        <v>2409</v>
      </c>
      <c r="B784" s="39" t="s">
        <v>67</v>
      </c>
      <c r="C784" s="60" t="s">
        <v>120</v>
      </c>
      <c r="D784" s="39" t="s">
        <v>121</v>
      </c>
      <c r="E784" s="39" t="s">
        <v>133</v>
      </c>
      <c r="F784" s="39" t="s">
        <v>2410</v>
      </c>
      <c r="G784" s="39" t="s">
        <v>125</v>
      </c>
      <c r="L784" s="39" t="s">
        <v>2411</v>
      </c>
      <c r="M784" s="76" t="s">
        <v>2412</v>
      </c>
      <c r="O784" s="39" t="s">
        <v>52</v>
      </c>
      <c r="P784" s="39" t="s">
        <v>65</v>
      </c>
      <c r="Q784" s="40">
        <v>3400</v>
      </c>
      <c r="R784" s="40">
        <v>3749.0743996522401</v>
      </c>
    </row>
    <row r="785" spans="1:18" s="39" customFormat="1" ht="31.25" customHeight="1" x14ac:dyDescent="0.2">
      <c r="A785" s="50" t="s">
        <v>2413</v>
      </c>
      <c r="B785" s="50" t="s">
        <v>67</v>
      </c>
      <c r="C785" s="60" t="s">
        <v>120</v>
      </c>
      <c r="D785" s="50" t="s">
        <v>137</v>
      </c>
      <c r="E785" s="50" t="s">
        <v>133</v>
      </c>
      <c r="F785" s="50" t="s">
        <v>2414</v>
      </c>
      <c r="G785" s="50" t="s">
        <v>125</v>
      </c>
      <c r="H785" s="50"/>
      <c r="I785" s="50"/>
      <c r="J785" s="50"/>
      <c r="K785" s="50"/>
      <c r="L785" s="50" t="s">
        <v>2415</v>
      </c>
      <c r="M785" s="50" t="s">
        <v>2336</v>
      </c>
      <c r="N785" s="50"/>
      <c r="O785" s="50" t="s">
        <v>52</v>
      </c>
      <c r="P785" s="50" t="s">
        <v>65</v>
      </c>
      <c r="Q785" s="97">
        <v>2500</v>
      </c>
      <c r="R785" s="40">
        <v>2756.6723526854707</v>
      </c>
    </row>
    <row r="786" spans="1:18" s="39" customFormat="1" ht="31.25" customHeight="1" x14ac:dyDescent="0.2">
      <c r="A786" s="75" t="s">
        <v>2416</v>
      </c>
      <c r="B786" s="75" t="s">
        <v>92</v>
      </c>
      <c r="C786" s="75" t="s">
        <v>120</v>
      </c>
      <c r="D786" s="75" t="s">
        <v>121</v>
      </c>
      <c r="E786" s="75" t="s">
        <v>166</v>
      </c>
      <c r="F786" s="75" t="s">
        <v>2417</v>
      </c>
      <c r="G786" s="75" t="s">
        <v>125</v>
      </c>
      <c r="H786" s="75"/>
      <c r="I786" s="75"/>
      <c r="J786" s="75"/>
      <c r="K786" s="75"/>
      <c r="L786" s="75" t="s">
        <v>2418</v>
      </c>
      <c r="M786" s="75" t="s">
        <v>2419</v>
      </c>
      <c r="N786" s="121" t="s">
        <v>2420</v>
      </c>
      <c r="O786" s="75" t="s">
        <v>52</v>
      </c>
      <c r="P786" s="75" t="s">
        <v>2421</v>
      </c>
      <c r="Q786" s="40">
        <v>80</v>
      </c>
      <c r="R786" s="40">
        <v>101.92660491935192</v>
      </c>
    </row>
    <row r="787" spans="1:18" s="39" customFormat="1" ht="31.25" customHeight="1" x14ac:dyDescent="0.2">
      <c r="A787" s="39" t="s">
        <v>2422</v>
      </c>
      <c r="B787" s="39" t="s">
        <v>92</v>
      </c>
      <c r="C787" s="39" t="s">
        <v>120</v>
      </c>
      <c r="D787" s="39" t="s">
        <v>121</v>
      </c>
      <c r="E787" s="39" t="s">
        <v>166</v>
      </c>
      <c r="F787" s="39" t="s">
        <v>2423</v>
      </c>
      <c r="G787" s="39" t="s">
        <v>125</v>
      </c>
      <c r="L787" s="39" t="s">
        <v>2424</v>
      </c>
      <c r="M787" s="76" t="s">
        <v>2425</v>
      </c>
      <c r="O787" s="39" t="s">
        <v>52</v>
      </c>
      <c r="P787" s="39" t="s">
        <v>2421</v>
      </c>
      <c r="Q787" s="40">
        <v>320</v>
      </c>
      <c r="R787" s="40">
        <v>407.70641967740767</v>
      </c>
    </row>
    <row r="788" spans="1:18" s="39" customFormat="1" ht="31.25" customHeight="1" x14ac:dyDescent="0.2">
      <c r="A788" s="39" t="s">
        <v>2426</v>
      </c>
      <c r="B788" s="39" t="s">
        <v>92</v>
      </c>
      <c r="C788" s="39" t="s">
        <v>120</v>
      </c>
      <c r="D788" s="39" t="s">
        <v>121</v>
      </c>
      <c r="E788" s="39" t="s">
        <v>166</v>
      </c>
      <c r="F788" s="39" t="s">
        <v>2427</v>
      </c>
      <c r="G788" s="39" t="s">
        <v>125</v>
      </c>
      <c r="L788" s="39" t="s">
        <v>2428</v>
      </c>
      <c r="M788" s="76" t="s">
        <v>2429</v>
      </c>
      <c r="O788" s="39" t="s">
        <v>52</v>
      </c>
      <c r="P788" s="39" t="s">
        <v>601</v>
      </c>
      <c r="Q788" s="40">
        <v>1400</v>
      </c>
      <c r="R788" s="40">
        <v>1400</v>
      </c>
    </row>
    <row r="789" spans="1:18" s="39" customFormat="1" ht="31.25" customHeight="1" x14ac:dyDescent="0.2">
      <c r="A789" s="39" t="s">
        <v>2430</v>
      </c>
      <c r="B789" s="39" t="s">
        <v>92</v>
      </c>
      <c r="C789" s="39" t="s">
        <v>120</v>
      </c>
      <c r="D789" s="39" t="s">
        <v>121</v>
      </c>
      <c r="E789" s="39" t="s">
        <v>147</v>
      </c>
      <c r="F789" s="39" t="s">
        <v>2431</v>
      </c>
      <c r="G789" s="39" t="s">
        <v>125</v>
      </c>
      <c r="H789" s="39" t="s">
        <v>162</v>
      </c>
      <c r="L789" s="39" t="s">
        <v>2432</v>
      </c>
      <c r="M789" s="39" t="s">
        <v>2433</v>
      </c>
      <c r="O789" s="39" t="s">
        <v>52</v>
      </c>
      <c r="P789" s="39" t="s">
        <v>601</v>
      </c>
      <c r="Q789" s="40">
        <v>182.52</v>
      </c>
      <c r="R789" s="40">
        <v>182.52</v>
      </c>
    </row>
    <row r="790" spans="1:18" s="39" customFormat="1" ht="31.25" customHeight="1" x14ac:dyDescent="0.2">
      <c r="A790" s="39" t="s">
        <v>2434</v>
      </c>
      <c r="B790" s="39" t="s">
        <v>92</v>
      </c>
      <c r="C790" s="39" t="s">
        <v>280</v>
      </c>
      <c r="D790" s="39" t="s">
        <v>121</v>
      </c>
      <c r="E790" s="39" t="s">
        <v>147</v>
      </c>
      <c r="F790" s="39" t="s">
        <v>2435</v>
      </c>
      <c r="G790" s="39" t="s">
        <v>125</v>
      </c>
      <c r="H790" s="39" t="s">
        <v>152</v>
      </c>
      <c r="L790" s="39" t="s">
        <v>2436</v>
      </c>
      <c r="M790" s="39" t="s">
        <v>2433</v>
      </c>
      <c r="O790" s="39" t="s">
        <v>52</v>
      </c>
      <c r="P790" s="39" t="s">
        <v>601</v>
      </c>
      <c r="Q790" s="40">
        <v>195.66</v>
      </c>
      <c r="R790" s="40">
        <v>195.66</v>
      </c>
    </row>
    <row r="791" spans="1:18" s="39" customFormat="1" ht="31.25" customHeight="1" x14ac:dyDescent="0.2">
      <c r="A791" s="39" t="s">
        <v>2437</v>
      </c>
      <c r="B791" s="39" t="s">
        <v>92</v>
      </c>
      <c r="C791" s="39" t="s">
        <v>280</v>
      </c>
      <c r="D791" s="39" t="s">
        <v>121</v>
      </c>
      <c r="E791" s="39" t="s">
        <v>166</v>
      </c>
      <c r="F791" s="39" t="s">
        <v>2438</v>
      </c>
      <c r="G791" s="39" t="s">
        <v>125</v>
      </c>
      <c r="H791" s="39" t="s">
        <v>152</v>
      </c>
      <c r="L791" s="39" t="s">
        <v>2439</v>
      </c>
      <c r="M791" s="39" t="s">
        <v>2433</v>
      </c>
      <c r="O791" s="39" t="s">
        <v>52</v>
      </c>
      <c r="P791" s="39" t="s">
        <v>601</v>
      </c>
      <c r="Q791" s="40">
        <v>34.14</v>
      </c>
      <c r="R791" s="40">
        <v>34.14</v>
      </c>
    </row>
    <row r="792" spans="1:18" s="39" customFormat="1" ht="31.25" customHeight="1" x14ac:dyDescent="0.2">
      <c r="A792" s="39" t="s">
        <v>2440</v>
      </c>
      <c r="B792" s="39" t="s">
        <v>92</v>
      </c>
      <c r="C792" s="39" t="s">
        <v>280</v>
      </c>
      <c r="D792" s="39" t="s">
        <v>121</v>
      </c>
      <c r="E792" s="39" t="s">
        <v>166</v>
      </c>
      <c r="F792" s="39" t="s">
        <v>2441</v>
      </c>
      <c r="G792" s="39" t="s">
        <v>125</v>
      </c>
      <c r="H792" s="39" t="s">
        <v>152</v>
      </c>
      <c r="L792" s="39" t="s">
        <v>2442</v>
      </c>
      <c r="M792" s="39" t="s">
        <v>2433</v>
      </c>
      <c r="O792" s="39" t="s">
        <v>52</v>
      </c>
      <c r="P792" s="39" t="s">
        <v>601</v>
      </c>
      <c r="Q792" s="40">
        <v>13.13</v>
      </c>
      <c r="R792" s="40">
        <v>13.13</v>
      </c>
    </row>
    <row r="793" spans="1:18" s="39" customFormat="1" ht="31.25" customHeight="1" x14ac:dyDescent="0.2">
      <c r="A793" s="39" t="s">
        <v>2443</v>
      </c>
      <c r="B793" s="39" t="s">
        <v>92</v>
      </c>
      <c r="C793" s="39" t="s">
        <v>280</v>
      </c>
      <c r="D793" s="39" t="s">
        <v>137</v>
      </c>
      <c r="E793" s="39" t="s">
        <v>133</v>
      </c>
      <c r="F793" s="39" t="s">
        <v>2444</v>
      </c>
      <c r="G793" s="39" t="s">
        <v>125</v>
      </c>
      <c r="L793" s="39" t="s">
        <v>2445</v>
      </c>
      <c r="M793" s="39" t="s">
        <v>2433</v>
      </c>
      <c r="O793" s="39" t="s">
        <v>52</v>
      </c>
      <c r="P793" s="39" t="s">
        <v>601</v>
      </c>
      <c r="Q793" s="40">
        <v>19.7</v>
      </c>
      <c r="R793" s="40">
        <v>19.7</v>
      </c>
    </row>
    <row r="794" spans="1:18" s="39" customFormat="1" ht="31.25" customHeight="1" x14ac:dyDescent="0.2">
      <c r="A794" s="39" t="s">
        <v>2446</v>
      </c>
      <c r="B794" s="39" t="s">
        <v>92</v>
      </c>
      <c r="C794" s="39" t="s">
        <v>171</v>
      </c>
      <c r="D794" s="39" t="s">
        <v>137</v>
      </c>
      <c r="E794" s="39" t="s">
        <v>133</v>
      </c>
      <c r="G794" s="39" t="s">
        <v>125</v>
      </c>
      <c r="L794" s="39" t="s">
        <v>2447</v>
      </c>
      <c r="M794" s="76" t="s">
        <v>2448</v>
      </c>
      <c r="O794" s="39" t="s">
        <v>53</v>
      </c>
      <c r="P794" s="39" t="s">
        <v>2421</v>
      </c>
      <c r="Q794" s="154"/>
      <c r="R794" s="40">
        <v>0</v>
      </c>
    </row>
    <row r="795" spans="1:18" s="39" customFormat="1" ht="31.25" customHeight="1" x14ac:dyDescent="0.2">
      <c r="A795" s="39" t="s">
        <v>2449</v>
      </c>
      <c r="B795" s="39" t="s">
        <v>92</v>
      </c>
      <c r="C795" s="39" t="s">
        <v>120</v>
      </c>
      <c r="D795" s="39" t="s">
        <v>137</v>
      </c>
      <c r="E795" s="39" t="s">
        <v>133</v>
      </c>
      <c r="F795" s="39" t="s">
        <v>2450</v>
      </c>
      <c r="G795" s="39" t="s">
        <v>125</v>
      </c>
      <c r="L795" s="39" t="s">
        <v>2451</v>
      </c>
      <c r="M795" s="76" t="s">
        <v>2452</v>
      </c>
      <c r="N795" s="39" t="s">
        <v>2453</v>
      </c>
      <c r="O795" s="39" t="s">
        <v>53</v>
      </c>
      <c r="P795" s="39" t="s">
        <v>601</v>
      </c>
      <c r="Q795" s="40">
        <v>7340</v>
      </c>
      <c r="R795" s="40">
        <v>7340</v>
      </c>
    </row>
    <row r="796" spans="1:18" s="39" customFormat="1" ht="31.25" customHeight="1" x14ac:dyDescent="0.2">
      <c r="A796" s="39" t="s">
        <v>2454</v>
      </c>
      <c r="B796" s="39" t="s">
        <v>92</v>
      </c>
      <c r="C796" s="39" t="s">
        <v>120</v>
      </c>
      <c r="D796" s="39" t="s">
        <v>121</v>
      </c>
      <c r="E796" s="39" t="s">
        <v>251</v>
      </c>
      <c r="F796" s="39" t="s">
        <v>2455</v>
      </c>
      <c r="G796" s="39" t="s">
        <v>125</v>
      </c>
      <c r="L796" s="39" t="s">
        <v>2456</v>
      </c>
      <c r="M796" s="76" t="s">
        <v>2457</v>
      </c>
      <c r="O796" s="39" t="s">
        <v>52</v>
      </c>
      <c r="P796" s="39" t="s">
        <v>2421</v>
      </c>
      <c r="Q796" s="40">
        <v>13400</v>
      </c>
      <c r="R796" s="40">
        <v>17072.706323991446</v>
      </c>
    </row>
    <row r="797" spans="1:18" s="39" customFormat="1" ht="31.25" customHeight="1" x14ac:dyDescent="0.2">
      <c r="A797" s="39" t="s">
        <v>2458</v>
      </c>
      <c r="B797" s="39" t="s">
        <v>92</v>
      </c>
      <c r="C797" s="39" t="s">
        <v>120</v>
      </c>
      <c r="D797" s="39" t="s">
        <v>121</v>
      </c>
      <c r="E797" s="39" t="s">
        <v>166</v>
      </c>
      <c r="F797" s="39" t="s">
        <v>2459</v>
      </c>
      <c r="G797" s="39" t="s">
        <v>125</v>
      </c>
      <c r="H797" s="39" t="s">
        <v>162</v>
      </c>
      <c r="L797" s="39" t="s">
        <v>2460</v>
      </c>
      <c r="M797" s="39" t="s">
        <v>2461</v>
      </c>
      <c r="N797" s="39" t="s">
        <v>2462</v>
      </c>
      <c r="O797" s="39" t="s">
        <v>52</v>
      </c>
      <c r="P797" s="39" t="s">
        <v>2421</v>
      </c>
      <c r="Q797" s="40">
        <v>110</v>
      </c>
      <c r="R797" s="40">
        <v>140.1490817641089</v>
      </c>
    </row>
    <row r="798" spans="1:18" s="39" customFormat="1" ht="31.25" customHeight="1" x14ac:dyDescent="0.2">
      <c r="A798" s="39" t="s">
        <v>2463</v>
      </c>
      <c r="B798" s="39" t="s">
        <v>92</v>
      </c>
      <c r="C798" s="39" t="s">
        <v>280</v>
      </c>
      <c r="D798" s="39" t="s">
        <v>121</v>
      </c>
      <c r="E798" s="39" t="s">
        <v>251</v>
      </c>
      <c r="F798" s="39" t="s">
        <v>2464</v>
      </c>
      <c r="G798" s="39" t="s">
        <v>125</v>
      </c>
      <c r="L798" s="39" t="s">
        <v>2465</v>
      </c>
      <c r="M798" s="76" t="s">
        <v>2466</v>
      </c>
      <c r="O798" s="39" t="s">
        <v>52</v>
      </c>
      <c r="P798" s="39" t="s">
        <v>2421</v>
      </c>
      <c r="Q798" s="40">
        <v>73.5</v>
      </c>
      <c r="R798" s="40">
        <v>93.645068269654587</v>
      </c>
    </row>
    <row r="799" spans="1:18" s="39" customFormat="1" ht="31.25" customHeight="1" x14ac:dyDescent="0.2">
      <c r="A799" s="39" t="s">
        <v>2467</v>
      </c>
      <c r="B799" s="39" t="s">
        <v>92</v>
      </c>
      <c r="C799" s="39" t="s">
        <v>120</v>
      </c>
      <c r="D799" s="39" t="s">
        <v>121</v>
      </c>
      <c r="E799" s="39" t="s">
        <v>147</v>
      </c>
      <c r="F799" s="155" t="s">
        <v>2468</v>
      </c>
      <c r="G799" s="39" t="s">
        <v>125</v>
      </c>
      <c r="H799" s="39" t="s">
        <v>162</v>
      </c>
      <c r="L799" s="39" t="s">
        <v>2469</v>
      </c>
      <c r="M799" s="39" t="s">
        <v>2470</v>
      </c>
      <c r="O799" s="39" t="s">
        <v>55</v>
      </c>
      <c r="P799" s="39" t="s">
        <v>601</v>
      </c>
      <c r="Q799" s="40">
        <v>495.72</v>
      </c>
      <c r="R799" s="40">
        <v>495.72</v>
      </c>
    </row>
    <row r="800" spans="1:18" s="39" customFormat="1" ht="31.25" customHeight="1" x14ac:dyDescent="0.2">
      <c r="A800" s="39" t="s">
        <v>2471</v>
      </c>
      <c r="B800" s="39" t="s">
        <v>92</v>
      </c>
      <c r="C800" s="39" t="s">
        <v>120</v>
      </c>
      <c r="D800" s="39" t="s">
        <v>121</v>
      </c>
      <c r="E800" s="39" t="s">
        <v>147</v>
      </c>
      <c r="F800" s="155" t="s">
        <v>2472</v>
      </c>
      <c r="G800" s="39" t="s">
        <v>125</v>
      </c>
      <c r="H800" s="39" t="s">
        <v>162</v>
      </c>
      <c r="L800" s="39" t="s">
        <v>2473</v>
      </c>
      <c r="M800" s="76" t="s">
        <v>2470</v>
      </c>
      <c r="O800" s="39" t="s">
        <v>55</v>
      </c>
      <c r="P800" s="39" t="s">
        <v>601</v>
      </c>
      <c r="Q800" s="40">
        <v>181.77</v>
      </c>
      <c r="R800" s="40">
        <v>181.77</v>
      </c>
    </row>
    <row r="801" spans="1:18" s="39" customFormat="1" ht="31.25" customHeight="1" x14ac:dyDescent="0.2">
      <c r="A801" s="39" t="s">
        <v>2474</v>
      </c>
      <c r="B801" s="39" t="s">
        <v>92</v>
      </c>
      <c r="C801" s="39" t="s">
        <v>120</v>
      </c>
      <c r="D801" s="39" t="s">
        <v>121</v>
      </c>
      <c r="E801" s="39" t="s">
        <v>147</v>
      </c>
      <c r="F801" s="39" t="s">
        <v>2475</v>
      </c>
      <c r="G801" s="39" t="s">
        <v>125</v>
      </c>
      <c r="H801" s="39" t="s">
        <v>162</v>
      </c>
      <c r="L801" s="39" t="s">
        <v>2476</v>
      </c>
      <c r="M801" s="39" t="s">
        <v>2470</v>
      </c>
      <c r="O801" s="39" t="s">
        <v>55</v>
      </c>
      <c r="P801" s="39" t="s">
        <v>601</v>
      </c>
      <c r="Q801" s="40">
        <v>991.45</v>
      </c>
      <c r="R801" s="40">
        <v>991.45</v>
      </c>
    </row>
    <row r="802" spans="1:18" s="39" customFormat="1" ht="31.25" customHeight="1" x14ac:dyDescent="0.2">
      <c r="A802" s="39" t="s">
        <v>2477</v>
      </c>
      <c r="B802" s="39" t="s">
        <v>92</v>
      </c>
      <c r="C802" s="39" t="s">
        <v>120</v>
      </c>
      <c r="D802" s="39" t="s">
        <v>121</v>
      </c>
      <c r="E802" s="39" t="s">
        <v>147</v>
      </c>
      <c r="F802" s="39" t="s">
        <v>2478</v>
      </c>
      <c r="G802" s="39" t="s">
        <v>125</v>
      </c>
      <c r="H802" s="39" t="s">
        <v>162</v>
      </c>
      <c r="L802" s="39" t="s">
        <v>2479</v>
      </c>
      <c r="M802" s="39" t="s">
        <v>2470</v>
      </c>
      <c r="O802" s="39" t="s">
        <v>55</v>
      </c>
      <c r="P802" s="39" t="s">
        <v>601</v>
      </c>
      <c r="Q802" s="40">
        <v>991.45</v>
      </c>
      <c r="R802" s="40">
        <v>991.45</v>
      </c>
    </row>
    <row r="803" spans="1:18" s="39" customFormat="1" ht="31.25" customHeight="1" x14ac:dyDescent="0.2">
      <c r="A803" s="39" t="s">
        <v>2480</v>
      </c>
      <c r="B803" s="39" t="s">
        <v>92</v>
      </c>
      <c r="C803" s="39" t="s">
        <v>120</v>
      </c>
      <c r="D803" s="39" t="s">
        <v>121</v>
      </c>
      <c r="E803" s="39" t="s">
        <v>122</v>
      </c>
      <c r="F803" s="39" t="s">
        <v>2478</v>
      </c>
      <c r="G803" s="39" t="s">
        <v>125</v>
      </c>
      <c r="H803" s="39" t="s">
        <v>162</v>
      </c>
      <c r="L803" s="39" t="s">
        <v>2481</v>
      </c>
      <c r="M803" s="39" t="s">
        <v>2470</v>
      </c>
      <c r="O803" s="39" t="s">
        <v>55</v>
      </c>
      <c r="P803" s="39" t="s">
        <v>601</v>
      </c>
      <c r="Q803" s="40">
        <v>991.45</v>
      </c>
      <c r="R803" s="40">
        <v>991.45</v>
      </c>
    </row>
    <row r="804" spans="1:18" s="39" customFormat="1" ht="31.25" customHeight="1" x14ac:dyDescent="0.2">
      <c r="A804" s="39" t="s">
        <v>2482</v>
      </c>
      <c r="B804" s="39" t="s">
        <v>92</v>
      </c>
      <c r="C804" s="39" t="s">
        <v>120</v>
      </c>
      <c r="D804" s="39" t="s">
        <v>121</v>
      </c>
      <c r="E804" s="39" t="s">
        <v>122</v>
      </c>
      <c r="F804" s="39" t="s">
        <v>2478</v>
      </c>
      <c r="G804" s="39" t="s">
        <v>125</v>
      </c>
      <c r="H804" s="39" t="s">
        <v>162</v>
      </c>
      <c r="L804" s="39" t="s">
        <v>2483</v>
      </c>
      <c r="M804" s="39" t="s">
        <v>2470</v>
      </c>
      <c r="O804" s="39" t="s">
        <v>55</v>
      </c>
      <c r="P804" s="39" t="s">
        <v>601</v>
      </c>
      <c r="Q804" s="40">
        <v>991.45</v>
      </c>
      <c r="R804" s="40">
        <v>991.45</v>
      </c>
    </row>
    <row r="805" spans="1:18" s="39" customFormat="1" ht="31.25" customHeight="1" x14ac:dyDescent="0.2">
      <c r="A805" s="39" t="s">
        <v>2484</v>
      </c>
      <c r="B805" s="39" t="s">
        <v>92</v>
      </c>
      <c r="C805" s="39" t="s">
        <v>120</v>
      </c>
      <c r="D805" s="39" t="s">
        <v>121</v>
      </c>
      <c r="E805" s="39" t="s">
        <v>122</v>
      </c>
      <c r="F805" s="39" t="s">
        <v>2468</v>
      </c>
      <c r="G805" s="39" t="s">
        <v>125</v>
      </c>
      <c r="H805" s="39" t="s">
        <v>162</v>
      </c>
      <c r="L805" s="39" t="s">
        <v>2485</v>
      </c>
      <c r="M805" s="39" t="s">
        <v>2470</v>
      </c>
      <c r="O805" s="39" t="s">
        <v>55</v>
      </c>
      <c r="P805" s="39" t="s">
        <v>601</v>
      </c>
      <c r="Q805" s="40">
        <v>495.72</v>
      </c>
      <c r="R805" s="40">
        <v>495.72</v>
      </c>
    </row>
    <row r="806" spans="1:18" s="39" customFormat="1" ht="31.25" customHeight="1" x14ac:dyDescent="0.2">
      <c r="A806" s="39" t="s">
        <v>2486</v>
      </c>
      <c r="B806" s="39" t="s">
        <v>92</v>
      </c>
      <c r="C806" s="39" t="s">
        <v>120</v>
      </c>
      <c r="D806" s="39" t="s">
        <v>121</v>
      </c>
      <c r="E806" s="39" t="s">
        <v>122</v>
      </c>
      <c r="F806" s="39" t="s">
        <v>2468</v>
      </c>
      <c r="G806" s="39" t="s">
        <v>125</v>
      </c>
      <c r="H806" s="39" t="s">
        <v>162</v>
      </c>
      <c r="L806" s="39" t="s">
        <v>2487</v>
      </c>
      <c r="M806" s="39" t="s">
        <v>2470</v>
      </c>
      <c r="O806" s="39" t="s">
        <v>55</v>
      </c>
      <c r="P806" s="39" t="s">
        <v>601</v>
      </c>
      <c r="Q806" s="40">
        <v>495.72</v>
      </c>
      <c r="R806" s="40">
        <v>495.72</v>
      </c>
    </row>
    <row r="807" spans="1:18" s="39" customFormat="1" ht="31.25" customHeight="1" x14ac:dyDescent="0.2">
      <c r="A807" s="39" t="s">
        <v>2488</v>
      </c>
      <c r="B807" s="39" t="s">
        <v>92</v>
      </c>
      <c r="C807" s="39" t="s">
        <v>120</v>
      </c>
      <c r="D807" s="39" t="s">
        <v>121</v>
      </c>
      <c r="E807" s="39" t="s">
        <v>147</v>
      </c>
      <c r="G807" s="39" t="s">
        <v>125</v>
      </c>
      <c r="H807" s="39" t="s">
        <v>162</v>
      </c>
      <c r="L807" s="39" t="s">
        <v>2489</v>
      </c>
      <c r="M807" s="39" t="s">
        <v>2490</v>
      </c>
      <c r="O807" s="39" t="s">
        <v>52</v>
      </c>
      <c r="P807" s="39" t="s">
        <v>601</v>
      </c>
      <c r="Q807" s="40" t="s">
        <v>1604</v>
      </c>
      <c r="R807" s="40" t="s">
        <v>1604</v>
      </c>
    </row>
    <row r="808" spans="1:18" s="39" customFormat="1" ht="31.25" customHeight="1" x14ac:dyDescent="0.2">
      <c r="A808" s="39" t="s">
        <v>2491</v>
      </c>
      <c r="B808" s="39" t="s">
        <v>92</v>
      </c>
      <c r="C808" s="39" t="s">
        <v>120</v>
      </c>
      <c r="D808" s="39" t="s">
        <v>121</v>
      </c>
      <c r="E808" s="39" t="s">
        <v>251</v>
      </c>
      <c r="F808" s="39" t="s">
        <v>2492</v>
      </c>
      <c r="G808" s="39" t="s">
        <v>125</v>
      </c>
      <c r="H808" s="39" t="s">
        <v>162</v>
      </c>
      <c r="L808" s="39" t="s">
        <v>2493</v>
      </c>
      <c r="M808" s="76" t="s">
        <v>2494</v>
      </c>
      <c r="O808" s="39" t="s">
        <v>52</v>
      </c>
      <c r="P808" s="39" t="s">
        <v>601</v>
      </c>
      <c r="Q808" s="40">
        <v>2630</v>
      </c>
      <c r="R808" s="40">
        <v>2630</v>
      </c>
    </row>
    <row r="809" spans="1:18" s="39" customFormat="1" ht="31.25" customHeight="1" x14ac:dyDescent="0.2">
      <c r="A809" s="39" t="s">
        <v>2495</v>
      </c>
      <c r="B809" s="39" t="s">
        <v>92</v>
      </c>
      <c r="C809" s="39" t="s">
        <v>171</v>
      </c>
      <c r="D809" s="39" t="s">
        <v>121</v>
      </c>
      <c r="E809" s="39" t="s">
        <v>251</v>
      </c>
      <c r="F809" s="39" t="s">
        <v>1623</v>
      </c>
      <c r="G809" s="39" t="s">
        <v>125</v>
      </c>
      <c r="H809" s="39" t="s">
        <v>162</v>
      </c>
      <c r="L809" s="39" t="s">
        <v>2496</v>
      </c>
      <c r="M809" s="39" t="s">
        <v>2494</v>
      </c>
      <c r="O809" s="39" t="s">
        <v>52</v>
      </c>
      <c r="P809" s="39" t="s">
        <v>601</v>
      </c>
      <c r="Q809" s="40" t="s">
        <v>1604</v>
      </c>
      <c r="R809" s="40" t="s">
        <v>1604</v>
      </c>
    </row>
    <row r="810" spans="1:18" s="39" customFormat="1" ht="31.25" customHeight="1" x14ac:dyDescent="0.2">
      <c r="A810" s="39" t="s">
        <v>2497</v>
      </c>
      <c r="B810" s="39" t="s">
        <v>92</v>
      </c>
      <c r="C810" s="39" t="s">
        <v>171</v>
      </c>
      <c r="D810" s="39" t="s">
        <v>121</v>
      </c>
      <c r="E810" s="39" t="s">
        <v>251</v>
      </c>
      <c r="F810" s="39" t="s">
        <v>1623</v>
      </c>
      <c r="G810" s="39" t="s">
        <v>125</v>
      </c>
      <c r="H810" s="39" t="s">
        <v>162</v>
      </c>
      <c r="L810" s="39" t="s">
        <v>2498</v>
      </c>
      <c r="M810" s="39" t="s">
        <v>2494</v>
      </c>
      <c r="O810" s="39" t="s">
        <v>52</v>
      </c>
      <c r="P810" s="39" t="s">
        <v>601</v>
      </c>
      <c r="Q810" s="40" t="s">
        <v>1604</v>
      </c>
      <c r="R810" s="40" t="s">
        <v>1604</v>
      </c>
    </row>
    <row r="811" spans="1:18" s="39" customFormat="1" ht="31.25" customHeight="1" x14ac:dyDescent="0.2">
      <c r="A811" s="39" t="s">
        <v>2499</v>
      </c>
      <c r="B811" s="39" t="s">
        <v>92</v>
      </c>
      <c r="C811" s="39" t="s">
        <v>280</v>
      </c>
      <c r="D811" s="39" t="s">
        <v>121</v>
      </c>
      <c r="E811" s="39" t="s">
        <v>251</v>
      </c>
      <c r="F811" s="39" t="s">
        <v>2500</v>
      </c>
      <c r="G811" s="39" t="s">
        <v>125</v>
      </c>
      <c r="H811" s="39" t="s">
        <v>162</v>
      </c>
      <c r="L811" s="39" t="s">
        <v>2501</v>
      </c>
      <c r="M811" s="39" t="s">
        <v>2502</v>
      </c>
      <c r="O811" s="39" t="s">
        <v>52</v>
      </c>
      <c r="P811" s="39" t="s">
        <v>601</v>
      </c>
      <c r="Q811" s="40">
        <v>13.14</v>
      </c>
      <c r="R811" s="40">
        <v>13.14</v>
      </c>
    </row>
    <row r="812" spans="1:18" s="39" customFormat="1" ht="31.25" customHeight="1" x14ac:dyDescent="0.2">
      <c r="A812" s="39" t="s">
        <v>2503</v>
      </c>
      <c r="B812" s="39" t="s">
        <v>92</v>
      </c>
      <c r="C812" s="39" t="s">
        <v>120</v>
      </c>
      <c r="D812" s="39" t="s">
        <v>137</v>
      </c>
      <c r="E812" s="39" t="s">
        <v>133</v>
      </c>
      <c r="F812" s="39" t="s">
        <v>2504</v>
      </c>
      <c r="G812" s="39" t="s">
        <v>208</v>
      </c>
      <c r="L812" s="39" t="s">
        <v>2505</v>
      </c>
      <c r="M812" s="39" t="s">
        <v>2506</v>
      </c>
      <c r="O812" s="39" t="s">
        <v>52</v>
      </c>
      <c r="P812" s="39" t="s">
        <v>601</v>
      </c>
      <c r="Q812" s="40">
        <v>223.31</v>
      </c>
      <c r="R812" s="40">
        <v>223.31</v>
      </c>
    </row>
    <row r="813" spans="1:18" s="39" customFormat="1" ht="31.25" customHeight="1" x14ac:dyDescent="0.2">
      <c r="A813" s="39" t="s">
        <v>2507</v>
      </c>
      <c r="B813" s="39" t="s">
        <v>92</v>
      </c>
      <c r="C813" s="39" t="s">
        <v>171</v>
      </c>
      <c r="D813" s="39" t="s">
        <v>160</v>
      </c>
      <c r="E813" s="39" t="s">
        <v>151</v>
      </c>
      <c r="G813" s="39" t="s">
        <v>125</v>
      </c>
      <c r="H813" s="39" t="s">
        <v>162</v>
      </c>
      <c r="L813" s="39" t="s">
        <v>2508</v>
      </c>
      <c r="M813" s="39" t="s">
        <v>2509</v>
      </c>
      <c r="O813" s="39" t="s">
        <v>52</v>
      </c>
      <c r="P813" s="39" t="s">
        <v>601</v>
      </c>
      <c r="Q813" s="40" t="s">
        <v>1604</v>
      </c>
      <c r="R813" s="40" t="s">
        <v>1604</v>
      </c>
    </row>
    <row r="814" spans="1:18" s="39" customFormat="1" ht="31.25" customHeight="1" x14ac:dyDescent="0.2">
      <c r="A814" s="39" t="s">
        <v>2510</v>
      </c>
      <c r="B814" s="39" t="s">
        <v>92</v>
      </c>
      <c r="C814" s="39" t="s">
        <v>120</v>
      </c>
      <c r="D814" s="39" t="s">
        <v>160</v>
      </c>
      <c r="E814" s="39" t="s">
        <v>151</v>
      </c>
      <c r="F814" s="39" t="s">
        <v>2511</v>
      </c>
      <c r="G814" s="39" t="s">
        <v>125</v>
      </c>
      <c r="L814" s="39" t="s">
        <v>2512</v>
      </c>
      <c r="M814" s="39" t="s">
        <v>2513</v>
      </c>
      <c r="O814" s="39" t="s">
        <v>52</v>
      </c>
      <c r="P814" s="39" t="s">
        <v>601</v>
      </c>
      <c r="Q814" s="40">
        <v>80</v>
      </c>
      <c r="R814" s="40">
        <v>80</v>
      </c>
    </row>
    <row r="815" spans="1:18" s="39" customFormat="1" ht="31.25" customHeight="1" x14ac:dyDescent="0.2">
      <c r="A815" s="39" t="s">
        <v>2514</v>
      </c>
      <c r="B815" s="39" t="s">
        <v>92</v>
      </c>
      <c r="C815" s="39" t="s">
        <v>120</v>
      </c>
      <c r="D815" s="39" t="s">
        <v>160</v>
      </c>
      <c r="E815" s="39" t="s">
        <v>151</v>
      </c>
      <c r="F815" s="39" t="s">
        <v>2515</v>
      </c>
      <c r="G815" s="39" t="s">
        <v>125</v>
      </c>
      <c r="L815" s="39" t="s">
        <v>2516</v>
      </c>
      <c r="M815" s="39" t="s">
        <v>2517</v>
      </c>
      <c r="O815" s="39" t="s">
        <v>52</v>
      </c>
      <c r="P815" s="39" t="s">
        <v>601</v>
      </c>
      <c r="Q815" s="40">
        <v>2020</v>
      </c>
      <c r="R815" s="40">
        <v>2020</v>
      </c>
    </row>
    <row r="816" spans="1:18" s="39" customFormat="1" ht="31.25" customHeight="1" x14ac:dyDescent="0.2">
      <c r="A816" s="39" t="s">
        <v>2518</v>
      </c>
      <c r="B816" s="39" t="s">
        <v>92</v>
      </c>
      <c r="C816" s="39" t="s">
        <v>120</v>
      </c>
      <c r="D816" s="39" t="s">
        <v>121</v>
      </c>
      <c r="E816" s="39" t="s">
        <v>166</v>
      </c>
      <c r="F816" s="39" t="s">
        <v>2519</v>
      </c>
      <c r="G816" s="39" t="s">
        <v>125</v>
      </c>
      <c r="L816" s="39" t="s">
        <v>2520</v>
      </c>
      <c r="M816" s="39" t="s">
        <v>2521</v>
      </c>
      <c r="O816" s="39" t="s">
        <v>53</v>
      </c>
      <c r="P816" s="39" t="s">
        <v>2421</v>
      </c>
      <c r="Q816" s="40">
        <v>1300</v>
      </c>
      <c r="R816" s="40">
        <v>1656.3073299394687</v>
      </c>
    </row>
    <row r="817" spans="1:18" s="39" customFormat="1" ht="31.25" customHeight="1" x14ac:dyDescent="0.2">
      <c r="A817" s="39" t="s">
        <v>2522</v>
      </c>
      <c r="B817" s="39" t="s">
        <v>92</v>
      </c>
      <c r="C817" s="39" t="s">
        <v>120</v>
      </c>
      <c r="D817" s="39" t="s">
        <v>160</v>
      </c>
      <c r="E817" s="39" t="s">
        <v>133</v>
      </c>
      <c r="F817" s="39" t="s">
        <v>2523</v>
      </c>
      <c r="G817" s="39" t="s">
        <v>125</v>
      </c>
      <c r="L817" s="39" t="s">
        <v>2524</v>
      </c>
      <c r="N817" s="39" t="s">
        <v>2525</v>
      </c>
      <c r="O817" s="39" t="s">
        <v>53</v>
      </c>
      <c r="P817" s="39" t="s">
        <v>601</v>
      </c>
      <c r="Q817" s="40">
        <v>1890</v>
      </c>
      <c r="R817" s="40">
        <v>1890</v>
      </c>
    </row>
    <row r="818" spans="1:18" s="39" customFormat="1" ht="31.25" customHeight="1" x14ac:dyDescent="0.2">
      <c r="A818" s="39" t="s">
        <v>2526</v>
      </c>
      <c r="B818" s="39" t="s">
        <v>92</v>
      </c>
      <c r="C818" s="39" t="s">
        <v>280</v>
      </c>
      <c r="D818" s="39" t="s">
        <v>121</v>
      </c>
      <c r="E818" s="39" t="s">
        <v>122</v>
      </c>
      <c r="F818" s="39" t="s">
        <v>2527</v>
      </c>
      <c r="G818" s="39" t="s">
        <v>125</v>
      </c>
      <c r="L818" s="39" t="s">
        <v>2528</v>
      </c>
      <c r="M818" s="39" t="s">
        <v>2529</v>
      </c>
      <c r="N818" s="39" t="s">
        <v>2530</v>
      </c>
      <c r="O818" s="39" t="s">
        <v>52</v>
      </c>
      <c r="P818" s="39" t="s">
        <v>601</v>
      </c>
      <c r="Q818" s="40">
        <v>250</v>
      </c>
      <c r="R818" s="40">
        <v>250</v>
      </c>
    </row>
    <row r="819" spans="1:18" s="39" customFormat="1" ht="31.25" customHeight="1" x14ac:dyDescent="0.2">
      <c r="A819" s="39" t="s">
        <v>2531</v>
      </c>
      <c r="B819" s="39" t="s">
        <v>92</v>
      </c>
      <c r="C819" s="39" t="s">
        <v>171</v>
      </c>
      <c r="D819" s="39" t="s">
        <v>121</v>
      </c>
      <c r="E819" s="39" t="s">
        <v>251</v>
      </c>
      <c r="F819" s="39" t="s">
        <v>1623</v>
      </c>
      <c r="G819" s="39" t="s">
        <v>125</v>
      </c>
      <c r="H819" s="39" t="s">
        <v>162</v>
      </c>
      <c r="L819" s="54" t="s">
        <v>2532</v>
      </c>
      <c r="M819" s="39" t="s">
        <v>2533</v>
      </c>
      <c r="O819" s="39" t="s">
        <v>52</v>
      </c>
      <c r="P819" s="39" t="s">
        <v>601</v>
      </c>
      <c r="Q819" s="40" t="s">
        <v>1604</v>
      </c>
      <c r="R819" s="40" t="s">
        <v>1604</v>
      </c>
    </row>
    <row r="820" spans="1:18" s="39" customFormat="1" ht="31.25" customHeight="1" x14ac:dyDescent="0.2">
      <c r="A820" s="39" t="s">
        <v>2534</v>
      </c>
      <c r="B820" s="39" t="s">
        <v>92</v>
      </c>
      <c r="C820" s="39" t="s">
        <v>177</v>
      </c>
      <c r="D820" s="39" t="s">
        <v>121</v>
      </c>
      <c r="E820" s="39" t="s">
        <v>151</v>
      </c>
      <c r="F820" s="39" t="s">
        <v>2535</v>
      </c>
      <c r="G820" s="39" t="s">
        <v>125</v>
      </c>
      <c r="H820" s="39" t="s">
        <v>162</v>
      </c>
      <c r="L820" s="39" t="s">
        <v>2536</v>
      </c>
      <c r="M820" s="39" t="s">
        <v>2533</v>
      </c>
      <c r="O820" s="39" t="s">
        <v>52</v>
      </c>
      <c r="P820" s="39" t="s">
        <v>601</v>
      </c>
      <c r="Q820" s="40" t="s">
        <v>1604</v>
      </c>
      <c r="R820" s="40" t="s">
        <v>1604</v>
      </c>
    </row>
    <row r="821" spans="1:18" s="39" customFormat="1" ht="31.25" customHeight="1" x14ac:dyDescent="0.2">
      <c r="A821" s="39" t="s">
        <v>2537</v>
      </c>
      <c r="B821" s="39" t="s">
        <v>92</v>
      </c>
      <c r="C821" s="39" t="s">
        <v>177</v>
      </c>
      <c r="D821" s="39" t="s">
        <v>121</v>
      </c>
      <c r="E821" s="39" t="s">
        <v>151</v>
      </c>
      <c r="F821" s="39" t="s">
        <v>2538</v>
      </c>
      <c r="G821" s="39" t="s">
        <v>125</v>
      </c>
      <c r="H821" s="39" t="s">
        <v>162</v>
      </c>
      <c r="L821" s="39" t="s">
        <v>2539</v>
      </c>
      <c r="M821" s="39" t="s">
        <v>2533</v>
      </c>
      <c r="O821" s="39" t="s">
        <v>52</v>
      </c>
      <c r="P821" s="39" t="s">
        <v>601</v>
      </c>
      <c r="Q821" s="40">
        <v>212.5</v>
      </c>
      <c r="R821" s="40">
        <v>212.5</v>
      </c>
    </row>
    <row r="822" spans="1:18" s="39" customFormat="1" ht="31.25" customHeight="1" x14ac:dyDescent="0.2">
      <c r="A822" s="39" t="s">
        <v>2540</v>
      </c>
      <c r="B822" s="39" t="s">
        <v>92</v>
      </c>
      <c r="C822" s="39" t="s">
        <v>177</v>
      </c>
      <c r="D822" s="39" t="s">
        <v>121</v>
      </c>
      <c r="E822" s="39" t="s">
        <v>133</v>
      </c>
      <c r="F822" s="39" t="s">
        <v>2535</v>
      </c>
      <c r="G822" s="39" t="s">
        <v>125</v>
      </c>
      <c r="H822" s="39" t="s">
        <v>162</v>
      </c>
      <c r="L822" s="39" t="s">
        <v>2541</v>
      </c>
      <c r="M822" s="39" t="s">
        <v>2533</v>
      </c>
      <c r="O822" s="39" t="s">
        <v>52</v>
      </c>
      <c r="P822" s="39" t="s">
        <v>601</v>
      </c>
      <c r="Q822" s="40" t="s">
        <v>1604</v>
      </c>
      <c r="R822" s="40" t="s">
        <v>1604</v>
      </c>
    </row>
    <row r="823" spans="1:18" s="39" customFormat="1" ht="31.25" customHeight="1" x14ac:dyDescent="0.2">
      <c r="A823" s="39" t="s">
        <v>2542</v>
      </c>
      <c r="B823" s="39" t="s">
        <v>92</v>
      </c>
      <c r="C823" s="39" t="s">
        <v>120</v>
      </c>
      <c r="D823" s="39" t="s">
        <v>121</v>
      </c>
      <c r="E823" s="39" t="s">
        <v>133</v>
      </c>
      <c r="F823" s="39" t="s">
        <v>2543</v>
      </c>
      <c r="G823" s="39" t="s">
        <v>125</v>
      </c>
      <c r="H823" s="39" t="s">
        <v>162</v>
      </c>
      <c r="L823" s="39" t="s">
        <v>2544</v>
      </c>
      <c r="M823" s="39" t="s">
        <v>2533</v>
      </c>
      <c r="O823" s="39" t="s">
        <v>52</v>
      </c>
      <c r="P823" s="39" t="s">
        <v>601</v>
      </c>
      <c r="Q823" s="40">
        <v>318.8</v>
      </c>
      <c r="R823" s="40">
        <v>318.8</v>
      </c>
    </row>
    <row r="824" spans="1:18" s="39" customFormat="1" ht="31.25" customHeight="1" x14ac:dyDescent="0.2">
      <c r="A824" s="39" t="s">
        <v>2545</v>
      </c>
      <c r="B824" s="39" t="s">
        <v>92</v>
      </c>
      <c r="C824" s="39" t="s">
        <v>120</v>
      </c>
      <c r="D824" s="39" t="s">
        <v>121</v>
      </c>
      <c r="E824" s="39" t="s">
        <v>151</v>
      </c>
      <c r="F824" s="39" t="s">
        <v>2546</v>
      </c>
      <c r="G824" s="39" t="s">
        <v>125</v>
      </c>
      <c r="H824" s="39" t="s">
        <v>162</v>
      </c>
      <c r="L824" s="39" t="s">
        <v>2547</v>
      </c>
      <c r="M824" s="39" t="s">
        <v>2533</v>
      </c>
      <c r="O824" s="39" t="s">
        <v>52</v>
      </c>
      <c r="P824" s="39" t="s">
        <v>601</v>
      </c>
      <c r="Q824" s="40">
        <v>225.8</v>
      </c>
      <c r="R824" s="40">
        <v>225.8</v>
      </c>
    </row>
    <row r="825" spans="1:18" s="39" customFormat="1" ht="31.25" customHeight="1" x14ac:dyDescent="0.2">
      <c r="A825" s="39" t="s">
        <v>2548</v>
      </c>
      <c r="B825" s="39" t="s">
        <v>92</v>
      </c>
      <c r="C825" s="39" t="s">
        <v>120</v>
      </c>
      <c r="D825" s="39" t="s">
        <v>121</v>
      </c>
      <c r="E825" s="39" t="s">
        <v>151</v>
      </c>
      <c r="F825" s="39" t="s">
        <v>2549</v>
      </c>
      <c r="G825" s="39" t="s">
        <v>125</v>
      </c>
      <c r="H825" s="39" t="s">
        <v>162</v>
      </c>
      <c r="L825" s="39" t="s">
        <v>2550</v>
      </c>
      <c r="M825" s="39" t="s">
        <v>2533</v>
      </c>
      <c r="O825" s="39" t="s">
        <v>52</v>
      </c>
      <c r="P825" s="39" t="s">
        <v>601</v>
      </c>
      <c r="Q825" s="40">
        <v>53.3</v>
      </c>
      <c r="R825" s="40">
        <v>53.3</v>
      </c>
    </row>
    <row r="826" spans="1:18" s="39" customFormat="1" ht="31.25" customHeight="1" x14ac:dyDescent="0.2">
      <c r="A826" s="39" t="s">
        <v>2551</v>
      </c>
      <c r="B826" s="39" t="s">
        <v>92</v>
      </c>
      <c r="C826" s="39" t="s">
        <v>120</v>
      </c>
      <c r="D826" s="39" t="s">
        <v>121</v>
      </c>
      <c r="E826" s="39" t="s">
        <v>251</v>
      </c>
      <c r="F826" s="39" t="s">
        <v>2552</v>
      </c>
      <c r="G826" s="39" t="s">
        <v>125</v>
      </c>
      <c r="H826" s="39" t="s">
        <v>162</v>
      </c>
      <c r="L826" s="39" t="s">
        <v>2553</v>
      </c>
      <c r="M826" s="39" t="s">
        <v>2533</v>
      </c>
      <c r="N826" s="39" t="s">
        <v>2554</v>
      </c>
      <c r="O826" s="39" t="s">
        <v>52</v>
      </c>
      <c r="P826" s="39" t="s">
        <v>601</v>
      </c>
      <c r="Q826" s="40">
        <v>1330</v>
      </c>
      <c r="R826" s="40">
        <v>1330</v>
      </c>
    </row>
    <row r="827" spans="1:18" s="39" customFormat="1" ht="31.25" customHeight="1" x14ac:dyDescent="0.2">
      <c r="A827" s="39" t="s">
        <v>2555</v>
      </c>
      <c r="B827" s="39" t="s">
        <v>92</v>
      </c>
      <c r="C827" s="39" t="s">
        <v>120</v>
      </c>
      <c r="D827" s="39" t="s">
        <v>121</v>
      </c>
      <c r="E827" s="39" t="s">
        <v>251</v>
      </c>
      <c r="F827" s="39" t="s">
        <v>2556</v>
      </c>
      <c r="G827" s="39" t="s">
        <v>125</v>
      </c>
      <c r="H827" s="39" t="s">
        <v>162</v>
      </c>
      <c r="L827" s="39" t="s">
        <v>2557</v>
      </c>
      <c r="M827" s="39" t="s">
        <v>2533</v>
      </c>
      <c r="O827" s="39" t="s">
        <v>52</v>
      </c>
      <c r="P827" s="39" t="s">
        <v>601</v>
      </c>
      <c r="Q827" s="40">
        <v>1730</v>
      </c>
      <c r="R827" s="40">
        <v>1730</v>
      </c>
    </row>
    <row r="828" spans="1:18" s="39" customFormat="1" ht="31.25" customHeight="1" x14ac:dyDescent="0.2">
      <c r="A828" s="39" t="s">
        <v>2558</v>
      </c>
      <c r="B828" s="39" t="s">
        <v>92</v>
      </c>
      <c r="C828" s="39" t="s">
        <v>120</v>
      </c>
      <c r="D828" s="39" t="s">
        <v>121</v>
      </c>
      <c r="E828" s="39" t="s">
        <v>251</v>
      </c>
      <c r="F828" s="39" t="s">
        <v>2559</v>
      </c>
      <c r="G828" s="39" t="s">
        <v>125</v>
      </c>
      <c r="H828" s="39" t="s">
        <v>162</v>
      </c>
      <c r="L828" s="39" t="s">
        <v>2560</v>
      </c>
      <c r="M828" s="39" t="s">
        <v>2533</v>
      </c>
      <c r="O828" s="39" t="s">
        <v>52</v>
      </c>
      <c r="P828" s="39" t="s">
        <v>601</v>
      </c>
      <c r="Q828" s="40">
        <v>772.86</v>
      </c>
      <c r="R828" s="40">
        <v>772.86</v>
      </c>
    </row>
    <row r="829" spans="1:18" s="39" customFormat="1" ht="31.25" customHeight="1" x14ac:dyDescent="0.2">
      <c r="A829" s="39" t="s">
        <v>2561</v>
      </c>
      <c r="B829" s="39" t="s">
        <v>92</v>
      </c>
      <c r="C829" s="39" t="s">
        <v>280</v>
      </c>
      <c r="D829" s="39" t="s">
        <v>121</v>
      </c>
      <c r="E829" s="39" t="s">
        <v>251</v>
      </c>
      <c r="F829" s="39" t="s">
        <v>2562</v>
      </c>
      <c r="G829" s="39" t="s">
        <v>125</v>
      </c>
      <c r="H829" s="39" t="s">
        <v>162</v>
      </c>
      <c r="L829" s="39" t="s">
        <v>2563</v>
      </c>
      <c r="M829" s="39" t="s">
        <v>2533</v>
      </c>
      <c r="O829" s="39" t="s">
        <v>52</v>
      </c>
      <c r="P829" s="39" t="s">
        <v>601</v>
      </c>
      <c r="Q829" s="40">
        <v>26.56</v>
      </c>
      <c r="R829" s="40">
        <v>26.56</v>
      </c>
    </row>
    <row r="830" spans="1:18" s="39" customFormat="1" ht="31.25" customHeight="1" x14ac:dyDescent="0.2">
      <c r="A830" s="39" t="s">
        <v>2564</v>
      </c>
      <c r="B830" s="39" t="s">
        <v>92</v>
      </c>
      <c r="C830" s="39" t="s">
        <v>120</v>
      </c>
      <c r="D830" s="39" t="s">
        <v>121</v>
      </c>
      <c r="E830" s="39" t="s">
        <v>251</v>
      </c>
      <c r="F830" s="39" t="s">
        <v>2565</v>
      </c>
      <c r="G830" s="39" t="s">
        <v>125</v>
      </c>
      <c r="H830" s="39" t="s">
        <v>162</v>
      </c>
      <c r="L830" s="39" t="s">
        <v>2566</v>
      </c>
      <c r="M830" s="39" t="s">
        <v>2533</v>
      </c>
      <c r="O830" s="39" t="s">
        <v>52</v>
      </c>
      <c r="P830" s="39" t="s">
        <v>601</v>
      </c>
      <c r="Q830" s="40">
        <v>159.35</v>
      </c>
      <c r="R830" s="40">
        <v>159.35</v>
      </c>
    </row>
    <row r="831" spans="1:18" s="39" customFormat="1" ht="31.25" customHeight="1" x14ac:dyDescent="0.2">
      <c r="A831" s="39" t="s">
        <v>2567</v>
      </c>
      <c r="B831" s="39" t="s">
        <v>92</v>
      </c>
      <c r="C831" s="39" t="s">
        <v>120</v>
      </c>
      <c r="D831" s="39" t="s">
        <v>121</v>
      </c>
      <c r="E831" s="39" t="s">
        <v>251</v>
      </c>
      <c r="F831" s="39" t="s">
        <v>2568</v>
      </c>
      <c r="G831" s="39" t="s">
        <v>125</v>
      </c>
      <c r="H831" s="39" t="s">
        <v>162</v>
      </c>
      <c r="L831" s="39" t="s">
        <v>2569</v>
      </c>
      <c r="M831" s="39" t="s">
        <v>2533</v>
      </c>
      <c r="O831" s="39" t="s">
        <v>52</v>
      </c>
      <c r="P831" s="39" t="s">
        <v>601</v>
      </c>
      <c r="Q831" s="40" t="s">
        <v>1604</v>
      </c>
      <c r="R831" s="40" t="s">
        <v>1604</v>
      </c>
    </row>
    <row r="832" spans="1:18" s="39" customFormat="1" ht="31.25" customHeight="1" x14ac:dyDescent="0.2">
      <c r="A832" s="39" t="s">
        <v>2570</v>
      </c>
      <c r="B832" s="39" t="s">
        <v>92</v>
      </c>
      <c r="C832" s="39" t="s">
        <v>280</v>
      </c>
      <c r="D832" s="39" t="s">
        <v>121</v>
      </c>
      <c r="E832" s="39" t="s">
        <v>122</v>
      </c>
      <c r="F832" s="39" t="s">
        <v>2571</v>
      </c>
      <c r="G832" s="39" t="s">
        <v>125</v>
      </c>
      <c r="L832" s="39" t="s">
        <v>2572</v>
      </c>
      <c r="M832" s="39" t="s">
        <v>2533</v>
      </c>
      <c r="O832" s="39" t="s">
        <v>52</v>
      </c>
      <c r="P832" s="39" t="s">
        <v>601</v>
      </c>
      <c r="Q832" s="40">
        <v>19.920000000000002</v>
      </c>
      <c r="R832" s="40">
        <v>19.920000000000002</v>
      </c>
    </row>
    <row r="833" spans="1:18" s="39" customFormat="1" ht="31.25" customHeight="1" x14ac:dyDescent="0.2">
      <c r="A833" s="39" t="s">
        <v>2573</v>
      </c>
      <c r="B833" s="39" t="s">
        <v>92</v>
      </c>
      <c r="C833" s="39" t="s">
        <v>120</v>
      </c>
      <c r="D833" s="39" t="s">
        <v>121</v>
      </c>
      <c r="E833" s="39" t="s">
        <v>122</v>
      </c>
      <c r="F833" s="39" t="s">
        <v>2571</v>
      </c>
      <c r="G833" s="39" t="s">
        <v>125</v>
      </c>
      <c r="L833" s="39" t="s">
        <v>2574</v>
      </c>
      <c r="M833" s="39" t="s">
        <v>2533</v>
      </c>
      <c r="O833" s="39" t="s">
        <v>52</v>
      </c>
      <c r="P833" s="39" t="s">
        <v>601</v>
      </c>
      <c r="Q833" s="40">
        <v>19.920000000000002</v>
      </c>
      <c r="R833" s="40">
        <v>19.920000000000002</v>
      </c>
    </row>
    <row r="834" spans="1:18" s="39" customFormat="1" ht="31.25" customHeight="1" x14ac:dyDescent="0.2">
      <c r="A834" s="39" t="s">
        <v>2575</v>
      </c>
      <c r="B834" s="39" t="s">
        <v>92</v>
      </c>
      <c r="C834" s="39" t="s">
        <v>280</v>
      </c>
      <c r="D834" s="39" t="s">
        <v>121</v>
      </c>
      <c r="E834" s="39" t="s">
        <v>251</v>
      </c>
      <c r="F834" s="39" t="s">
        <v>2562</v>
      </c>
      <c r="G834" s="39" t="s">
        <v>125</v>
      </c>
      <c r="H834" s="39" t="s">
        <v>162</v>
      </c>
      <c r="L834" s="39" t="s">
        <v>2576</v>
      </c>
      <c r="M834" s="39" t="s">
        <v>2533</v>
      </c>
      <c r="O834" s="39" t="s">
        <v>52</v>
      </c>
      <c r="P834" s="39" t="s">
        <v>601</v>
      </c>
      <c r="Q834" s="40">
        <v>26.56</v>
      </c>
      <c r="R834" s="40">
        <v>26.56</v>
      </c>
    </row>
    <row r="835" spans="1:18" s="39" customFormat="1" ht="31.25" customHeight="1" x14ac:dyDescent="0.2">
      <c r="A835" s="39" t="s">
        <v>2577</v>
      </c>
      <c r="B835" s="39" t="s">
        <v>92</v>
      </c>
      <c r="C835" s="39" t="s">
        <v>177</v>
      </c>
      <c r="D835" s="39" t="s">
        <v>121</v>
      </c>
      <c r="E835" s="39" t="s">
        <v>166</v>
      </c>
      <c r="F835" s="39" t="s">
        <v>1623</v>
      </c>
      <c r="G835" s="39" t="s">
        <v>125</v>
      </c>
      <c r="H835" s="39" t="s">
        <v>162</v>
      </c>
      <c r="L835" s="39" t="s">
        <v>2578</v>
      </c>
      <c r="M835" s="39" t="s">
        <v>2533</v>
      </c>
      <c r="O835" s="39" t="s">
        <v>52</v>
      </c>
      <c r="P835" s="39" t="s">
        <v>601</v>
      </c>
      <c r="Q835" s="40" t="s">
        <v>1604</v>
      </c>
      <c r="R835" s="40" t="s">
        <v>1604</v>
      </c>
    </row>
    <row r="836" spans="1:18" s="39" customFormat="1" ht="31.25" customHeight="1" x14ac:dyDescent="0.2">
      <c r="A836" s="39" t="s">
        <v>2579</v>
      </c>
      <c r="B836" s="39" t="s">
        <v>92</v>
      </c>
      <c r="C836" s="39" t="s">
        <v>177</v>
      </c>
      <c r="D836" s="39" t="s">
        <v>121</v>
      </c>
      <c r="E836" s="39" t="s">
        <v>166</v>
      </c>
      <c r="F836" s="39" t="s">
        <v>1623</v>
      </c>
      <c r="G836" s="39" t="s">
        <v>125</v>
      </c>
      <c r="H836" s="39" t="s">
        <v>162</v>
      </c>
      <c r="L836" s="39" t="s">
        <v>2580</v>
      </c>
      <c r="M836" s="39" t="s">
        <v>2533</v>
      </c>
      <c r="O836" s="39" t="s">
        <v>52</v>
      </c>
      <c r="P836" s="39" t="s">
        <v>601</v>
      </c>
      <c r="Q836" s="40" t="s">
        <v>1604</v>
      </c>
      <c r="R836" s="40" t="s">
        <v>1604</v>
      </c>
    </row>
    <row r="837" spans="1:18" s="39" customFormat="1" ht="31.25" customHeight="1" x14ac:dyDescent="0.2">
      <c r="A837" s="39" t="s">
        <v>2581</v>
      </c>
      <c r="B837" s="39" t="s">
        <v>92</v>
      </c>
      <c r="C837" s="39" t="s">
        <v>120</v>
      </c>
      <c r="D837" s="39" t="s">
        <v>121</v>
      </c>
      <c r="E837" s="39" t="s">
        <v>147</v>
      </c>
      <c r="F837" s="39" t="s">
        <v>2552</v>
      </c>
      <c r="G837" s="39" t="s">
        <v>125</v>
      </c>
      <c r="L837" s="39" t="s">
        <v>2582</v>
      </c>
      <c r="M837" s="39" t="s">
        <v>2533</v>
      </c>
      <c r="O837" s="39" t="s">
        <v>52</v>
      </c>
      <c r="P837" s="39" t="s">
        <v>601</v>
      </c>
      <c r="Q837" s="40">
        <v>1330</v>
      </c>
      <c r="R837" s="40">
        <v>1330</v>
      </c>
    </row>
    <row r="838" spans="1:18" s="39" customFormat="1" ht="31.25" customHeight="1" x14ac:dyDescent="0.2">
      <c r="A838" s="39" t="s">
        <v>2583</v>
      </c>
      <c r="B838" s="39" t="s">
        <v>92</v>
      </c>
      <c r="C838" s="39" t="s">
        <v>120</v>
      </c>
      <c r="D838" s="39" t="s">
        <v>137</v>
      </c>
      <c r="E838" s="39" t="s">
        <v>133</v>
      </c>
      <c r="F838" s="39" t="s">
        <v>2584</v>
      </c>
      <c r="G838" s="39" t="s">
        <v>125</v>
      </c>
      <c r="H838" s="39" t="s">
        <v>134</v>
      </c>
      <c r="L838" s="39" t="s">
        <v>2585</v>
      </c>
      <c r="M838" s="39" t="s">
        <v>2533</v>
      </c>
      <c r="O838" s="39" t="s">
        <v>52</v>
      </c>
      <c r="P838" s="39" t="s">
        <v>601</v>
      </c>
      <c r="Q838" s="40">
        <v>106</v>
      </c>
      <c r="R838" s="40">
        <v>106</v>
      </c>
    </row>
    <row r="839" spans="1:18" s="39" customFormat="1" ht="31.25" customHeight="1" x14ac:dyDescent="0.2">
      <c r="A839" s="39" t="s">
        <v>2586</v>
      </c>
      <c r="B839" s="39" t="s">
        <v>92</v>
      </c>
      <c r="C839" s="39" t="s">
        <v>120</v>
      </c>
      <c r="D839" s="39" t="s">
        <v>160</v>
      </c>
      <c r="E839" s="39" t="s">
        <v>133</v>
      </c>
      <c r="F839" s="39" t="s">
        <v>2587</v>
      </c>
      <c r="G839" s="39" t="s">
        <v>208</v>
      </c>
      <c r="L839" s="39" t="s">
        <v>2588</v>
      </c>
      <c r="M839" s="76" t="s">
        <v>2533</v>
      </c>
      <c r="O839" s="39" t="s">
        <v>53</v>
      </c>
      <c r="P839" s="39" t="s">
        <v>601</v>
      </c>
      <c r="Q839" s="40">
        <v>6910</v>
      </c>
      <c r="R839" s="40">
        <v>6910</v>
      </c>
    </row>
    <row r="840" spans="1:18" s="39" customFormat="1" ht="31.25" customHeight="1" x14ac:dyDescent="0.2">
      <c r="A840" s="39" t="s">
        <v>2589</v>
      </c>
      <c r="B840" s="39" t="s">
        <v>92</v>
      </c>
      <c r="C840" s="39" t="s">
        <v>120</v>
      </c>
      <c r="D840" s="39" t="s">
        <v>121</v>
      </c>
      <c r="E840" s="39" t="s">
        <v>251</v>
      </c>
      <c r="F840" s="39" t="s">
        <v>2590</v>
      </c>
      <c r="G840" s="39" t="s">
        <v>125</v>
      </c>
      <c r="H840" s="39" t="s">
        <v>162</v>
      </c>
      <c r="L840" s="39" t="s">
        <v>2591</v>
      </c>
      <c r="O840" s="39" t="s">
        <v>52</v>
      </c>
      <c r="P840" s="39" t="s">
        <v>2421</v>
      </c>
      <c r="Q840" s="40">
        <v>20</v>
      </c>
      <c r="R840" s="40">
        <v>25.481651229837979</v>
      </c>
    </row>
    <row r="841" spans="1:18" s="39" customFormat="1" ht="31.25" customHeight="1" x14ac:dyDescent="0.2">
      <c r="A841" s="39" t="s">
        <v>2592</v>
      </c>
      <c r="B841" s="39" t="s">
        <v>92</v>
      </c>
      <c r="C841" s="39" t="s">
        <v>177</v>
      </c>
      <c r="D841" s="39" t="s">
        <v>121</v>
      </c>
      <c r="E841" s="39" t="s">
        <v>251</v>
      </c>
      <c r="F841" s="39" t="s">
        <v>2568</v>
      </c>
      <c r="G841" s="39" t="s">
        <v>125</v>
      </c>
      <c r="H841" s="39" t="s">
        <v>162</v>
      </c>
      <c r="L841" s="39" t="s">
        <v>2593</v>
      </c>
      <c r="O841" s="39" t="s">
        <v>52</v>
      </c>
      <c r="Q841" s="40"/>
      <c r="R841" s="40" t="s">
        <v>1604</v>
      </c>
    </row>
    <row r="842" spans="1:18" s="39" customFormat="1" ht="31.25" customHeight="1" x14ac:dyDescent="0.2">
      <c r="A842" s="39" t="s">
        <v>2594</v>
      </c>
      <c r="B842" s="39" t="s">
        <v>92</v>
      </c>
      <c r="C842" s="39" t="s">
        <v>177</v>
      </c>
      <c r="D842" s="39" t="s">
        <v>121</v>
      </c>
      <c r="E842" s="39" t="s">
        <v>122</v>
      </c>
      <c r="F842" s="39" t="s">
        <v>2595</v>
      </c>
      <c r="G842" s="39" t="s">
        <v>125</v>
      </c>
      <c r="L842" s="39" t="s">
        <v>2596</v>
      </c>
      <c r="M842" s="39" t="s">
        <v>2533</v>
      </c>
      <c r="O842" s="39" t="s">
        <v>52</v>
      </c>
      <c r="P842" s="39" t="s">
        <v>601</v>
      </c>
      <c r="Q842" s="154">
        <v>3.984</v>
      </c>
      <c r="R842" s="40">
        <v>3.984</v>
      </c>
    </row>
    <row r="843" spans="1:18" s="39" customFormat="1" ht="31.25" customHeight="1" x14ac:dyDescent="0.2">
      <c r="A843" s="39" t="s">
        <v>2597</v>
      </c>
      <c r="B843" s="39" t="s">
        <v>92</v>
      </c>
      <c r="C843" s="39" t="s">
        <v>280</v>
      </c>
      <c r="D843" s="39" t="s">
        <v>121</v>
      </c>
      <c r="E843" s="39" t="s">
        <v>122</v>
      </c>
      <c r="F843" s="39" t="s">
        <v>2595</v>
      </c>
      <c r="G843" s="39" t="s">
        <v>125</v>
      </c>
      <c r="H843" s="39" t="s">
        <v>162</v>
      </c>
      <c r="L843" s="39" t="s">
        <v>2598</v>
      </c>
      <c r="M843" s="39" t="s">
        <v>2533</v>
      </c>
      <c r="O843" s="39" t="s">
        <v>52</v>
      </c>
      <c r="P843" s="39" t="s">
        <v>601</v>
      </c>
      <c r="Q843" s="154">
        <v>3.984</v>
      </c>
      <c r="R843" s="40">
        <v>3.984</v>
      </c>
    </row>
    <row r="844" spans="1:18" s="39" customFormat="1" ht="31.25" customHeight="1" x14ac:dyDescent="0.2">
      <c r="A844" s="39" t="s">
        <v>2599</v>
      </c>
      <c r="B844" s="39" t="s">
        <v>92</v>
      </c>
      <c r="C844" s="55" t="s">
        <v>120</v>
      </c>
      <c r="D844" s="55" t="s">
        <v>121</v>
      </c>
      <c r="E844" s="55" t="s">
        <v>166</v>
      </c>
      <c r="F844" s="54" t="s">
        <v>2600</v>
      </c>
      <c r="G844" s="39" t="s">
        <v>125</v>
      </c>
      <c r="L844" s="54" t="s">
        <v>2601</v>
      </c>
      <c r="M844" s="156" t="s">
        <v>2602</v>
      </c>
      <c r="O844" s="39" t="s">
        <v>52</v>
      </c>
      <c r="P844" s="39" t="s">
        <v>2421</v>
      </c>
      <c r="Q844" s="40">
        <v>150</v>
      </c>
      <c r="R844" s="40">
        <v>191.11238422378486</v>
      </c>
    </row>
    <row r="845" spans="1:18" s="39" customFormat="1" ht="31.25" customHeight="1" x14ac:dyDescent="0.2">
      <c r="A845" s="39" t="s">
        <v>2603</v>
      </c>
      <c r="B845" s="39" t="s">
        <v>92</v>
      </c>
      <c r="C845" s="109" t="s">
        <v>120</v>
      </c>
      <c r="D845" s="109" t="s">
        <v>121</v>
      </c>
      <c r="E845" s="47" t="s">
        <v>151</v>
      </c>
      <c r="F845" s="39" t="s">
        <v>2604</v>
      </c>
      <c r="G845" s="109" t="s">
        <v>125</v>
      </c>
      <c r="H845" s="39" t="s">
        <v>162</v>
      </c>
      <c r="J845" s="109"/>
      <c r="K845" s="109"/>
      <c r="L845" s="39" t="s">
        <v>2605</v>
      </c>
      <c r="M845" s="157" t="s">
        <v>2606</v>
      </c>
      <c r="O845" s="39" t="s">
        <v>52</v>
      </c>
      <c r="P845" s="39" t="s">
        <v>2421</v>
      </c>
      <c r="Q845" s="40">
        <v>27</v>
      </c>
      <c r="R845" s="40">
        <v>34.400229160281278</v>
      </c>
    </row>
    <row r="846" spans="1:18" s="39" customFormat="1" ht="31.25" customHeight="1" x14ac:dyDescent="0.2">
      <c r="A846" s="39" t="s">
        <v>2607</v>
      </c>
      <c r="B846" s="39" t="s">
        <v>92</v>
      </c>
      <c r="C846" s="109" t="s">
        <v>120</v>
      </c>
      <c r="D846" s="109" t="s">
        <v>121</v>
      </c>
      <c r="E846" s="47" t="s">
        <v>151</v>
      </c>
      <c r="F846" s="39" t="s">
        <v>2608</v>
      </c>
      <c r="G846" s="109" t="s">
        <v>125</v>
      </c>
      <c r="J846" s="109"/>
      <c r="K846" s="109"/>
      <c r="L846" s="39" t="s">
        <v>2609</v>
      </c>
      <c r="M846" s="157" t="s">
        <v>2606</v>
      </c>
      <c r="O846" s="39" t="s">
        <v>52</v>
      </c>
      <c r="P846" s="39" t="s">
        <v>2421</v>
      </c>
      <c r="Q846" s="40">
        <v>2</v>
      </c>
      <c r="R846" s="40">
        <v>2.5481651229837983</v>
      </c>
    </row>
    <row r="847" spans="1:18" s="39" customFormat="1" ht="31.25" customHeight="1" x14ac:dyDescent="0.2">
      <c r="A847" s="39" t="s">
        <v>2610</v>
      </c>
      <c r="B847" s="39" t="s">
        <v>92</v>
      </c>
      <c r="C847" s="109" t="s">
        <v>120</v>
      </c>
      <c r="D847" s="109" t="s">
        <v>121</v>
      </c>
      <c r="E847" s="47" t="s">
        <v>151</v>
      </c>
      <c r="F847" s="39" t="s">
        <v>2611</v>
      </c>
      <c r="G847" s="109" t="s">
        <v>125</v>
      </c>
      <c r="J847" s="109"/>
      <c r="K847" s="109"/>
      <c r="L847" s="39" t="s">
        <v>2612</v>
      </c>
      <c r="M847" s="157" t="s">
        <v>2606</v>
      </c>
      <c r="O847" s="39" t="s">
        <v>52</v>
      </c>
      <c r="P847" s="39" t="s">
        <v>2421</v>
      </c>
      <c r="Q847" s="40">
        <v>5</v>
      </c>
      <c r="R847" s="40">
        <v>6.3704128074594948</v>
      </c>
    </row>
    <row r="848" spans="1:18" s="39" customFormat="1" ht="31.25" customHeight="1" x14ac:dyDescent="0.2">
      <c r="A848" s="50" t="s">
        <v>2613</v>
      </c>
      <c r="B848" s="50" t="s">
        <v>92</v>
      </c>
      <c r="C848" s="113" t="s">
        <v>120</v>
      </c>
      <c r="D848" s="113" t="s">
        <v>121</v>
      </c>
      <c r="E848" s="113" t="s">
        <v>166</v>
      </c>
      <c r="F848" s="113" t="s">
        <v>2614</v>
      </c>
      <c r="G848" s="113" t="s">
        <v>125</v>
      </c>
      <c r="H848" s="113"/>
      <c r="I848" s="113"/>
      <c r="J848" s="113"/>
      <c r="K848" s="113"/>
      <c r="L848" s="158" t="s">
        <v>2615</v>
      </c>
      <c r="M848" s="159" t="s">
        <v>2419</v>
      </c>
      <c r="N848" s="50"/>
      <c r="O848" s="39" t="s">
        <v>52</v>
      </c>
      <c r="P848" s="39" t="s">
        <v>2421</v>
      </c>
      <c r="Q848" s="40">
        <v>300</v>
      </c>
      <c r="R848" s="40">
        <v>382.22476844756972</v>
      </c>
    </row>
    <row r="849" spans="1:18" s="39" customFormat="1" ht="31.25" customHeight="1" x14ac:dyDescent="0.2">
      <c r="A849" s="39" t="s">
        <v>2616</v>
      </c>
      <c r="B849" s="39" t="s">
        <v>92</v>
      </c>
      <c r="C849" s="39" t="s">
        <v>120</v>
      </c>
      <c r="D849" s="39" t="s">
        <v>121</v>
      </c>
      <c r="E849" s="39" t="s">
        <v>166</v>
      </c>
      <c r="F849" s="39" t="s">
        <v>2617</v>
      </c>
      <c r="G849" s="39" t="s">
        <v>125</v>
      </c>
      <c r="H849" s="39" t="s">
        <v>134</v>
      </c>
      <c r="L849" s="39" t="s">
        <v>2618</v>
      </c>
      <c r="M849" s="39" t="s">
        <v>2619</v>
      </c>
      <c r="O849" s="39" t="s">
        <v>55</v>
      </c>
      <c r="P849" s="39" t="s">
        <v>2421</v>
      </c>
      <c r="Q849" s="40">
        <v>150</v>
      </c>
      <c r="R849" s="40">
        <v>191.11238422378486</v>
      </c>
    </row>
    <row r="850" spans="1:18" s="39" customFormat="1" ht="31.25" customHeight="1" x14ac:dyDescent="0.2">
      <c r="A850" s="39" t="s">
        <v>2620</v>
      </c>
      <c r="B850" s="39" t="s">
        <v>92</v>
      </c>
      <c r="C850" s="39" t="s">
        <v>188</v>
      </c>
      <c r="D850" s="39" t="s">
        <v>121</v>
      </c>
      <c r="E850" s="39" t="s">
        <v>147</v>
      </c>
      <c r="F850" s="39" t="s">
        <v>1623</v>
      </c>
      <c r="G850" s="39" t="s">
        <v>125</v>
      </c>
      <c r="L850" s="39" t="s">
        <v>2621</v>
      </c>
      <c r="M850" s="39" t="s">
        <v>2622</v>
      </c>
      <c r="N850" s="39" t="s">
        <v>2623</v>
      </c>
      <c r="O850" s="39" t="s">
        <v>55</v>
      </c>
      <c r="P850" s="39" t="s">
        <v>2421</v>
      </c>
      <c r="Q850" s="40" t="s">
        <v>1623</v>
      </c>
      <c r="R850" s="40" t="s">
        <v>1604</v>
      </c>
    </row>
    <row r="851" spans="1:18" s="39" customFormat="1" ht="31.25" customHeight="1" x14ac:dyDescent="0.2">
      <c r="A851" s="39" t="s">
        <v>2624</v>
      </c>
      <c r="B851" s="39" t="s">
        <v>92</v>
      </c>
      <c r="C851" s="39" t="s">
        <v>120</v>
      </c>
      <c r="D851" s="39" t="s">
        <v>121</v>
      </c>
      <c r="E851" s="39" t="s">
        <v>133</v>
      </c>
      <c r="F851" s="39" t="s">
        <v>2625</v>
      </c>
      <c r="G851" s="39" t="s">
        <v>125</v>
      </c>
      <c r="H851" s="39" t="s">
        <v>208</v>
      </c>
      <c r="L851" s="39" t="s">
        <v>2626</v>
      </c>
      <c r="M851" s="39" t="s">
        <v>2627</v>
      </c>
      <c r="O851" s="39" t="s">
        <v>55</v>
      </c>
      <c r="P851" s="39" t="s">
        <v>2421</v>
      </c>
      <c r="Q851" s="40">
        <v>800</v>
      </c>
      <c r="R851" s="40">
        <v>1019.2660491935193</v>
      </c>
    </row>
    <row r="852" spans="1:18" s="39" customFormat="1" ht="31.25" customHeight="1" x14ac:dyDescent="0.2">
      <c r="A852" s="39" t="s">
        <v>2628</v>
      </c>
      <c r="B852" s="39" t="s">
        <v>92</v>
      </c>
      <c r="C852" s="39" t="s">
        <v>120</v>
      </c>
      <c r="D852" s="39" t="s">
        <v>121</v>
      </c>
      <c r="E852" s="39" t="s">
        <v>122</v>
      </c>
      <c r="F852" s="39" t="s">
        <v>2629</v>
      </c>
      <c r="G852" s="39" t="s">
        <v>125</v>
      </c>
      <c r="L852" s="39" t="s">
        <v>2630</v>
      </c>
      <c r="O852" s="39" t="s">
        <v>54</v>
      </c>
      <c r="P852" s="94" t="s">
        <v>2421</v>
      </c>
      <c r="Q852" s="40">
        <v>43</v>
      </c>
      <c r="R852" s="40">
        <v>54.785550144151657</v>
      </c>
    </row>
    <row r="853" spans="1:18" s="39" customFormat="1" ht="31.25" customHeight="1" x14ac:dyDescent="0.2">
      <c r="A853" s="39" t="s">
        <v>2631</v>
      </c>
      <c r="B853" s="39" t="s">
        <v>92</v>
      </c>
      <c r="C853" s="39" t="s">
        <v>120</v>
      </c>
      <c r="D853" s="39" t="s">
        <v>121</v>
      </c>
      <c r="E853" s="39" t="s">
        <v>251</v>
      </c>
      <c r="F853" s="39" t="s">
        <v>2632</v>
      </c>
      <c r="G853" s="39" t="s">
        <v>125</v>
      </c>
      <c r="L853" s="39" t="s">
        <v>2633</v>
      </c>
      <c r="M853" s="39" t="s">
        <v>2634</v>
      </c>
      <c r="O853" s="39" t="s">
        <v>52</v>
      </c>
      <c r="P853" s="94" t="s">
        <v>2421</v>
      </c>
      <c r="Q853" s="40">
        <v>33</v>
      </c>
      <c r="R853" s="40">
        <v>42.044724529232667</v>
      </c>
    </row>
    <row r="854" spans="1:18" s="39" customFormat="1" ht="31.25" customHeight="1" x14ac:dyDescent="0.2">
      <c r="A854" s="39" t="s">
        <v>2635</v>
      </c>
      <c r="B854" s="39" t="s">
        <v>92</v>
      </c>
      <c r="C854" s="39" t="s">
        <v>120</v>
      </c>
      <c r="D854" s="39" t="s">
        <v>121</v>
      </c>
      <c r="E854" s="39" t="s">
        <v>251</v>
      </c>
      <c r="F854" s="39" t="s">
        <v>2636</v>
      </c>
      <c r="G854" s="39" t="s">
        <v>125</v>
      </c>
      <c r="H854" s="39" t="s">
        <v>162</v>
      </c>
      <c r="L854" s="139" t="s">
        <v>2637</v>
      </c>
      <c r="M854" s="39" t="s">
        <v>2638</v>
      </c>
      <c r="O854" s="39" t="s">
        <v>52</v>
      </c>
      <c r="P854" s="94" t="s">
        <v>2421</v>
      </c>
      <c r="Q854" s="40">
        <v>30</v>
      </c>
      <c r="R854" s="40">
        <v>38.222476844756969</v>
      </c>
    </row>
    <row r="855" spans="1:18" s="39" customFormat="1" ht="31.25" customHeight="1" x14ac:dyDescent="0.2">
      <c r="A855" s="39" t="s">
        <v>2639</v>
      </c>
      <c r="B855" s="39" t="s">
        <v>92</v>
      </c>
      <c r="C855" s="39" t="s">
        <v>120</v>
      </c>
      <c r="D855" s="39" t="s">
        <v>121</v>
      </c>
      <c r="E855" s="39" t="s">
        <v>251</v>
      </c>
      <c r="F855" s="39" t="s">
        <v>2640</v>
      </c>
      <c r="G855" s="39" t="s">
        <v>125</v>
      </c>
      <c r="L855" s="39" t="s">
        <v>2641</v>
      </c>
      <c r="M855" s="39" t="s">
        <v>2638</v>
      </c>
      <c r="O855" s="39" t="s">
        <v>54</v>
      </c>
      <c r="P855" s="39" t="s">
        <v>2642</v>
      </c>
      <c r="Q855" s="40">
        <v>135</v>
      </c>
      <c r="R855" s="40">
        <v>172.00114580140638</v>
      </c>
    </row>
    <row r="856" spans="1:18" s="39" customFormat="1" ht="31.25" customHeight="1" x14ac:dyDescent="0.2">
      <c r="A856" s="39" t="s">
        <v>2643</v>
      </c>
      <c r="B856" s="39" t="s">
        <v>92</v>
      </c>
      <c r="C856" s="39" t="s">
        <v>120</v>
      </c>
      <c r="D856" s="39" t="s">
        <v>121</v>
      </c>
      <c r="E856" s="39" t="s">
        <v>151</v>
      </c>
      <c r="F856" s="39" t="s">
        <v>2644</v>
      </c>
      <c r="G856" s="39" t="s">
        <v>125</v>
      </c>
      <c r="L856" s="39" t="s">
        <v>2645</v>
      </c>
      <c r="M856" s="39" t="s">
        <v>2646</v>
      </c>
      <c r="O856" s="39" t="s">
        <v>55</v>
      </c>
      <c r="P856" s="39" t="s">
        <v>2642</v>
      </c>
      <c r="Q856" s="40">
        <v>300</v>
      </c>
      <c r="R856" s="40">
        <v>382.22476844756972</v>
      </c>
    </row>
    <row r="857" spans="1:18" s="39" customFormat="1" ht="31.25" customHeight="1" x14ac:dyDescent="0.2">
      <c r="A857" s="39" t="s">
        <v>2647</v>
      </c>
      <c r="B857" s="39" t="s">
        <v>92</v>
      </c>
      <c r="C857" s="39" t="s">
        <v>188</v>
      </c>
      <c r="D857" s="39" t="s">
        <v>121</v>
      </c>
      <c r="E857" s="39" t="s">
        <v>166</v>
      </c>
      <c r="F857" s="39" t="s">
        <v>1623</v>
      </c>
      <c r="G857" s="39" t="s">
        <v>125</v>
      </c>
      <c r="L857" s="39" t="s">
        <v>2648</v>
      </c>
      <c r="M857" s="39" t="s">
        <v>2649</v>
      </c>
      <c r="O857" s="39" t="s">
        <v>55</v>
      </c>
      <c r="Q857" s="40"/>
      <c r="R857" s="40" t="s">
        <v>1604</v>
      </c>
    </row>
    <row r="858" spans="1:18" s="39" customFormat="1" ht="31.25" customHeight="1" x14ac:dyDescent="0.2">
      <c r="A858" s="39" t="s">
        <v>2650</v>
      </c>
      <c r="B858" s="39" t="s">
        <v>92</v>
      </c>
      <c r="C858" s="39" t="s">
        <v>188</v>
      </c>
      <c r="D858" s="39" t="s">
        <v>121</v>
      </c>
      <c r="E858" s="39" t="s">
        <v>166</v>
      </c>
      <c r="F858" s="39" t="s">
        <v>1623</v>
      </c>
      <c r="G858" s="39" t="s">
        <v>125</v>
      </c>
      <c r="L858" s="39" t="s">
        <v>2651</v>
      </c>
      <c r="M858" s="39" t="s">
        <v>2649</v>
      </c>
      <c r="O858" s="39" t="s">
        <v>55</v>
      </c>
      <c r="Q858" s="40"/>
      <c r="R858" s="40" t="s">
        <v>1604</v>
      </c>
    </row>
    <row r="859" spans="1:18" s="39" customFormat="1" ht="31.25" customHeight="1" x14ac:dyDescent="0.2">
      <c r="A859" s="39" t="s">
        <v>2652</v>
      </c>
      <c r="B859" s="39" t="s">
        <v>92</v>
      </c>
      <c r="C859" s="39" t="s">
        <v>177</v>
      </c>
      <c r="D859" s="39" t="s">
        <v>121</v>
      </c>
      <c r="E859" s="39" t="s">
        <v>133</v>
      </c>
      <c r="F859" s="39" t="s">
        <v>2653</v>
      </c>
      <c r="G859" s="39" t="s">
        <v>134</v>
      </c>
      <c r="H859" s="39" t="s">
        <v>208</v>
      </c>
      <c r="L859" s="39" t="s">
        <v>2654</v>
      </c>
      <c r="O859" s="39" t="s">
        <v>624</v>
      </c>
      <c r="P859" s="39" t="s">
        <v>2421</v>
      </c>
      <c r="Q859" s="40">
        <v>198</v>
      </c>
      <c r="R859" s="40">
        <v>252.268347175396</v>
      </c>
    </row>
    <row r="860" spans="1:18" s="39" customFormat="1" ht="31.25" customHeight="1" x14ac:dyDescent="0.2">
      <c r="A860" s="39" t="s">
        <v>2655</v>
      </c>
      <c r="B860" s="39" t="s">
        <v>92</v>
      </c>
      <c r="C860" s="39" t="s">
        <v>120</v>
      </c>
      <c r="D860" s="39" t="s">
        <v>121</v>
      </c>
      <c r="E860" s="39" t="s">
        <v>151</v>
      </c>
      <c r="F860" s="48" t="s">
        <v>2656</v>
      </c>
      <c r="G860" s="39" t="s">
        <v>125</v>
      </c>
      <c r="H860" s="39" t="s">
        <v>162</v>
      </c>
      <c r="L860" s="39" t="s">
        <v>2657</v>
      </c>
      <c r="M860" s="39" t="s">
        <v>2606</v>
      </c>
      <c r="O860" s="39" t="s">
        <v>624</v>
      </c>
      <c r="P860" s="39" t="s">
        <v>2421</v>
      </c>
      <c r="Q860" s="40">
        <v>4.8</v>
      </c>
      <c r="R860" s="40">
        <v>6.1155962951611151</v>
      </c>
    </row>
    <row r="861" spans="1:18" s="39" customFormat="1" ht="31.25" customHeight="1" x14ac:dyDescent="0.2">
      <c r="A861" s="75" t="s">
        <v>2658</v>
      </c>
      <c r="B861" s="75" t="s">
        <v>69</v>
      </c>
      <c r="C861" s="75" t="s">
        <v>132</v>
      </c>
      <c r="D861" s="75" t="s">
        <v>137</v>
      </c>
      <c r="E861" s="75" t="s">
        <v>133</v>
      </c>
      <c r="F861" s="75"/>
      <c r="G861" s="75" t="s">
        <v>125</v>
      </c>
      <c r="H861" s="75" t="s">
        <v>162</v>
      </c>
      <c r="I861" s="75" t="s">
        <v>158</v>
      </c>
      <c r="J861" s="75" t="s">
        <v>124</v>
      </c>
      <c r="K861" s="75" t="s">
        <v>5557</v>
      </c>
      <c r="L861" s="75" t="s">
        <v>2659</v>
      </c>
      <c r="M861" s="99" t="s">
        <v>2660</v>
      </c>
      <c r="N861" s="75" t="s">
        <v>2661</v>
      </c>
      <c r="O861" s="75" t="s">
        <v>55</v>
      </c>
      <c r="P861" s="75"/>
      <c r="Q861" s="100"/>
      <c r="R861" s="40" t="s">
        <v>1604</v>
      </c>
    </row>
    <row r="862" spans="1:18" s="39" customFormat="1" ht="31.25" customHeight="1" x14ac:dyDescent="0.2">
      <c r="A862" s="39" t="s">
        <v>2662</v>
      </c>
      <c r="B862" s="39" t="s">
        <v>69</v>
      </c>
      <c r="C862" s="39" t="s">
        <v>120</v>
      </c>
      <c r="D862" s="39" t="s">
        <v>137</v>
      </c>
      <c r="E862" s="39" t="s">
        <v>133</v>
      </c>
      <c r="G862" s="39" t="s">
        <v>125</v>
      </c>
      <c r="H862" s="39" t="s">
        <v>158</v>
      </c>
      <c r="J862" s="39" t="s">
        <v>124</v>
      </c>
      <c r="K862" s="39" t="s">
        <v>5557</v>
      </c>
      <c r="L862" s="39" t="s">
        <v>2663</v>
      </c>
      <c r="M862" s="39" t="s">
        <v>2664</v>
      </c>
      <c r="O862" s="39" t="s">
        <v>55</v>
      </c>
      <c r="Q862" s="40"/>
      <c r="R862" s="40" t="s">
        <v>1604</v>
      </c>
    </row>
    <row r="863" spans="1:18" s="39" customFormat="1" ht="31.25" customHeight="1" x14ac:dyDescent="0.2">
      <c r="A863" s="39" t="s">
        <v>2665</v>
      </c>
      <c r="B863" s="39" t="s">
        <v>69</v>
      </c>
      <c r="C863" s="39" t="s">
        <v>120</v>
      </c>
      <c r="D863" s="39" t="s">
        <v>137</v>
      </c>
      <c r="E863" s="39" t="s">
        <v>133</v>
      </c>
      <c r="F863" s="39" t="s">
        <v>2666</v>
      </c>
      <c r="G863" s="39" t="s">
        <v>158</v>
      </c>
      <c r="J863" s="39" t="s">
        <v>124</v>
      </c>
      <c r="K863" s="39" t="s">
        <v>5557</v>
      </c>
      <c r="L863" s="39" t="s">
        <v>2667</v>
      </c>
      <c r="M863" s="76" t="s">
        <v>2668</v>
      </c>
      <c r="N863" s="39" t="s">
        <v>2669</v>
      </c>
      <c r="O863" s="39" t="s">
        <v>55</v>
      </c>
      <c r="P863" s="39" t="s">
        <v>65</v>
      </c>
      <c r="Q863" s="40">
        <v>1500</v>
      </c>
      <c r="R863" s="40">
        <v>1654.0034116112824</v>
      </c>
    </row>
    <row r="864" spans="1:18" s="39" customFormat="1" ht="31.25" customHeight="1" x14ac:dyDescent="0.2">
      <c r="A864" s="39" t="s">
        <v>2670</v>
      </c>
      <c r="B864" s="39" t="s">
        <v>69</v>
      </c>
      <c r="C864" s="39" t="s">
        <v>120</v>
      </c>
      <c r="D864" s="39" t="s">
        <v>137</v>
      </c>
      <c r="E864" s="39" t="s">
        <v>133</v>
      </c>
      <c r="F864" s="39" t="s">
        <v>2671</v>
      </c>
      <c r="G864" s="39" t="s">
        <v>158</v>
      </c>
      <c r="J864" s="39" t="s">
        <v>124</v>
      </c>
      <c r="K864" s="39" t="s">
        <v>5557</v>
      </c>
      <c r="L864" s="39" t="s">
        <v>2672</v>
      </c>
      <c r="M864" s="76" t="s">
        <v>2673</v>
      </c>
      <c r="O864" s="39" t="s">
        <v>55</v>
      </c>
      <c r="P864" s="39" t="s">
        <v>65</v>
      </c>
      <c r="Q864" s="40">
        <v>100</v>
      </c>
      <c r="R864" s="40">
        <v>110.26689410741884</v>
      </c>
    </row>
    <row r="865" spans="1:18" s="39" customFormat="1" ht="31.25" customHeight="1" x14ac:dyDescent="0.2">
      <c r="A865" s="39" t="s">
        <v>2674</v>
      </c>
      <c r="B865" s="39" t="s">
        <v>69</v>
      </c>
      <c r="C865" s="39" t="s">
        <v>120</v>
      </c>
      <c r="D865" s="39" t="s">
        <v>121</v>
      </c>
      <c r="E865" s="39" t="s">
        <v>734</v>
      </c>
      <c r="F865" s="39" t="s">
        <v>2675</v>
      </c>
      <c r="G865" s="39" t="s">
        <v>125</v>
      </c>
      <c r="H865" s="39" t="s">
        <v>134</v>
      </c>
      <c r="I865" s="39" t="s">
        <v>153</v>
      </c>
      <c r="J865" s="39" t="s">
        <v>124</v>
      </c>
      <c r="K865" s="39" t="s">
        <v>5557</v>
      </c>
      <c r="L865" s="39" t="s">
        <v>2676</v>
      </c>
      <c r="M865" s="76" t="s">
        <v>2677</v>
      </c>
      <c r="O865" s="39" t="s">
        <v>55</v>
      </c>
      <c r="P865" s="39" t="s">
        <v>65</v>
      </c>
      <c r="Q865" s="40">
        <v>3.06</v>
      </c>
      <c r="R865" s="40">
        <v>3.3741669596870163</v>
      </c>
    </row>
    <row r="866" spans="1:18" s="39" customFormat="1" ht="31.25" customHeight="1" x14ac:dyDescent="0.2">
      <c r="A866" s="39" t="s">
        <v>2678</v>
      </c>
      <c r="B866" s="39" t="s">
        <v>69</v>
      </c>
      <c r="C866" s="39" t="s">
        <v>120</v>
      </c>
      <c r="D866" s="39" t="s">
        <v>121</v>
      </c>
      <c r="E866" s="39" t="s">
        <v>151</v>
      </c>
      <c r="G866" s="39" t="s">
        <v>125</v>
      </c>
      <c r="J866" s="39" t="s">
        <v>124</v>
      </c>
      <c r="K866" s="39" t="s">
        <v>5557</v>
      </c>
      <c r="L866" s="39" t="s">
        <v>2679</v>
      </c>
      <c r="M866" s="76" t="s">
        <v>2680</v>
      </c>
      <c r="O866" s="39" t="s">
        <v>53</v>
      </c>
      <c r="Q866" s="40"/>
      <c r="R866" s="40" t="s">
        <v>1604</v>
      </c>
    </row>
    <row r="867" spans="1:18" s="39" customFormat="1" ht="31.25" customHeight="1" x14ac:dyDescent="0.2">
      <c r="A867" s="39" t="s">
        <v>2681</v>
      </c>
      <c r="B867" s="39" t="s">
        <v>69</v>
      </c>
      <c r="C867" s="39" t="s">
        <v>171</v>
      </c>
      <c r="D867" s="39" t="s">
        <v>121</v>
      </c>
      <c r="E867" s="39" t="s">
        <v>734</v>
      </c>
      <c r="G867" s="39" t="s">
        <v>162</v>
      </c>
      <c r="H867" s="39" t="s">
        <v>153</v>
      </c>
      <c r="I867" s="39" t="s">
        <v>125</v>
      </c>
      <c r="J867" s="39" t="s">
        <v>124</v>
      </c>
      <c r="K867" s="39" t="s">
        <v>5557</v>
      </c>
      <c r="L867" s="39" t="s">
        <v>2682</v>
      </c>
      <c r="M867" s="76" t="s">
        <v>2683</v>
      </c>
      <c r="O867" s="39" t="s">
        <v>55</v>
      </c>
      <c r="Q867" s="40"/>
      <c r="R867" s="40" t="s">
        <v>1604</v>
      </c>
    </row>
    <row r="868" spans="1:18" s="39" customFormat="1" ht="31.25" customHeight="1" x14ac:dyDescent="0.2">
      <c r="A868" s="39" t="s">
        <v>2684</v>
      </c>
      <c r="B868" s="39" t="s">
        <v>69</v>
      </c>
      <c r="C868" s="39" t="s">
        <v>120</v>
      </c>
      <c r="D868" s="39" t="s">
        <v>121</v>
      </c>
      <c r="E868" s="39" t="s">
        <v>172</v>
      </c>
      <c r="F868" s="39" t="s">
        <v>2685</v>
      </c>
      <c r="G868" s="39" t="s">
        <v>134</v>
      </c>
      <c r="H868" s="39" t="s">
        <v>158</v>
      </c>
      <c r="J868" s="39" t="s">
        <v>124</v>
      </c>
      <c r="K868" s="39" t="s">
        <v>5557</v>
      </c>
      <c r="L868" s="39" t="s">
        <v>2686</v>
      </c>
      <c r="M868" s="76" t="s">
        <v>2687</v>
      </c>
      <c r="O868" s="39" t="s">
        <v>55</v>
      </c>
      <c r="P868" s="39" t="s">
        <v>65</v>
      </c>
      <c r="Q868" s="40">
        <v>10</v>
      </c>
      <c r="R868" s="40">
        <v>11.026689410741882</v>
      </c>
    </row>
    <row r="869" spans="1:18" s="39" customFormat="1" ht="31.25" customHeight="1" x14ac:dyDescent="0.2">
      <c r="A869" s="39" t="s">
        <v>2688</v>
      </c>
      <c r="B869" s="39" t="s">
        <v>69</v>
      </c>
      <c r="C869" s="39" t="s">
        <v>120</v>
      </c>
      <c r="D869" s="39" t="s">
        <v>121</v>
      </c>
      <c r="E869" s="39" t="s">
        <v>172</v>
      </c>
      <c r="G869" s="39" t="s">
        <v>134</v>
      </c>
      <c r="H869" s="39" t="s">
        <v>153</v>
      </c>
      <c r="J869" s="39" t="s">
        <v>124</v>
      </c>
      <c r="K869" s="39" t="s">
        <v>5557</v>
      </c>
      <c r="L869" s="39" t="s">
        <v>2689</v>
      </c>
      <c r="M869" s="39" t="s">
        <v>2690</v>
      </c>
      <c r="O869" s="39" t="s">
        <v>55</v>
      </c>
      <c r="Q869" s="40"/>
      <c r="R869" s="40" t="s">
        <v>1604</v>
      </c>
    </row>
    <row r="870" spans="1:18" s="39" customFormat="1" ht="31.25" customHeight="1" x14ac:dyDescent="0.2">
      <c r="A870" s="39" t="s">
        <v>2691</v>
      </c>
      <c r="B870" s="39" t="s">
        <v>69</v>
      </c>
      <c r="C870" s="39" t="s">
        <v>132</v>
      </c>
      <c r="D870" s="39" t="s">
        <v>121</v>
      </c>
      <c r="E870" s="39" t="s">
        <v>166</v>
      </c>
      <c r="G870" s="39" t="s">
        <v>158</v>
      </c>
      <c r="J870" s="39" t="s">
        <v>124</v>
      </c>
      <c r="K870" s="39" t="s">
        <v>5557</v>
      </c>
      <c r="L870" s="39" t="s">
        <v>2692</v>
      </c>
      <c r="M870" s="76" t="s">
        <v>2693</v>
      </c>
      <c r="O870" s="39" t="s">
        <v>55</v>
      </c>
      <c r="Q870" s="40"/>
      <c r="R870" s="40" t="s">
        <v>1604</v>
      </c>
    </row>
    <row r="871" spans="1:18" s="39" customFormat="1" ht="31.25" customHeight="1" x14ac:dyDescent="0.2">
      <c r="A871" s="39" t="s">
        <v>2694</v>
      </c>
      <c r="B871" s="39" t="s">
        <v>69</v>
      </c>
      <c r="C871" s="39" t="s">
        <v>120</v>
      </c>
      <c r="D871" s="39" t="s">
        <v>137</v>
      </c>
      <c r="E871" s="39" t="s">
        <v>133</v>
      </c>
      <c r="F871" s="39" t="s">
        <v>2695</v>
      </c>
      <c r="G871" s="39" t="s">
        <v>158</v>
      </c>
      <c r="J871" s="39" t="s">
        <v>124</v>
      </c>
      <c r="K871" s="39" t="s">
        <v>5557</v>
      </c>
      <c r="L871" s="39" t="s">
        <v>2696</v>
      </c>
      <c r="M871" s="76" t="s">
        <v>2697</v>
      </c>
      <c r="O871" s="39" t="s">
        <v>55</v>
      </c>
      <c r="P871" s="39" t="s">
        <v>65</v>
      </c>
      <c r="Q871" s="40">
        <v>1250</v>
      </c>
      <c r="R871" s="40">
        <v>1378.3361763427354</v>
      </c>
    </row>
    <row r="872" spans="1:18" s="39" customFormat="1" ht="31.25" customHeight="1" x14ac:dyDescent="0.2">
      <c r="A872" s="39" t="s">
        <v>2698</v>
      </c>
      <c r="B872" s="39" t="s">
        <v>69</v>
      </c>
      <c r="C872" s="39" t="s">
        <v>132</v>
      </c>
      <c r="D872" s="39" t="s">
        <v>121</v>
      </c>
      <c r="E872" s="39" t="s">
        <v>133</v>
      </c>
      <c r="G872" s="39" t="s">
        <v>153</v>
      </c>
      <c r="H872" s="39" t="s">
        <v>158</v>
      </c>
      <c r="J872" s="39" t="s">
        <v>124</v>
      </c>
      <c r="K872" s="39" t="s">
        <v>5557</v>
      </c>
      <c r="L872" s="39" t="s">
        <v>2699</v>
      </c>
      <c r="M872" s="76" t="s">
        <v>2700</v>
      </c>
      <c r="O872" s="39" t="s">
        <v>54</v>
      </c>
      <c r="Q872" s="40"/>
      <c r="R872" s="40" t="s">
        <v>1604</v>
      </c>
    </row>
    <row r="873" spans="1:18" s="39" customFormat="1" ht="31.25" customHeight="1" x14ac:dyDescent="0.2">
      <c r="A873" s="39" t="s">
        <v>2701</v>
      </c>
      <c r="B873" s="39" t="s">
        <v>69</v>
      </c>
      <c r="C873" s="39" t="s">
        <v>132</v>
      </c>
      <c r="D873" s="39" t="s">
        <v>137</v>
      </c>
      <c r="E873" s="39" t="s">
        <v>133</v>
      </c>
      <c r="G873" s="39" t="s">
        <v>162</v>
      </c>
      <c r="H873" s="39" t="s">
        <v>125</v>
      </c>
      <c r="J873" s="39" t="s">
        <v>124</v>
      </c>
      <c r="K873" s="39" t="s">
        <v>5557</v>
      </c>
      <c r="L873" s="39" t="s">
        <v>2702</v>
      </c>
      <c r="M873" s="39" t="s">
        <v>2703</v>
      </c>
      <c r="O873" s="39" t="s">
        <v>55</v>
      </c>
      <c r="Q873" s="40"/>
      <c r="R873" s="40" t="s">
        <v>1604</v>
      </c>
    </row>
    <row r="874" spans="1:18" s="39" customFormat="1" ht="31.25" customHeight="1" x14ac:dyDescent="0.2">
      <c r="A874" s="39" t="s">
        <v>2704</v>
      </c>
      <c r="B874" s="39" t="s">
        <v>69</v>
      </c>
      <c r="C874" s="39" t="s">
        <v>171</v>
      </c>
      <c r="D874" s="39" t="s">
        <v>121</v>
      </c>
      <c r="E874" s="39" t="s">
        <v>734</v>
      </c>
      <c r="F874" s="39">
        <v>0</v>
      </c>
      <c r="G874" s="39" t="s">
        <v>125</v>
      </c>
      <c r="H874" s="39" t="s">
        <v>162</v>
      </c>
      <c r="I874" s="39" t="s">
        <v>153</v>
      </c>
      <c r="J874" s="39" t="s">
        <v>124</v>
      </c>
      <c r="K874" s="39" t="s">
        <v>5557</v>
      </c>
      <c r="L874" s="39" t="s">
        <v>2705</v>
      </c>
      <c r="M874" s="39" t="s">
        <v>2706</v>
      </c>
      <c r="O874" s="39" t="s">
        <v>55</v>
      </c>
      <c r="Q874" s="40"/>
      <c r="R874" s="40" t="s">
        <v>1604</v>
      </c>
    </row>
    <row r="875" spans="1:18" s="39" customFormat="1" ht="31.25" customHeight="1" x14ac:dyDescent="0.2">
      <c r="A875" s="39" t="s">
        <v>2707</v>
      </c>
      <c r="B875" s="39" t="s">
        <v>69</v>
      </c>
      <c r="C875" s="39" t="s">
        <v>171</v>
      </c>
      <c r="D875" s="39" t="s">
        <v>121</v>
      </c>
      <c r="E875" s="39" t="s">
        <v>251</v>
      </c>
      <c r="F875" s="39">
        <v>0</v>
      </c>
      <c r="G875" s="39" t="s">
        <v>125</v>
      </c>
      <c r="H875" s="39" t="s">
        <v>162</v>
      </c>
      <c r="J875" s="39" t="s">
        <v>124</v>
      </c>
      <c r="K875" s="39" t="s">
        <v>5557</v>
      </c>
      <c r="L875" s="39" t="s">
        <v>2708</v>
      </c>
      <c r="M875" s="39" t="s">
        <v>2709</v>
      </c>
      <c r="O875" s="39" t="s">
        <v>54</v>
      </c>
      <c r="Q875" s="40"/>
      <c r="R875" s="40" t="s">
        <v>1604</v>
      </c>
    </row>
    <row r="876" spans="1:18" s="39" customFormat="1" ht="31.25" customHeight="1" x14ac:dyDescent="0.2">
      <c r="A876" s="39" t="s">
        <v>2710</v>
      </c>
      <c r="B876" s="39" t="s">
        <v>69</v>
      </c>
      <c r="C876" s="39" t="s">
        <v>120</v>
      </c>
      <c r="D876" s="39" t="s">
        <v>121</v>
      </c>
      <c r="E876" s="39" t="s">
        <v>172</v>
      </c>
      <c r="F876" s="39" t="s">
        <v>2711</v>
      </c>
      <c r="G876" s="39" t="s">
        <v>134</v>
      </c>
      <c r="H876" s="39" t="s">
        <v>158</v>
      </c>
      <c r="J876" s="39" t="s">
        <v>124</v>
      </c>
      <c r="K876" s="39" t="s">
        <v>5557</v>
      </c>
      <c r="L876" s="39" t="s">
        <v>2712</v>
      </c>
      <c r="M876" s="39" t="s">
        <v>2713</v>
      </c>
      <c r="O876" s="39" t="s">
        <v>55</v>
      </c>
      <c r="P876" s="39" t="s">
        <v>65</v>
      </c>
      <c r="Q876" s="40">
        <v>2</v>
      </c>
      <c r="R876" s="40">
        <v>2.2053378821483767</v>
      </c>
    </row>
    <row r="877" spans="1:18" s="39" customFormat="1" ht="31.25" customHeight="1" x14ac:dyDescent="0.2">
      <c r="A877" s="39" t="s">
        <v>2714</v>
      </c>
      <c r="B877" s="39" t="s">
        <v>69</v>
      </c>
      <c r="C877" s="39" t="s">
        <v>120</v>
      </c>
      <c r="D877" s="39" t="s">
        <v>137</v>
      </c>
      <c r="E877" s="39" t="s">
        <v>166</v>
      </c>
      <c r="G877" s="39" t="s">
        <v>162</v>
      </c>
      <c r="H877" s="39" t="s">
        <v>125</v>
      </c>
      <c r="I877" s="39" t="s">
        <v>158</v>
      </c>
      <c r="J877" s="39" t="s">
        <v>124</v>
      </c>
      <c r="K877" s="39" t="s">
        <v>5557</v>
      </c>
      <c r="L877" s="39" t="s">
        <v>2715</v>
      </c>
      <c r="M877" s="39" t="s">
        <v>2716</v>
      </c>
      <c r="O877" s="39" t="s">
        <v>52</v>
      </c>
      <c r="Q877" s="40"/>
      <c r="R877" s="40" t="s">
        <v>1604</v>
      </c>
    </row>
    <row r="878" spans="1:18" s="39" customFormat="1" ht="31.25" customHeight="1" x14ac:dyDescent="0.2">
      <c r="A878" s="39" t="s">
        <v>2717</v>
      </c>
      <c r="B878" s="39" t="s">
        <v>69</v>
      </c>
      <c r="C878" s="39" t="s">
        <v>177</v>
      </c>
      <c r="D878" s="39" t="s">
        <v>121</v>
      </c>
      <c r="E878" s="39" t="s">
        <v>251</v>
      </c>
      <c r="G878" s="39" t="s">
        <v>162</v>
      </c>
      <c r="J878" s="39" t="s">
        <v>124</v>
      </c>
      <c r="K878" s="39" t="s">
        <v>5557</v>
      </c>
      <c r="L878" s="39" t="s">
        <v>2718</v>
      </c>
      <c r="M878" s="76" t="s">
        <v>2719</v>
      </c>
      <c r="O878" s="39" t="s">
        <v>55</v>
      </c>
      <c r="Q878" s="40"/>
      <c r="R878" s="40" t="s">
        <v>1604</v>
      </c>
    </row>
    <row r="879" spans="1:18" s="39" customFormat="1" ht="31.25" customHeight="1" x14ac:dyDescent="0.2">
      <c r="A879" s="39" t="s">
        <v>2720</v>
      </c>
      <c r="B879" s="39" t="s">
        <v>69</v>
      </c>
      <c r="C879" s="39" t="s">
        <v>177</v>
      </c>
      <c r="D879" s="39" t="s">
        <v>160</v>
      </c>
      <c r="E879" s="39" t="s">
        <v>251</v>
      </c>
      <c r="G879" s="39" t="s">
        <v>162</v>
      </c>
      <c r="H879" s="39" t="s">
        <v>158</v>
      </c>
      <c r="J879" s="39" t="s">
        <v>124</v>
      </c>
      <c r="K879" s="39" t="s">
        <v>5557</v>
      </c>
      <c r="L879" s="39" t="s">
        <v>2721</v>
      </c>
      <c r="M879" s="39" t="s">
        <v>2722</v>
      </c>
      <c r="N879" s="39" t="s">
        <v>2723</v>
      </c>
      <c r="O879" s="39" t="s">
        <v>52</v>
      </c>
      <c r="Q879" s="40"/>
      <c r="R879" s="40" t="s">
        <v>1604</v>
      </c>
    </row>
    <row r="880" spans="1:18" s="39" customFormat="1" ht="31.25" customHeight="1" x14ac:dyDescent="0.2">
      <c r="A880" s="39" t="s">
        <v>2724</v>
      </c>
      <c r="B880" s="39" t="s">
        <v>69</v>
      </c>
      <c r="C880" s="39" t="s">
        <v>120</v>
      </c>
      <c r="D880" s="39" t="s">
        <v>121</v>
      </c>
      <c r="E880" s="39" t="s">
        <v>166</v>
      </c>
      <c r="F880" s="39" t="s">
        <v>2725</v>
      </c>
      <c r="G880" s="39" t="s">
        <v>125</v>
      </c>
      <c r="H880" s="39" t="s">
        <v>208</v>
      </c>
      <c r="J880" s="39" t="s">
        <v>124</v>
      </c>
      <c r="K880" s="39" t="s">
        <v>5557</v>
      </c>
      <c r="L880" s="39" t="s">
        <v>2726</v>
      </c>
      <c r="M880" s="39" t="s">
        <v>2727</v>
      </c>
      <c r="O880" s="39" t="s">
        <v>52</v>
      </c>
      <c r="P880" s="39" t="s">
        <v>65</v>
      </c>
      <c r="Q880" s="40">
        <v>850</v>
      </c>
      <c r="R880" s="40">
        <v>937.26859991306003</v>
      </c>
    </row>
    <row r="881" spans="1:18" s="39" customFormat="1" ht="31.25" customHeight="1" x14ac:dyDescent="0.2">
      <c r="A881" s="39" t="s">
        <v>2728</v>
      </c>
      <c r="B881" s="39" t="s">
        <v>69</v>
      </c>
      <c r="C881" s="39" t="s">
        <v>132</v>
      </c>
      <c r="D881" s="39" t="s">
        <v>121</v>
      </c>
      <c r="E881" s="39" t="s">
        <v>251</v>
      </c>
      <c r="F881" s="39" t="s">
        <v>2729</v>
      </c>
      <c r="G881" s="39" t="s">
        <v>125</v>
      </c>
      <c r="H881" s="39" t="s">
        <v>208</v>
      </c>
      <c r="J881" s="39" t="s">
        <v>124</v>
      </c>
      <c r="K881" s="39" t="s">
        <v>5557</v>
      </c>
      <c r="L881" s="39" t="s">
        <v>2730</v>
      </c>
      <c r="M881" s="76" t="s">
        <v>2731</v>
      </c>
      <c r="O881" s="39" t="s">
        <v>52</v>
      </c>
      <c r="P881" s="39" t="s">
        <v>65</v>
      </c>
      <c r="Q881" s="40">
        <v>63.5</v>
      </c>
      <c r="R881" s="40">
        <v>70.019477758210954</v>
      </c>
    </row>
    <row r="882" spans="1:18" s="39" customFormat="1" ht="31.25" customHeight="1" x14ac:dyDescent="0.2">
      <c r="A882" s="39" t="s">
        <v>2732</v>
      </c>
      <c r="B882" s="39" t="s">
        <v>69</v>
      </c>
      <c r="C882" s="39" t="s">
        <v>171</v>
      </c>
      <c r="D882" s="39" t="s">
        <v>121</v>
      </c>
      <c r="E882" s="39" t="s">
        <v>734</v>
      </c>
      <c r="F882" s="39">
        <v>0</v>
      </c>
      <c r="G882" s="39" t="s">
        <v>125</v>
      </c>
      <c r="H882" s="39" t="s">
        <v>162</v>
      </c>
      <c r="I882" s="39" t="s">
        <v>153</v>
      </c>
      <c r="J882" s="39" t="s">
        <v>124</v>
      </c>
      <c r="K882" s="39" t="s">
        <v>5557</v>
      </c>
      <c r="L882" s="39" t="s">
        <v>2733</v>
      </c>
      <c r="M882" s="39" t="s">
        <v>2734</v>
      </c>
      <c r="O882" s="39" t="s">
        <v>55</v>
      </c>
      <c r="Q882" s="40"/>
      <c r="R882" s="40" t="s">
        <v>1604</v>
      </c>
    </row>
    <row r="883" spans="1:18" s="39" customFormat="1" ht="31.25" customHeight="1" x14ac:dyDescent="0.2">
      <c r="A883" s="39" t="s">
        <v>2735</v>
      </c>
      <c r="B883" s="39" t="s">
        <v>69</v>
      </c>
      <c r="C883" s="39" t="s">
        <v>188</v>
      </c>
      <c r="D883" s="39" t="s">
        <v>121</v>
      </c>
      <c r="E883" s="39" t="s">
        <v>151</v>
      </c>
      <c r="F883" s="39" t="s">
        <v>2736</v>
      </c>
      <c r="G883" s="39" t="s">
        <v>125</v>
      </c>
      <c r="H883" s="39" t="s">
        <v>162</v>
      </c>
      <c r="J883" s="39" t="s">
        <v>124</v>
      </c>
      <c r="K883" s="39" t="s">
        <v>5557</v>
      </c>
      <c r="L883" s="48" t="s">
        <v>2737</v>
      </c>
      <c r="M883" s="160" t="s">
        <v>2738</v>
      </c>
      <c r="O883" s="39" t="s">
        <v>52</v>
      </c>
      <c r="P883" s="39" t="s">
        <v>65</v>
      </c>
      <c r="Q883" s="39">
        <v>450</v>
      </c>
      <c r="R883" s="40">
        <v>496.20102348338474</v>
      </c>
    </row>
    <row r="884" spans="1:18" s="39" customFormat="1" ht="31.25" customHeight="1" x14ac:dyDescent="0.2">
      <c r="A884" s="39" t="s">
        <v>2739</v>
      </c>
      <c r="B884" s="39" t="s">
        <v>69</v>
      </c>
      <c r="C884" s="39" t="s">
        <v>132</v>
      </c>
      <c r="D884" s="39" t="s">
        <v>137</v>
      </c>
      <c r="E884" s="39" t="s">
        <v>133</v>
      </c>
      <c r="F884" s="39" t="s">
        <v>2740</v>
      </c>
      <c r="G884" s="39" t="s">
        <v>125</v>
      </c>
      <c r="H884" s="39" t="s">
        <v>134</v>
      </c>
      <c r="J884" s="39" t="s">
        <v>124</v>
      </c>
      <c r="K884" s="39" t="s">
        <v>5557</v>
      </c>
      <c r="L884" s="48" t="s">
        <v>2741</v>
      </c>
      <c r="M884" s="160" t="s">
        <v>2738</v>
      </c>
      <c r="O884" s="39" t="s">
        <v>52</v>
      </c>
      <c r="P884" s="39" t="s">
        <v>65</v>
      </c>
      <c r="Q884" s="39">
        <v>74</v>
      </c>
      <c r="R884" s="40">
        <v>81.597501639489934</v>
      </c>
    </row>
    <row r="885" spans="1:18" s="39" customFormat="1" ht="31.25" customHeight="1" x14ac:dyDescent="0.2">
      <c r="A885" s="39" t="s">
        <v>2742</v>
      </c>
      <c r="B885" s="39" t="s">
        <v>69</v>
      </c>
      <c r="C885" s="39" t="s">
        <v>132</v>
      </c>
      <c r="D885" s="39" t="s">
        <v>121</v>
      </c>
      <c r="E885" s="39" t="s">
        <v>151</v>
      </c>
      <c r="F885" s="39" t="s">
        <v>2743</v>
      </c>
      <c r="G885" s="39" t="s">
        <v>125</v>
      </c>
      <c r="H885" s="39" t="s">
        <v>162</v>
      </c>
      <c r="J885" s="39" t="s">
        <v>124</v>
      </c>
      <c r="K885" s="39" t="s">
        <v>5557</v>
      </c>
      <c r="L885" s="48" t="s">
        <v>2744</v>
      </c>
      <c r="M885" s="160" t="s">
        <v>2738</v>
      </c>
      <c r="O885" s="39" t="s">
        <v>52</v>
      </c>
      <c r="P885" s="39" t="s">
        <v>65</v>
      </c>
      <c r="Q885" s="39">
        <v>195</v>
      </c>
      <c r="R885" s="40">
        <v>215.0204435094667</v>
      </c>
    </row>
    <row r="886" spans="1:18" s="39" customFormat="1" ht="31.25" customHeight="1" x14ac:dyDescent="0.2">
      <c r="A886" s="39" t="s">
        <v>2745</v>
      </c>
      <c r="B886" s="39" t="s">
        <v>69</v>
      </c>
      <c r="C886" s="39" t="s">
        <v>132</v>
      </c>
      <c r="D886" s="39" t="s">
        <v>121</v>
      </c>
      <c r="E886" s="39" t="s">
        <v>292</v>
      </c>
      <c r="F886" s="39" t="s">
        <v>331</v>
      </c>
      <c r="G886" s="39" t="s">
        <v>125</v>
      </c>
      <c r="H886" s="39" t="s">
        <v>162</v>
      </c>
      <c r="I886" s="39" t="s">
        <v>134</v>
      </c>
      <c r="J886" s="39" t="s">
        <v>124</v>
      </c>
      <c r="K886" s="39" t="s">
        <v>5557</v>
      </c>
      <c r="L886" s="48" t="s">
        <v>2746</v>
      </c>
      <c r="M886" s="160" t="s">
        <v>2738</v>
      </c>
      <c r="O886" s="39" t="s">
        <v>52</v>
      </c>
      <c r="P886" s="39" t="s">
        <v>65</v>
      </c>
      <c r="Q886" s="39">
        <v>60</v>
      </c>
      <c r="R886" s="40">
        <v>66.160136464451298</v>
      </c>
    </row>
    <row r="887" spans="1:18" s="39" customFormat="1" ht="31.25" customHeight="1" x14ac:dyDescent="0.2">
      <c r="A887" s="39" t="s">
        <v>2747</v>
      </c>
      <c r="B887" s="39" t="s">
        <v>69</v>
      </c>
      <c r="C887" s="39" t="s">
        <v>132</v>
      </c>
      <c r="D887" s="39" t="s">
        <v>121</v>
      </c>
      <c r="E887" s="39" t="s">
        <v>292</v>
      </c>
      <c r="F887" s="39" t="s">
        <v>2748</v>
      </c>
      <c r="G887" s="39" t="s">
        <v>125</v>
      </c>
      <c r="H887" s="39" t="s">
        <v>162</v>
      </c>
      <c r="I887" s="39" t="s">
        <v>134</v>
      </c>
      <c r="J887" s="39" t="s">
        <v>124</v>
      </c>
      <c r="K887" s="39" t="s">
        <v>5557</v>
      </c>
      <c r="L887" s="48" t="s">
        <v>2749</v>
      </c>
      <c r="M887" s="160" t="s">
        <v>2738</v>
      </c>
      <c r="O887" s="39" t="s">
        <v>52</v>
      </c>
      <c r="P887" s="39" t="s">
        <v>65</v>
      </c>
      <c r="Q887" s="39">
        <v>40</v>
      </c>
      <c r="R887" s="40">
        <v>44.10675764296753</v>
      </c>
    </row>
    <row r="888" spans="1:18" s="39" customFormat="1" ht="31.25" customHeight="1" x14ac:dyDescent="0.2">
      <c r="A888" s="39" t="s">
        <v>2750</v>
      </c>
      <c r="B888" s="39" t="s">
        <v>69</v>
      </c>
      <c r="C888" s="39" t="s">
        <v>132</v>
      </c>
      <c r="D888" s="39" t="s">
        <v>121</v>
      </c>
      <c r="E888" s="39" t="s">
        <v>151</v>
      </c>
      <c r="F888" s="39" t="s">
        <v>2751</v>
      </c>
      <c r="G888" s="39" t="s">
        <v>125</v>
      </c>
      <c r="H888" s="39" t="s">
        <v>162</v>
      </c>
      <c r="J888" s="39" t="s">
        <v>124</v>
      </c>
      <c r="K888" s="39" t="s">
        <v>5557</v>
      </c>
      <c r="L888" s="48" t="s">
        <v>2752</v>
      </c>
      <c r="M888" s="160" t="s">
        <v>2738</v>
      </c>
      <c r="O888" s="39" t="s">
        <v>52</v>
      </c>
      <c r="P888" s="39" t="s">
        <v>65</v>
      </c>
      <c r="Q888" s="39">
        <v>12</v>
      </c>
      <c r="R888" s="40">
        <v>13.23202729289026</v>
      </c>
    </row>
    <row r="889" spans="1:18" s="39" customFormat="1" ht="31.25" customHeight="1" x14ac:dyDescent="0.2">
      <c r="A889" s="39" t="s">
        <v>2753</v>
      </c>
      <c r="B889" s="39" t="s">
        <v>69</v>
      </c>
      <c r="C889" s="39" t="s">
        <v>132</v>
      </c>
      <c r="D889" s="39" t="s">
        <v>121</v>
      </c>
      <c r="E889" s="39" t="s">
        <v>151</v>
      </c>
      <c r="F889" s="39" t="s">
        <v>2754</v>
      </c>
      <c r="G889" s="39" t="s">
        <v>125</v>
      </c>
      <c r="H889" s="39" t="s">
        <v>162</v>
      </c>
      <c r="J889" s="39" t="s">
        <v>124</v>
      </c>
      <c r="K889" s="39" t="s">
        <v>5557</v>
      </c>
      <c r="L889" s="48" t="s">
        <v>2755</v>
      </c>
      <c r="M889" s="160" t="s">
        <v>2738</v>
      </c>
      <c r="O889" s="39" t="s">
        <v>52</v>
      </c>
      <c r="P889" s="39" t="s">
        <v>65</v>
      </c>
      <c r="Q889" s="39">
        <v>202</v>
      </c>
      <c r="R889" s="40">
        <v>222.73912609698604</v>
      </c>
    </row>
    <row r="890" spans="1:18" s="39" customFormat="1" ht="31.25" customHeight="1" x14ac:dyDescent="0.2">
      <c r="A890" s="39" t="s">
        <v>2756</v>
      </c>
      <c r="B890" s="39" t="s">
        <v>69</v>
      </c>
      <c r="C890" s="39" t="s">
        <v>132</v>
      </c>
      <c r="D890" s="39" t="s">
        <v>121</v>
      </c>
      <c r="E890" s="39" t="s">
        <v>166</v>
      </c>
      <c r="F890" s="39" t="s">
        <v>2757</v>
      </c>
      <c r="G890" s="39" t="s">
        <v>125</v>
      </c>
      <c r="H890" s="39" t="s">
        <v>162</v>
      </c>
      <c r="J890" s="39" t="s">
        <v>124</v>
      </c>
      <c r="K890" s="39" t="s">
        <v>5557</v>
      </c>
      <c r="L890" s="48" t="s">
        <v>2758</v>
      </c>
      <c r="M890" s="160" t="s">
        <v>2738</v>
      </c>
      <c r="O890" s="39" t="s">
        <v>52</v>
      </c>
      <c r="P890" s="39" t="s">
        <v>65</v>
      </c>
      <c r="Q890" s="39">
        <v>1253</v>
      </c>
      <c r="R890" s="40">
        <v>1381.6441831659579</v>
      </c>
    </row>
    <row r="891" spans="1:18" s="39" customFormat="1" ht="31.25" customHeight="1" x14ac:dyDescent="0.2">
      <c r="A891" s="39" t="s">
        <v>2759</v>
      </c>
      <c r="B891" s="39" t="s">
        <v>69</v>
      </c>
      <c r="C891" s="39" t="s">
        <v>132</v>
      </c>
      <c r="D891" s="39" t="s">
        <v>121</v>
      </c>
      <c r="E891" s="39" t="s">
        <v>166</v>
      </c>
      <c r="F891" s="39" t="s">
        <v>2760</v>
      </c>
      <c r="G891" s="39" t="s">
        <v>125</v>
      </c>
      <c r="H891" s="39" t="s">
        <v>162</v>
      </c>
      <c r="J891" s="39" t="s">
        <v>124</v>
      </c>
      <c r="K891" s="39" t="s">
        <v>5557</v>
      </c>
      <c r="L891" s="48" t="s">
        <v>2761</v>
      </c>
      <c r="M891" s="160" t="s">
        <v>2738</v>
      </c>
      <c r="O891" s="39" t="s">
        <v>52</v>
      </c>
      <c r="P891" s="39" t="s">
        <v>65</v>
      </c>
      <c r="Q891" s="39">
        <v>475</v>
      </c>
      <c r="R891" s="40">
        <v>523.76774701023942</v>
      </c>
    </row>
    <row r="892" spans="1:18" s="39" customFormat="1" ht="31.25" customHeight="1" x14ac:dyDescent="0.2">
      <c r="A892" s="39" t="s">
        <v>2762</v>
      </c>
      <c r="B892" s="39" t="s">
        <v>69</v>
      </c>
      <c r="C892" s="39" t="s">
        <v>132</v>
      </c>
      <c r="D892" s="39" t="s">
        <v>121</v>
      </c>
      <c r="E892" s="39" t="s">
        <v>151</v>
      </c>
      <c r="F892" s="39" t="s">
        <v>2736</v>
      </c>
      <c r="G892" s="39" t="s">
        <v>125</v>
      </c>
      <c r="H892" s="39" t="s">
        <v>162</v>
      </c>
      <c r="J892" s="39" t="s">
        <v>295</v>
      </c>
      <c r="K892" s="39" t="s">
        <v>5557</v>
      </c>
      <c r="L892" s="48" t="s">
        <v>2763</v>
      </c>
      <c r="M892" s="160" t="s">
        <v>2738</v>
      </c>
      <c r="O892" s="39" t="s">
        <v>52</v>
      </c>
      <c r="P892" s="39" t="s">
        <v>65</v>
      </c>
      <c r="Q892" s="39">
        <v>450</v>
      </c>
      <c r="R892" s="40">
        <v>496.20102348338474</v>
      </c>
    </row>
    <row r="893" spans="1:18" s="39" customFormat="1" ht="31.25" customHeight="1" x14ac:dyDescent="0.2">
      <c r="A893" s="39" t="s">
        <v>2764</v>
      </c>
      <c r="B893" s="39" t="s">
        <v>69</v>
      </c>
      <c r="C893" s="39" t="s">
        <v>132</v>
      </c>
      <c r="D893" s="39" t="s">
        <v>121</v>
      </c>
      <c r="E893" s="39" t="s">
        <v>166</v>
      </c>
      <c r="F893" s="39" t="s">
        <v>2765</v>
      </c>
      <c r="G893" s="39" t="s">
        <v>125</v>
      </c>
      <c r="H893" s="39" t="s">
        <v>162</v>
      </c>
      <c r="J893" s="39" t="s">
        <v>124</v>
      </c>
      <c r="K893" s="39" t="s">
        <v>5557</v>
      </c>
      <c r="L893" s="48" t="s">
        <v>2766</v>
      </c>
      <c r="M893" s="160" t="s">
        <v>2738</v>
      </c>
      <c r="O893" s="39" t="s">
        <v>52</v>
      </c>
      <c r="P893" s="39" t="s">
        <v>65</v>
      </c>
      <c r="Q893" s="39">
        <v>200</v>
      </c>
      <c r="R893" s="40">
        <v>220.53378821483767</v>
      </c>
    </row>
    <row r="894" spans="1:18" s="39" customFormat="1" ht="31.25" customHeight="1" x14ac:dyDescent="0.2">
      <c r="A894" s="39" t="s">
        <v>2767</v>
      </c>
      <c r="B894" s="39" t="s">
        <v>69</v>
      </c>
      <c r="C894" s="39" t="s">
        <v>132</v>
      </c>
      <c r="D894" s="39" t="s">
        <v>160</v>
      </c>
      <c r="E894" s="39" t="s">
        <v>166</v>
      </c>
      <c r="F894" s="39" t="s">
        <v>2748</v>
      </c>
      <c r="G894" s="39" t="s">
        <v>125</v>
      </c>
      <c r="H894" s="39" t="s">
        <v>162</v>
      </c>
      <c r="J894" s="39" t="s">
        <v>124</v>
      </c>
      <c r="K894" s="39" t="s">
        <v>5557</v>
      </c>
      <c r="L894" s="48" t="s">
        <v>2768</v>
      </c>
      <c r="M894" s="160" t="s">
        <v>2738</v>
      </c>
      <c r="O894" s="39" t="s">
        <v>53</v>
      </c>
      <c r="P894" s="39" t="s">
        <v>65</v>
      </c>
      <c r="Q894" s="39">
        <v>40</v>
      </c>
      <c r="R894" s="40">
        <v>44.10675764296753</v>
      </c>
    </row>
    <row r="895" spans="1:18" s="39" customFormat="1" ht="31.25" customHeight="1" x14ac:dyDescent="0.2">
      <c r="A895" s="39" t="s">
        <v>2769</v>
      </c>
      <c r="B895" s="39" t="s">
        <v>69</v>
      </c>
      <c r="C895" s="39" t="s">
        <v>132</v>
      </c>
      <c r="D895" s="39" t="s">
        <v>160</v>
      </c>
      <c r="E895" s="39" t="s">
        <v>166</v>
      </c>
      <c r="F895" s="39" t="s">
        <v>2770</v>
      </c>
      <c r="G895" s="39" t="s">
        <v>125</v>
      </c>
      <c r="H895" s="39" t="s">
        <v>162</v>
      </c>
      <c r="J895" s="39" t="s">
        <v>124</v>
      </c>
      <c r="K895" s="39" t="s">
        <v>5557</v>
      </c>
      <c r="L895" s="48" t="s">
        <v>2771</v>
      </c>
      <c r="M895" s="160" t="s">
        <v>2738</v>
      </c>
      <c r="O895" s="39" t="s">
        <v>52</v>
      </c>
      <c r="P895" s="39" t="s">
        <v>65</v>
      </c>
      <c r="Q895" s="39">
        <v>11</v>
      </c>
      <c r="R895" s="40">
        <v>12.129358351816071</v>
      </c>
    </row>
    <row r="896" spans="1:18" s="39" customFormat="1" ht="31.25" customHeight="1" x14ac:dyDescent="0.2">
      <c r="A896" s="39" t="s">
        <v>2772</v>
      </c>
      <c r="B896" s="39" t="s">
        <v>69</v>
      </c>
      <c r="C896" s="39" t="s">
        <v>132</v>
      </c>
      <c r="D896" s="39" t="s">
        <v>137</v>
      </c>
      <c r="E896" s="39" t="s">
        <v>133</v>
      </c>
      <c r="F896" s="39" t="s">
        <v>2773</v>
      </c>
      <c r="G896" s="39" t="s">
        <v>125</v>
      </c>
      <c r="H896" s="39" t="s">
        <v>162</v>
      </c>
      <c r="I896" s="39" t="s">
        <v>208</v>
      </c>
      <c r="J896" s="39" t="s">
        <v>124</v>
      </c>
      <c r="K896" s="39" t="s">
        <v>5557</v>
      </c>
      <c r="L896" s="48" t="s">
        <v>2774</v>
      </c>
      <c r="M896" s="160" t="s">
        <v>2738</v>
      </c>
      <c r="O896" s="39" t="s">
        <v>52</v>
      </c>
      <c r="P896" s="39" t="s">
        <v>65</v>
      </c>
      <c r="Q896" s="39">
        <v>250</v>
      </c>
      <c r="R896" s="40">
        <v>275.66723526854707</v>
      </c>
    </row>
    <row r="897" spans="1:18" s="39" customFormat="1" ht="31.25" customHeight="1" x14ac:dyDescent="0.2">
      <c r="A897" s="39" t="s">
        <v>2775</v>
      </c>
      <c r="B897" s="39" t="s">
        <v>69</v>
      </c>
      <c r="C897" s="39" t="s">
        <v>132</v>
      </c>
      <c r="D897" s="39" t="s">
        <v>137</v>
      </c>
      <c r="E897" s="39" t="s">
        <v>133</v>
      </c>
      <c r="F897" s="39" t="s">
        <v>2776</v>
      </c>
      <c r="G897" s="39" t="s">
        <v>125</v>
      </c>
      <c r="H897" s="39" t="s">
        <v>162</v>
      </c>
      <c r="J897" s="39" t="s">
        <v>124</v>
      </c>
      <c r="K897" s="39" t="s">
        <v>5557</v>
      </c>
      <c r="L897" s="48" t="s">
        <v>2777</v>
      </c>
      <c r="M897" s="160" t="s">
        <v>2738</v>
      </c>
      <c r="O897" s="39" t="s">
        <v>52</v>
      </c>
      <c r="P897" s="39" t="s">
        <v>65</v>
      </c>
      <c r="Q897" s="39">
        <v>300</v>
      </c>
      <c r="R897" s="40">
        <v>330.80068232225648</v>
      </c>
    </row>
    <row r="898" spans="1:18" s="39" customFormat="1" ht="31.25" customHeight="1" x14ac:dyDescent="0.2">
      <c r="A898" s="39" t="s">
        <v>2778</v>
      </c>
      <c r="B898" s="39" t="s">
        <v>69</v>
      </c>
      <c r="C898" s="39" t="s">
        <v>132</v>
      </c>
      <c r="D898" s="39" t="s">
        <v>121</v>
      </c>
      <c r="E898" s="39" t="s">
        <v>251</v>
      </c>
      <c r="F898" s="39" t="s">
        <v>2779</v>
      </c>
      <c r="G898" s="39" t="s">
        <v>125</v>
      </c>
      <c r="H898" s="39" t="s">
        <v>162</v>
      </c>
      <c r="J898" s="39" t="s">
        <v>124</v>
      </c>
      <c r="K898" s="39" t="s">
        <v>5557</v>
      </c>
      <c r="L898" s="48" t="s">
        <v>2780</v>
      </c>
      <c r="M898" s="160" t="s">
        <v>2738</v>
      </c>
      <c r="O898" s="39" t="s">
        <v>52</v>
      </c>
      <c r="P898" s="39" t="s">
        <v>65</v>
      </c>
      <c r="Q898" s="39">
        <v>220</v>
      </c>
      <c r="R898" s="40">
        <v>242.58716703632143</v>
      </c>
    </row>
    <row r="899" spans="1:18" s="39" customFormat="1" ht="31.25" customHeight="1" x14ac:dyDescent="0.2">
      <c r="A899" s="39" t="s">
        <v>2781</v>
      </c>
      <c r="B899" s="39" t="s">
        <v>69</v>
      </c>
      <c r="C899" s="39" t="s">
        <v>132</v>
      </c>
      <c r="D899" s="39" t="s">
        <v>137</v>
      </c>
      <c r="E899" s="39" t="s">
        <v>133</v>
      </c>
      <c r="F899" s="39" t="s">
        <v>2782</v>
      </c>
      <c r="G899" s="39" t="s">
        <v>153</v>
      </c>
      <c r="J899" s="39" t="s">
        <v>124</v>
      </c>
      <c r="K899" s="39" t="s">
        <v>5557</v>
      </c>
      <c r="L899" s="48" t="s">
        <v>2783</v>
      </c>
      <c r="M899" s="160" t="s">
        <v>2738</v>
      </c>
      <c r="O899" s="39" t="s">
        <v>52</v>
      </c>
      <c r="P899" s="39" t="s">
        <v>65</v>
      </c>
      <c r="Q899" s="39">
        <v>290</v>
      </c>
      <c r="R899" s="40">
        <v>319.7739929115146</v>
      </c>
    </row>
    <row r="900" spans="1:18" s="39" customFormat="1" ht="31.25" customHeight="1" x14ac:dyDescent="0.2">
      <c r="A900" s="39" t="s">
        <v>2784</v>
      </c>
      <c r="B900" s="39" t="s">
        <v>69</v>
      </c>
      <c r="C900" s="39" t="s">
        <v>132</v>
      </c>
      <c r="D900" s="39" t="s">
        <v>160</v>
      </c>
      <c r="E900" s="39" t="s">
        <v>292</v>
      </c>
      <c r="F900" s="39" t="s">
        <v>2785</v>
      </c>
      <c r="G900" s="39" t="s">
        <v>125</v>
      </c>
      <c r="H900" s="39" t="s">
        <v>208</v>
      </c>
      <c r="I900" s="39" t="s">
        <v>134</v>
      </c>
      <c r="J900" s="39" t="s">
        <v>124</v>
      </c>
      <c r="K900" s="39" t="s">
        <v>5557</v>
      </c>
      <c r="L900" s="48" t="s">
        <v>2786</v>
      </c>
      <c r="M900" s="160" t="s">
        <v>2738</v>
      </c>
      <c r="O900" s="39" t="s">
        <v>52</v>
      </c>
      <c r="P900" s="39" t="s">
        <v>65</v>
      </c>
      <c r="Q900" s="39">
        <v>224</v>
      </c>
      <c r="R900" s="40">
        <v>246.99784280061817</v>
      </c>
    </row>
    <row r="901" spans="1:18" s="39" customFormat="1" ht="31.25" customHeight="1" x14ac:dyDescent="0.2">
      <c r="A901" s="39" t="s">
        <v>2787</v>
      </c>
      <c r="B901" s="39" t="s">
        <v>69</v>
      </c>
      <c r="C901" s="39" t="s">
        <v>132</v>
      </c>
      <c r="D901" s="39" t="s">
        <v>121</v>
      </c>
      <c r="E901" s="39" t="s">
        <v>199</v>
      </c>
      <c r="F901" s="39" t="s">
        <v>2102</v>
      </c>
      <c r="G901" s="39" t="s">
        <v>153</v>
      </c>
      <c r="H901" s="39" t="s">
        <v>152</v>
      </c>
      <c r="J901" s="39" t="s">
        <v>124</v>
      </c>
      <c r="K901" s="39" t="s">
        <v>5557</v>
      </c>
      <c r="L901" s="48" t="s">
        <v>2788</v>
      </c>
      <c r="M901" s="160" t="s">
        <v>2738</v>
      </c>
      <c r="O901" s="39" t="s">
        <v>52</v>
      </c>
      <c r="P901" s="39" t="s">
        <v>65</v>
      </c>
      <c r="Q901" s="39">
        <v>45</v>
      </c>
      <c r="R901" s="40">
        <v>49.62010234833847</v>
      </c>
    </row>
    <row r="902" spans="1:18" s="39" customFormat="1" ht="31.25" customHeight="1" x14ac:dyDescent="0.2">
      <c r="A902" s="39" t="s">
        <v>2789</v>
      </c>
      <c r="B902" s="39" t="s">
        <v>69</v>
      </c>
      <c r="C902" s="39" t="s">
        <v>132</v>
      </c>
      <c r="D902" s="39" t="s">
        <v>137</v>
      </c>
      <c r="E902" s="39" t="s">
        <v>133</v>
      </c>
      <c r="F902" s="39" t="s">
        <v>2765</v>
      </c>
      <c r="G902" s="39" t="s">
        <v>153</v>
      </c>
      <c r="J902" s="39" t="s">
        <v>124</v>
      </c>
      <c r="K902" s="39" t="s">
        <v>5557</v>
      </c>
      <c r="L902" s="48" t="s">
        <v>2790</v>
      </c>
      <c r="M902" s="160" t="s">
        <v>2738</v>
      </c>
      <c r="O902" s="39" t="s">
        <v>52</v>
      </c>
      <c r="P902" s="39" t="s">
        <v>65</v>
      </c>
      <c r="Q902" s="39">
        <v>200</v>
      </c>
      <c r="R902" s="40">
        <v>220.53378821483767</v>
      </c>
    </row>
    <row r="903" spans="1:18" s="39" customFormat="1" ht="31.25" customHeight="1" x14ac:dyDescent="0.2">
      <c r="A903" s="39" t="s">
        <v>2791</v>
      </c>
      <c r="B903" s="39" t="s">
        <v>69</v>
      </c>
      <c r="C903" s="39" t="s">
        <v>132</v>
      </c>
      <c r="D903" s="39" t="s">
        <v>137</v>
      </c>
      <c r="E903" s="39" t="s">
        <v>133</v>
      </c>
      <c r="F903" s="39" t="s">
        <v>2765</v>
      </c>
      <c r="G903" s="39" t="s">
        <v>153</v>
      </c>
      <c r="J903" s="39" t="s">
        <v>124</v>
      </c>
      <c r="K903" s="39" t="s">
        <v>5557</v>
      </c>
      <c r="L903" s="48" t="s">
        <v>2792</v>
      </c>
      <c r="M903" s="160" t="s">
        <v>2738</v>
      </c>
      <c r="O903" s="39" t="s">
        <v>52</v>
      </c>
      <c r="P903" s="39" t="s">
        <v>65</v>
      </c>
      <c r="Q903" s="39">
        <v>200</v>
      </c>
      <c r="R903" s="40">
        <v>220.53378821483767</v>
      </c>
    </row>
    <row r="904" spans="1:18" s="39" customFormat="1" ht="31.25" customHeight="1" x14ac:dyDescent="0.2">
      <c r="A904" s="39" t="s">
        <v>2793</v>
      </c>
      <c r="B904" s="39" t="s">
        <v>69</v>
      </c>
      <c r="C904" s="39" t="s">
        <v>132</v>
      </c>
      <c r="D904" s="39" t="s">
        <v>137</v>
      </c>
      <c r="E904" s="39" t="s">
        <v>133</v>
      </c>
      <c r="F904" s="39" t="s">
        <v>2794</v>
      </c>
      <c r="G904" s="39" t="s">
        <v>208</v>
      </c>
      <c r="H904" s="39" t="s">
        <v>125</v>
      </c>
      <c r="J904" s="39" t="s">
        <v>124</v>
      </c>
      <c r="K904" s="39" t="s">
        <v>5557</v>
      </c>
      <c r="L904" s="48" t="s">
        <v>2795</v>
      </c>
      <c r="M904" s="160" t="s">
        <v>2738</v>
      </c>
      <c r="O904" s="39" t="s">
        <v>52</v>
      </c>
      <c r="P904" s="39" t="s">
        <v>65</v>
      </c>
      <c r="Q904" s="39">
        <v>155</v>
      </c>
      <c r="R904" s="40">
        <v>170.91368586649918</v>
      </c>
    </row>
    <row r="905" spans="1:18" s="39" customFormat="1" ht="31.25" customHeight="1" x14ac:dyDescent="0.2">
      <c r="A905" s="39" t="s">
        <v>2796</v>
      </c>
      <c r="B905" s="39" t="s">
        <v>69</v>
      </c>
      <c r="C905" s="39" t="s">
        <v>132</v>
      </c>
      <c r="D905" s="39" t="s">
        <v>137</v>
      </c>
      <c r="E905" s="39" t="s">
        <v>133</v>
      </c>
      <c r="F905" s="39" t="s">
        <v>328</v>
      </c>
      <c r="G905" s="39" t="s">
        <v>208</v>
      </c>
      <c r="H905" s="39" t="s">
        <v>125</v>
      </c>
      <c r="I905" s="39" t="s">
        <v>153</v>
      </c>
      <c r="J905" s="39" t="s">
        <v>124</v>
      </c>
      <c r="K905" s="39" t="s">
        <v>5557</v>
      </c>
      <c r="L905" s="48" t="s">
        <v>2797</v>
      </c>
      <c r="M905" s="160" t="s">
        <v>2738</v>
      </c>
      <c r="O905" s="39" t="s">
        <v>52</v>
      </c>
      <c r="P905" s="39" t="s">
        <v>65</v>
      </c>
      <c r="Q905" s="39">
        <v>110</v>
      </c>
      <c r="R905" s="40">
        <v>121.29358351816072</v>
      </c>
    </row>
    <row r="906" spans="1:18" s="39" customFormat="1" ht="31.25" customHeight="1" x14ac:dyDescent="0.2">
      <c r="A906" s="39" t="s">
        <v>2798</v>
      </c>
      <c r="B906" s="39" t="s">
        <v>69</v>
      </c>
      <c r="C906" s="39" t="s">
        <v>132</v>
      </c>
      <c r="D906" s="39" t="s">
        <v>121</v>
      </c>
      <c r="E906" s="39" t="s">
        <v>292</v>
      </c>
      <c r="F906" s="39" t="s">
        <v>2799</v>
      </c>
      <c r="G906" s="39" t="s">
        <v>208</v>
      </c>
      <c r="H906" s="39" t="s">
        <v>125</v>
      </c>
      <c r="I906" s="39" t="s">
        <v>162</v>
      </c>
      <c r="J906" s="39" t="s">
        <v>124</v>
      </c>
      <c r="K906" s="39" t="s">
        <v>5557</v>
      </c>
      <c r="L906" s="48" t="s">
        <v>2800</v>
      </c>
      <c r="M906" s="160" t="s">
        <v>2738</v>
      </c>
      <c r="O906" s="39" t="s">
        <v>52</v>
      </c>
      <c r="P906" s="39" t="s">
        <v>65</v>
      </c>
      <c r="Q906" s="39">
        <v>115</v>
      </c>
      <c r="R906" s="40">
        <v>126.80692822353166</v>
      </c>
    </row>
    <row r="907" spans="1:18" s="39" customFormat="1" ht="31.25" customHeight="1" x14ac:dyDescent="0.2">
      <c r="A907" s="39" t="s">
        <v>2801</v>
      </c>
      <c r="B907" s="39" t="s">
        <v>69</v>
      </c>
      <c r="C907" s="39" t="s">
        <v>132</v>
      </c>
      <c r="D907" s="39" t="s">
        <v>137</v>
      </c>
      <c r="E907" s="39" t="s">
        <v>133</v>
      </c>
      <c r="F907" s="39" t="s">
        <v>2802</v>
      </c>
      <c r="G907" s="39" t="s">
        <v>125</v>
      </c>
      <c r="H907" s="39" t="s">
        <v>134</v>
      </c>
      <c r="J907" s="39" t="s">
        <v>124</v>
      </c>
      <c r="K907" s="39" t="s">
        <v>5557</v>
      </c>
      <c r="L907" s="48" t="s">
        <v>2803</v>
      </c>
      <c r="M907" s="160" t="s">
        <v>2738</v>
      </c>
      <c r="O907" s="39" t="s">
        <v>52</v>
      </c>
      <c r="P907" s="39" t="s">
        <v>65</v>
      </c>
      <c r="Q907" s="39">
        <v>100</v>
      </c>
      <c r="R907" s="40">
        <v>110.26689410741884</v>
      </c>
    </row>
    <row r="908" spans="1:18" s="39" customFormat="1" ht="31.25" customHeight="1" x14ac:dyDescent="0.2">
      <c r="A908" s="39" t="s">
        <v>2804</v>
      </c>
      <c r="B908" s="39" t="s">
        <v>69</v>
      </c>
      <c r="C908" s="39" t="s">
        <v>132</v>
      </c>
      <c r="D908" s="39" t="s">
        <v>137</v>
      </c>
      <c r="E908" s="39" t="s">
        <v>133</v>
      </c>
      <c r="F908" s="39" t="s">
        <v>2805</v>
      </c>
      <c r="G908" s="39" t="s">
        <v>208</v>
      </c>
      <c r="H908" s="39" t="s">
        <v>125</v>
      </c>
      <c r="J908" s="39" t="s">
        <v>124</v>
      </c>
      <c r="K908" s="39" t="s">
        <v>5557</v>
      </c>
      <c r="L908" s="48" t="s">
        <v>2806</v>
      </c>
      <c r="M908" s="160" t="s">
        <v>2738</v>
      </c>
      <c r="O908" s="39" t="s">
        <v>52</v>
      </c>
      <c r="P908" s="39" t="s">
        <v>65</v>
      </c>
      <c r="Q908" s="39">
        <v>74</v>
      </c>
      <c r="R908" s="40">
        <v>81.597501639489934</v>
      </c>
    </row>
    <row r="909" spans="1:18" s="39" customFormat="1" ht="31.25" customHeight="1" x14ac:dyDescent="0.2">
      <c r="A909" s="39" t="s">
        <v>2807</v>
      </c>
      <c r="B909" s="39" t="s">
        <v>69</v>
      </c>
      <c r="C909" s="39" t="s">
        <v>132</v>
      </c>
      <c r="D909" s="39" t="s">
        <v>137</v>
      </c>
      <c r="E909" s="39" t="s">
        <v>133</v>
      </c>
      <c r="F909" s="39" t="s">
        <v>2808</v>
      </c>
      <c r="G909" s="39" t="s">
        <v>208</v>
      </c>
      <c r="H909" s="39" t="s">
        <v>125</v>
      </c>
      <c r="J909" s="39" t="s">
        <v>124</v>
      </c>
      <c r="K909" s="39" t="s">
        <v>5557</v>
      </c>
      <c r="L909" s="48" t="s">
        <v>2809</v>
      </c>
      <c r="M909" s="160" t="s">
        <v>2738</v>
      </c>
      <c r="O909" s="39" t="s">
        <v>55</v>
      </c>
      <c r="P909" s="39" t="s">
        <v>65</v>
      </c>
      <c r="Q909" s="39">
        <v>45</v>
      </c>
      <c r="R909" s="40">
        <v>49.62010234833847</v>
      </c>
    </row>
    <row r="910" spans="1:18" s="39" customFormat="1" ht="31.25" customHeight="1" x14ac:dyDescent="0.2">
      <c r="A910" s="39" t="s">
        <v>2810</v>
      </c>
      <c r="B910" s="39" t="s">
        <v>69</v>
      </c>
      <c r="C910" s="39" t="s">
        <v>132</v>
      </c>
      <c r="D910" s="39" t="s">
        <v>137</v>
      </c>
      <c r="E910" s="39" t="s">
        <v>133</v>
      </c>
      <c r="F910" s="39" t="s">
        <v>2811</v>
      </c>
      <c r="G910" s="39" t="s">
        <v>208</v>
      </c>
      <c r="H910" s="39" t="s">
        <v>125</v>
      </c>
      <c r="J910" s="39" t="s">
        <v>124</v>
      </c>
      <c r="K910" s="39" t="s">
        <v>5557</v>
      </c>
      <c r="L910" s="48" t="s">
        <v>2812</v>
      </c>
      <c r="M910" s="160" t="s">
        <v>2738</v>
      </c>
      <c r="O910" s="39" t="s">
        <v>52</v>
      </c>
      <c r="P910" s="39" t="s">
        <v>65</v>
      </c>
      <c r="Q910" s="39">
        <v>19</v>
      </c>
      <c r="R910" s="40">
        <v>20.950709880409576</v>
      </c>
    </row>
    <row r="911" spans="1:18" s="39" customFormat="1" ht="31.25" customHeight="1" x14ac:dyDescent="0.2">
      <c r="A911" s="39" t="s">
        <v>2813</v>
      </c>
      <c r="B911" s="39" t="s">
        <v>69</v>
      </c>
      <c r="C911" s="39" t="s">
        <v>280</v>
      </c>
      <c r="D911" s="39" t="s">
        <v>121</v>
      </c>
      <c r="E911" s="39" t="s">
        <v>151</v>
      </c>
      <c r="F911" s="39" t="s">
        <v>459</v>
      </c>
      <c r="G911" s="39" t="s">
        <v>125</v>
      </c>
      <c r="H911" s="39" t="s">
        <v>162</v>
      </c>
      <c r="J911" s="39" t="s">
        <v>124</v>
      </c>
      <c r="K911" s="39" t="s">
        <v>5557</v>
      </c>
      <c r="L911" s="48" t="s">
        <v>2814</v>
      </c>
      <c r="M911" s="160" t="s">
        <v>2738</v>
      </c>
      <c r="O911" s="39" t="s">
        <v>52</v>
      </c>
      <c r="P911" s="39" t="s">
        <v>65</v>
      </c>
      <c r="Q911" s="39">
        <v>95</v>
      </c>
      <c r="R911" s="40">
        <v>104.75354940204788</v>
      </c>
    </row>
    <row r="912" spans="1:18" s="39" customFormat="1" ht="31.25" customHeight="1" x14ac:dyDescent="0.2">
      <c r="A912" s="39" t="s">
        <v>2815</v>
      </c>
      <c r="B912" s="39" t="s">
        <v>69</v>
      </c>
      <c r="C912" s="39" t="s">
        <v>280</v>
      </c>
      <c r="D912" s="39" t="s">
        <v>121</v>
      </c>
      <c r="E912" s="39" t="s">
        <v>151</v>
      </c>
      <c r="F912" s="39" t="s">
        <v>2816</v>
      </c>
      <c r="G912" s="39" t="s">
        <v>125</v>
      </c>
      <c r="H912" s="39" t="s">
        <v>162</v>
      </c>
      <c r="J912" s="39" t="s">
        <v>124</v>
      </c>
      <c r="K912" s="39" t="s">
        <v>5557</v>
      </c>
      <c r="L912" s="48" t="s">
        <v>2817</v>
      </c>
      <c r="M912" s="160" t="s">
        <v>2738</v>
      </c>
      <c r="O912" s="39" t="s">
        <v>52</v>
      </c>
      <c r="P912" s="39" t="s">
        <v>65</v>
      </c>
      <c r="Q912" s="39">
        <v>63</v>
      </c>
      <c r="R912" s="40">
        <v>69.468143287673868</v>
      </c>
    </row>
    <row r="913" spans="1:18" s="39" customFormat="1" ht="31.25" customHeight="1" x14ac:dyDescent="0.2">
      <c r="A913" s="39" t="s">
        <v>2818</v>
      </c>
      <c r="B913" s="39" t="s">
        <v>69</v>
      </c>
      <c r="C913" s="39" t="s">
        <v>226</v>
      </c>
      <c r="D913" s="39" t="s">
        <v>137</v>
      </c>
      <c r="E913" s="39" t="s">
        <v>133</v>
      </c>
      <c r="F913" s="39" t="s">
        <v>2802</v>
      </c>
      <c r="G913" s="39" t="s">
        <v>125</v>
      </c>
      <c r="H913" s="39" t="s">
        <v>162</v>
      </c>
      <c r="J913" s="39" t="s">
        <v>157</v>
      </c>
      <c r="K913" s="39" t="s">
        <v>5558</v>
      </c>
      <c r="L913" s="48" t="s">
        <v>2819</v>
      </c>
      <c r="M913" s="160" t="s">
        <v>2738</v>
      </c>
      <c r="O913" s="39" t="s">
        <v>52</v>
      </c>
      <c r="P913" s="39" t="s">
        <v>65</v>
      </c>
      <c r="Q913" s="39">
        <v>100</v>
      </c>
      <c r="R913" s="40">
        <v>110.26689410741884</v>
      </c>
    </row>
    <row r="914" spans="1:18" s="39" customFormat="1" ht="31.25" customHeight="1" x14ac:dyDescent="0.2">
      <c r="A914" s="39" t="s">
        <v>2820</v>
      </c>
      <c r="B914" s="39" t="s">
        <v>69</v>
      </c>
      <c r="C914" s="39" t="s">
        <v>226</v>
      </c>
      <c r="D914" s="39" t="s">
        <v>137</v>
      </c>
      <c r="E914" s="39" t="s">
        <v>133</v>
      </c>
      <c r="F914" s="39" t="s">
        <v>2821</v>
      </c>
      <c r="G914" s="39" t="s">
        <v>125</v>
      </c>
      <c r="H914" s="39" t="s">
        <v>162</v>
      </c>
      <c r="J914" s="39" t="s">
        <v>157</v>
      </c>
      <c r="K914" s="39" t="s">
        <v>5558</v>
      </c>
      <c r="L914" s="48" t="s">
        <v>2822</v>
      </c>
      <c r="M914" s="160" t="s">
        <v>2738</v>
      </c>
      <c r="O914" s="39" t="s">
        <v>52</v>
      </c>
      <c r="P914" s="39" t="s">
        <v>65</v>
      </c>
      <c r="Q914" s="39">
        <v>350</v>
      </c>
      <c r="R914" s="40">
        <v>385.93412937596588</v>
      </c>
    </row>
    <row r="915" spans="1:18" s="39" customFormat="1" ht="31.25" customHeight="1" x14ac:dyDescent="0.2">
      <c r="A915" s="39" t="s">
        <v>2823</v>
      </c>
      <c r="B915" s="39" t="s">
        <v>69</v>
      </c>
      <c r="C915" s="39" t="s">
        <v>132</v>
      </c>
      <c r="D915" s="39" t="s">
        <v>121</v>
      </c>
      <c r="E915" s="39" t="s">
        <v>166</v>
      </c>
      <c r="F915" s="39" t="s">
        <v>2824</v>
      </c>
      <c r="G915" s="39" t="s">
        <v>125</v>
      </c>
      <c r="H915" s="39" t="s">
        <v>162</v>
      </c>
      <c r="J915" s="39" t="s">
        <v>124</v>
      </c>
      <c r="K915" s="39" t="s">
        <v>5557</v>
      </c>
      <c r="L915" s="48" t="s">
        <v>2825</v>
      </c>
      <c r="M915" s="160" t="s">
        <v>2738</v>
      </c>
      <c r="O915" s="39" t="s">
        <v>52</v>
      </c>
      <c r="P915" s="39" t="s">
        <v>65</v>
      </c>
      <c r="Q915" s="39">
        <v>108</v>
      </c>
      <c r="R915" s="40">
        <v>119.08824563601233</v>
      </c>
    </row>
    <row r="916" spans="1:18" s="39" customFormat="1" ht="31.25" customHeight="1" x14ac:dyDescent="0.2">
      <c r="A916" s="39" t="s">
        <v>2826</v>
      </c>
      <c r="B916" s="39" t="s">
        <v>69</v>
      </c>
      <c r="C916" s="39" t="s">
        <v>226</v>
      </c>
      <c r="D916" s="39" t="s">
        <v>137</v>
      </c>
      <c r="E916" s="39" t="s">
        <v>133</v>
      </c>
      <c r="F916" s="39" t="s">
        <v>561</v>
      </c>
      <c r="G916" s="39" t="s">
        <v>125</v>
      </c>
      <c r="H916" s="39" t="s">
        <v>162</v>
      </c>
      <c r="J916" s="39" t="s">
        <v>157</v>
      </c>
      <c r="K916" s="39" t="s">
        <v>5558</v>
      </c>
      <c r="L916" s="48" t="s">
        <v>2827</v>
      </c>
      <c r="M916" s="160" t="s">
        <v>2738</v>
      </c>
      <c r="O916" s="39" t="s">
        <v>52</v>
      </c>
      <c r="P916" s="39" t="s">
        <v>65</v>
      </c>
      <c r="Q916" s="39">
        <v>55</v>
      </c>
      <c r="R916" s="40">
        <v>60.646791759080358</v>
      </c>
    </row>
    <row r="917" spans="1:18" s="39" customFormat="1" ht="31.25" customHeight="1" x14ac:dyDescent="0.2">
      <c r="A917" s="39" t="s">
        <v>2828</v>
      </c>
      <c r="B917" s="39" t="s">
        <v>69</v>
      </c>
      <c r="C917" s="39" t="s">
        <v>132</v>
      </c>
      <c r="D917" s="39" t="s">
        <v>121</v>
      </c>
      <c r="E917" s="39" t="s">
        <v>151</v>
      </c>
      <c r="F917" s="39" t="s">
        <v>2829</v>
      </c>
      <c r="G917" s="39" t="s">
        <v>125</v>
      </c>
      <c r="H917" s="39" t="s">
        <v>162</v>
      </c>
      <c r="J917" s="39" t="s">
        <v>124</v>
      </c>
      <c r="K917" s="39" t="s">
        <v>5557</v>
      </c>
      <c r="L917" s="48" t="s">
        <v>2830</v>
      </c>
      <c r="M917" s="160" t="s">
        <v>2738</v>
      </c>
      <c r="O917" s="39" t="s">
        <v>52</v>
      </c>
      <c r="P917" s="39" t="s">
        <v>65</v>
      </c>
      <c r="Q917" s="39">
        <v>189</v>
      </c>
      <c r="R917" s="40">
        <v>208.40442986302159</v>
      </c>
    </row>
    <row r="918" spans="1:18" s="39" customFormat="1" ht="31.25" customHeight="1" x14ac:dyDescent="0.2">
      <c r="A918" s="39" t="s">
        <v>2831</v>
      </c>
      <c r="B918" s="39" t="s">
        <v>69</v>
      </c>
      <c r="C918" s="39" t="s">
        <v>132</v>
      </c>
      <c r="D918" s="39" t="s">
        <v>121</v>
      </c>
      <c r="E918" s="39" t="s">
        <v>166</v>
      </c>
      <c r="F918" s="39" t="s">
        <v>2832</v>
      </c>
      <c r="G918" s="39" t="s">
        <v>125</v>
      </c>
      <c r="H918" s="39" t="s">
        <v>162</v>
      </c>
      <c r="J918" s="39" t="s">
        <v>124</v>
      </c>
      <c r="K918" s="39" t="s">
        <v>5557</v>
      </c>
      <c r="L918" s="48" t="s">
        <v>2833</v>
      </c>
      <c r="M918" s="160" t="s">
        <v>2738</v>
      </c>
      <c r="O918" s="39" t="s">
        <v>52</v>
      </c>
      <c r="P918" s="39" t="s">
        <v>65</v>
      </c>
      <c r="Q918" s="39">
        <v>317</v>
      </c>
      <c r="R918" s="40">
        <v>349.54605432051767</v>
      </c>
    </row>
    <row r="919" spans="1:18" s="39" customFormat="1" ht="31.25" customHeight="1" x14ac:dyDescent="0.2">
      <c r="A919" s="39" t="s">
        <v>2834</v>
      </c>
      <c r="B919" s="39" t="s">
        <v>69</v>
      </c>
      <c r="C919" s="39" t="s">
        <v>132</v>
      </c>
      <c r="D919" s="39" t="s">
        <v>160</v>
      </c>
      <c r="E919" s="39" t="s">
        <v>166</v>
      </c>
      <c r="F919" s="39" t="s">
        <v>2835</v>
      </c>
      <c r="G919" s="39" t="s">
        <v>125</v>
      </c>
      <c r="H919" s="39" t="s">
        <v>162</v>
      </c>
      <c r="J919" s="39" t="s">
        <v>124</v>
      </c>
      <c r="K919" s="39" t="s">
        <v>5557</v>
      </c>
      <c r="L919" s="48" t="s">
        <v>2836</v>
      </c>
      <c r="M919" s="160" t="s">
        <v>2738</v>
      </c>
      <c r="O919" s="39" t="s">
        <v>55</v>
      </c>
      <c r="P919" s="39" t="s">
        <v>65</v>
      </c>
      <c r="Q919" s="39">
        <v>6</v>
      </c>
      <c r="R919" s="40">
        <v>6.61601364644513</v>
      </c>
    </row>
    <row r="920" spans="1:18" s="39" customFormat="1" ht="31.25" customHeight="1" x14ac:dyDescent="0.2">
      <c r="A920" s="39" t="s">
        <v>2837</v>
      </c>
      <c r="B920" s="39" t="s">
        <v>69</v>
      </c>
      <c r="C920" s="39" t="s">
        <v>132</v>
      </c>
      <c r="D920" s="39" t="s">
        <v>121</v>
      </c>
      <c r="E920" s="39" t="s">
        <v>166</v>
      </c>
      <c r="F920" s="39" t="s">
        <v>2838</v>
      </c>
      <c r="G920" s="39" t="s">
        <v>125</v>
      </c>
      <c r="H920" s="39" t="s">
        <v>162</v>
      </c>
      <c r="J920" s="39" t="s">
        <v>124</v>
      </c>
      <c r="K920" s="39" t="s">
        <v>5557</v>
      </c>
      <c r="L920" s="48" t="s">
        <v>2839</v>
      </c>
      <c r="M920" s="160" t="s">
        <v>2738</v>
      </c>
      <c r="O920" s="39" t="s">
        <v>52</v>
      </c>
      <c r="P920" s="39" t="s">
        <v>65</v>
      </c>
      <c r="Q920" s="39">
        <v>98</v>
      </c>
      <c r="R920" s="40">
        <v>108.06155622527045</v>
      </c>
    </row>
    <row r="921" spans="1:18" s="39" customFormat="1" ht="31.25" customHeight="1" x14ac:dyDescent="0.2">
      <c r="A921" s="39" t="s">
        <v>2840</v>
      </c>
      <c r="B921" s="39" t="s">
        <v>69</v>
      </c>
      <c r="C921" s="39" t="s">
        <v>132</v>
      </c>
      <c r="D921" s="39" t="s">
        <v>121</v>
      </c>
      <c r="E921" s="39" t="s">
        <v>734</v>
      </c>
      <c r="F921" s="39" t="s">
        <v>416</v>
      </c>
      <c r="G921" s="39" t="s">
        <v>125</v>
      </c>
      <c r="H921" s="39" t="s">
        <v>162</v>
      </c>
      <c r="J921" s="39" t="s">
        <v>124</v>
      </c>
      <c r="K921" s="39" t="s">
        <v>5557</v>
      </c>
      <c r="L921" s="48" t="s">
        <v>2841</v>
      </c>
      <c r="M921" s="160" t="s">
        <v>2738</v>
      </c>
      <c r="O921" s="39" t="s">
        <v>55</v>
      </c>
      <c r="P921" s="39" t="s">
        <v>65</v>
      </c>
      <c r="Q921" s="39">
        <v>20</v>
      </c>
      <c r="R921" s="40">
        <v>22.053378821483765</v>
      </c>
    </row>
    <row r="922" spans="1:18" s="39" customFormat="1" ht="31.25" customHeight="1" x14ac:dyDescent="0.2">
      <c r="A922" s="39" t="s">
        <v>2842</v>
      </c>
      <c r="B922" s="39" t="s">
        <v>69</v>
      </c>
      <c r="C922" s="39" t="s">
        <v>132</v>
      </c>
      <c r="D922" s="39" t="s">
        <v>137</v>
      </c>
      <c r="E922" s="39" t="s">
        <v>133</v>
      </c>
      <c r="F922" s="39" t="s">
        <v>2843</v>
      </c>
      <c r="G922" s="39" t="s">
        <v>125</v>
      </c>
      <c r="H922" s="39" t="s">
        <v>162</v>
      </c>
      <c r="I922" s="39" t="s">
        <v>134</v>
      </c>
      <c r="J922" s="39" t="s">
        <v>124</v>
      </c>
      <c r="K922" s="39" t="s">
        <v>5557</v>
      </c>
      <c r="L922" s="48" t="s">
        <v>2844</v>
      </c>
      <c r="M922" s="160" t="s">
        <v>2738</v>
      </c>
      <c r="O922" s="39" t="s">
        <v>52</v>
      </c>
      <c r="P922" s="39" t="s">
        <v>65</v>
      </c>
      <c r="Q922" s="39">
        <v>92</v>
      </c>
      <c r="R922" s="40">
        <v>101.44554257882533</v>
      </c>
    </row>
    <row r="923" spans="1:18" s="39" customFormat="1" ht="31.25" customHeight="1" x14ac:dyDescent="0.2">
      <c r="A923" s="39" t="s">
        <v>2845</v>
      </c>
      <c r="B923" s="39" t="s">
        <v>69</v>
      </c>
      <c r="C923" s="39" t="s">
        <v>132</v>
      </c>
      <c r="D923" s="39" t="s">
        <v>121</v>
      </c>
      <c r="E923" s="39" t="s">
        <v>251</v>
      </c>
      <c r="F923" s="39" t="s">
        <v>2846</v>
      </c>
      <c r="G923" s="39" t="s">
        <v>125</v>
      </c>
      <c r="H923" s="39" t="s">
        <v>162</v>
      </c>
      <c r="J923" s="39" t="s">
        <v>124</v>
      </c>
      <c r="K923" s="39" t="s">
        <v>5557</v>
      </c>
      <c r="L923" s="48" t="s">
        <v>2847</v>
      </c>
      <c r="M923" s="160" t="s">
        <v>2738</v>
      </c>
      <c r="O923" s="39" t="s">
        <v>52</v>
      </c>
      <c r="P923" s="39" t="s">
        <v>65</v>
      </c>
      <c r="Q923" s="39">
        <v>24</v>
      </c>
      <c r="R923" s="40">
        <v>26.46405458578052</v>
      </c>
    </row>
    <row r="924" spans="1:18" s="39" customFormat="1" ht="31.25" customHeight="1" x14ac:dyDescent="0.2">
      <c r="A924" s="39" t="s">
        <v>2848</v>
      </c>
      <c r="B924" s="39" t="s">
        <v>69</v>
      </c>
      <c r="C924" s="39" t="s">
        <v>132</v>
      </c>
      <c r="D924" s="39" t="s">
        <v>121</v>
      </c>
      <c r="E924" s="39" t="s">
        <v>2849</v>
      </c>
      <c r="F924" s="39" t="s">
        <v>2850</v>
      </c>
      <c r="G924" s="39" t="s">
        <v>125</v>
      </c>
      <c r="H924" s="39" t="s">
        <v>162</v>
      </c>
      <c r="J924" s="39" t="s">
        <v>124</v>
      </c>
      <c r="K924" s="39" t="s">
        <v>5557</v>
      </c>
      <c r="L924" s="48" t="s">
        <v>2851</v>
      </c>
      <c r="M924" s="160" t="s">
        <v>2738</v>
      </c>
      <c r="O924" s="39" t="s">
        <v>52</v>
      </c>
      <c r="P924" s="39" t="s">
        <v>65</v>
      </c>
      <c r="Q924" s="39">
        <v>130</v>
      </c>
      <c r="R924" s="40">
        <v>143.34696233964448</v>
      </c>
    </row>
    <row r="925" spans="1:18" s="39" customFormat="1" ht="31.25" customHeight="1" x14ac:dyDescent="0.2">
      <c r="A925" s="39" t="s">
        <v>2852</v>
      </c>
      <c r="B925" s="39" t="s">
        <v>69</v>
      </c>
      <c r="C925" s="39" t="s">
        <v>132</v>
      </c>
      <c r="D925" s="39" t="s">
        <v>121</v>
      </c>
      <c r="E925" s="39" t="s">
        <v>151</v>
      </c>
      <c r="F925" s="39" t="s">
        <v>2853</v>
      </c>
      <c r="G925" s="39" t="s">
        <v>125</v>
      </c>
      <c r="H925" s="39" t="s">
        <v>162</v>
      </c>
      <c r="J925" s="39" t="s">
        <v>124</v>
      </c>
      <c r="K925" s="39" t="s">
        <v>5557</v>
      </c>
      <c r="L925" s="48" t="s">
        <v>2854</v>
      </c>
      <c r="M925" s="160" t="s">
        <v>2738</v>
      </c>
      <c r="O925" s="39" t="s">
        <v>52</v>
      </c>
      <c r="P925" s="39" t="s">
        <v>65</v>
      </c>
      <c r="Q925" s="39">
        <v>126</v>
      </c>
      <c r="R925" s="40">
        <v>138.93628657534774</v>
      </c>
    </row>
    <row r="926" spans="1:18" s="39" customFormat="1" ht="31.25" customHeight="1" x14ac:dyDescent="0.2">
      <c r="A926" s="39" t="s">
        <v>2855</v>
      </c>
      <c r="B926" s="39" t="s">
        <v>69</v>
      </c>
      <c r="C926" s="39" t="s">
        <v>132</v>
      </c>
      <c r="D926" s="39" t="s">
        <v>160</v>
      </c>
      <c r="E926" s="39" t="s">
        <v>251</v>
      </c>
      <c r="F926" s="39" t="s">
        <v>2856</v>
      </c>
      <c r="G926" s="39" t="s">
        <v>125</v>
      </c>
      <c r="H926" s="39" t="s">
        <v>162</v>
      </c>
      <c r="J926" s="39" t="s">
        <v>124</v>
      </c>
      <c r="K926" s="39" t="s">
        <v>5557</v>
      </c>
      <c r="L926" s="48" t="s">
        <v>2857</v>
      </c>
      <c r="M926" s="160" t="s">
        <v>2738</v>
      </c>
      <c r="O926" s="39" t="s">
        <v>52</v>
      </c>
      <c r="P926" s="39" t="s">
        <v>65</v>
      </c>
      <c r="Q926" s="39">
        <v>81</v>
      </c>
      <c r="R926" s="40">
        <v>89.316184227009245</v>
      </c>
    </row>
    <row r="927" spans="1:18" s="39" customFormat="1" ht="31.25" customHeight="1" x14ac:dyDescent="0.2">
      <c r="A927" s="39" t="s">
        <v>2858</v>
      </c>
      <c r="B927" s="39" t="s">
        <v>69</v>
      </c>
      <c r="C927" s="39" t="s">
        <v>132</v>
      </c>
      <c r="D927" s="39" t="s">
        <v>121</v>
      </c>
      <c r="E927" s="39" t="s">
        <v>147</v>
      </c>
      <c r="F927" s="39" t="s">
        <v>2859</v>
      </c>
      <c r="G927" s="39" t="s">
        <v>125</v>
      </c>
      <c r="H927" s="39" t="s">
        <v>162</v>
      </c>
      <c r="I927" s="39" t="s">
        <v>158</v>
      </c>
      <c r="J927" s="39" t="s">
        <v>124</v>
      </c>
      <c r="K927" s="39" t="s">
        <v>5557</v>
      </c>
      <c r="L927" s="48" t="s">
        <v>2860</v>
      </c>
      <c r="M927" s="160" t="s">
        <v>2738</v>
      </c>
      <c r="O927" s="39" t="s">
        <v>52</v>
      </c>
      <c r="P927" s="39" t="s">
        <v>65</v>
      </c>
      <c r="Q927" s="39">
        <v>49</v>
      </c>
      <c r="R927" s="40">
        <v>54.030778112635225</v>
      </c>
    </row>
    <row r="928" spans="1:18" s="39" customFormat="1" ht="31.25" customHeight="1" x14ac:dyDescent="0.2">
      <c r="A928" s="39" t="s">
        <v>2861</v>
      </c>
      <c r="B928" s="39" t="s">
        <v>69</v>
      </c>
      <c r="C928" s="39" t="s">
        <v>132</v>
      </c>
      <c r="D928" s="39" t="s">
        <v>121</v>
      </c>
      <c r="E928" s="39" t="s">
        <v>172</v>
      </c>
      <c r="F928" s="39" t="s">
        <v>2862</v>
      </c>
      <c r="G928" s="39" t="s">
        <v>125</v>
      </c>
      <c r="H928" s="39" t="s">
        <v>162</v>
      </c>
      <c r="J928" s="39" t="s">
        <v>124</v>
      </c>
      <c r="K928" s="39" t="s">
        <v>5557</v>
      </c>
      <c r="L928" s="48" t="s">
        <v>2863</v>
      </c>
      <c r="M928" s="160" t="s">
        <v>2738</v>
      </c>
      <c r="O928" s="39" t="s">
        <v>52</v>
      </c>
      <c r="P928" s="39" t="s">
        <v>65</v>
      </c>
      <c r="Q928" s="39">
        <v>274</v>
      </c>
      <c r="R928" s="40">
        <v>302.13128985432758</v>
      </c>
    </row>
    <row r="929" spans="1:18" s="39" customFormat="1" ht="31.25" customHeight="1" x14ac:dyDescent="0.2">
      <c r="A929" s="39" t="s">
        <v>2864</v>
      </c>
      <c r="B929" s="39" t="s">
        <v>69</v>
      </c>
      <c r="C929" s="39" t="s">
        <v>132</v>
      </c>
      <c r="D929" s="39" t="s">
        <v>137</v>
      </c>
      <c r="E929" s="39" t="s">
        <v>133</v>
      </c>
      <c r="F929" s="39" t="s">
        <v>589</v>
      </c>
      <c r="G929" s="39" t="s">
        <v>125</v>
      </c>
      <c r="H929" s="39" t="s">
        <v>162</v>
      </c>
      <c r="J929" s="39" t="s">
        <v>124</v>
      </c>
      <c r="K929" s="39" t="s">
        <v>5557</v>
      </c>
      <c r="L929" s="48" t="s">
        <v>2865</v>
      </c>
      <c r="M929" s="160" t="s">
        <v>2738</v>
      </c>
      <c r="O929" s="39" t="s">
        <v>52</v>
      </c>
      <c r="P929" s="39" t="s">
        <v>65</v>
      </c>
      <c r="Q929" s="39">
        <v>85</v>
      </c>
      <c r="R929" s="40">
        <v>93.726859991306</v>
      </c>
    </row>
    <row r="930" spans="1:18" s="39" customFormat="1" ht="31.25" customHeight="1" x14ac:dyDescent="0.2">
      <c r="A930" s="39" t="s">
        <v>2866</v>
      </c>
      <c r="B930" s="39" t="s">
        <v>69</v>
      </c>
      <c r="C930" s="39" t="s">
        <v>132</v>
      </c>
      <c r="D930" s="39" t="s">
        <v>121</v>
      </c>
      <c r="E930" s="39" t="s">
        <v>172</v>
      </c>
      <c r="F930" s="39" t="s">
        <v>352</v>
      </c>
      <c r="G930" s="39" t="s">
        <v>125</v>
      </c>
      <c r="H930" s="39" t="s">
        <v>162</v>
      </c>
      <c r="J930" s="39" t="s">
        <v>124</v>
      </c>
      <c r="K930" s="39" t="s">
        <v>5557</v>
      </c>
      <c r="L930" s="48" t="s">
        <v>2867</v>
      </c>
      <c r="M930" s="160" t="s">
        <v>2738</v>
      </c>
      <c r="O930" s="39" t="s">
        <v>52</v>
      </c>
      <c r="P930" s="39" t="s">
        <v>65</v>
      </c>
      <c r="Q930" s="39">
        <v>35</v>
      </c>
      <c r="R930" s="40">
        <v>38.59341293759659</v>
      </c>
    </row>
    <row r="931" spans="1:18" s="39" customFormat="1" ht="31.25" customHeight="1" x14ac:dyDescent="0.2">
      <c r="A931" s="39" t="s">
        <v>2868</v>
      </c>
      <c r="B931" s="39" t="s">
        <v>69</v>
      </c>
      <c r="C931" s="39" t="s">
        <v>120</v>
      </c>
      <c r="D931" s="39" t="s">
        <v>121</v>
      </c>
      <c r="E931" s="39" t="s">
        <v>151</v>
      </c>
      <c r="F931" s="39" t="s">
        <v>2869</v>
      </c>
      <c r="G931" s="39" t="s">
        <v>125</v>
      </c>
      <c r="H931" s="39" t="s">
        <v>162</v>
      </c>
      <c r="I931" s="39" t="s">
        <v>208</v>
      </c>
      <c r="J931" s="39" t="s">
        <v>124</v>
      </c>
      <c r="K931" s="39" t="s">
        <v>5557</v>
      </c>
      <c r="L931" s="48" t="s">
        <v>2870</v>
      </c>
      <c r="M931" s="160" t="s">
        <v>2738</v>
      </c>
      <c r="O931" s="39" t="s">
        <v>52</v>
      </c>
      <c r="P931" s="39" t="s">
        <v>65</v>
      </c>
      <c r="Q931" s="39">
        <v>5118</v>
      </c>
      <c r="R931" s="40">
        <v>5643.4596404176955</v>
      </c>
    </row>
    <row r="932" spans="1:18" s="39" customFormat="1" ht="31.25" customHeight="1" x14ac:dyDescent="0.2">
      <c r="A932" s="39" t="s">
        <v>2871</v>
      </c>
      <c r="B932" s="39" t="s">
        <v>69</v>
      </c>
      <c r="C932" s="39" t="s">
        <v>171</v>
      </c>
      <c r="D932" s="39" t="s">
        <v>121</v>
      </c>
      <c r="E932" s="39" t="s">
        <v>151</v>
      </c>
      <c r="F932" s="39">
        <v>0</v>
      </c>
      <c r="G932" s="39" t="s">
        <v>125</v>
      </c>
      <c r="H932" s="39" t="s">
        <v>162</v>
      </c>
      <c r="J932" s="39" t="s">
        <v>124</v>
      </c>
      <c r="K932" s="39" t="s">
        <v>5557</v>
      </c>
      <c r="L932" s="39" t="s">
        <v>2872</v>
      </c>
      <c r="M932" s="160" t="s">
        <v>2738</v>
      </c>
      <c r="O932" s="39" t="s">
        <v>52</v>
      </c>
      <c r="P932" s="39" t="s">
        <v>65</v>
      </c>
      <c r="Q932" s="39">
        <v>0</v>
      </c>
      <c r="R932" s="40">
        <v>0</v>
      </c>
    </row>
    <row r="933" spans="1:18" s="39" customFormat="1" ht="31.25" customHeight="1" x14ac:dyDescent="0.2">
      <c r="A933" s="39" t="s">
        <v>2873</v>
      </c>
      <c r="B933" s="39" t="s">
        <v>69</v>
      </c>
      <c r="C933" s="39" t="s">
        <v>171</v>
      </c>
      <c r="D933" s="39" t="s">
        <v>137</v>
      </c>
      <c r="E933" s="39" t="s">
        <v>133</v>
      </c>
      <c r="F933" s="39">
        <v>0</v>
      </c>
      <c r="G933" s="39" t="s">
        <v>125</v>
      </c>
      <c r="H933" s="39" t="s">
        <v>162</v>
      </c>
      <c r="J933" s="39" t="s">
        <v>295</v>
      </c>
      <c r="K933" s="39" t="s">
        <v>5557</v>
      </c>
      <c r="L933" s="39" t="s">
        <v>2874</v>
      </c>
      <c r="M933" s="160" t="s">
        <v>2738</v>
      </c>
      <c r="O933" s="39" t="s">
        <v>52</v>
      </c>
      <c r="P933" s="39" t="s">
        <v>65</v>
      </c>
      <c r="Q933" s="39">
        <v>0</v>
      </c>
      <c r="R933" s="40">
        <v>0</v>
      </c>
    </row>
    <row r="934" spans="1:18" s="39" customFormat="1" ht="31.25" customHeight="1" x14ac:dyDescent="0.2">
      <c r="A934" s="39" t="s">
        <v>2875</v>
      </c>
      <c r="B934" s="39" t="s">
        <v>69</v>
      </c>
      <c r="C934" s="39" t="s">
        <v>171</v>
      </c>
      <c r="D934" s="39" t="s">
        <v>137</v>
      </c>
      <c r="E934" s="39" t="s">
        <v>133</v>
      </c>
      <c r="F934" s="39">
        <v>0</v>
      </c>
      <c r="G934" s="39" t="s">
        <v>125</v>
      </c>
      <c r="H934" s="39" t="s">
        <v>162</v>
      </c>
      <c r="J934" s="39" t="s">
        <v>124</v>
      </c>
      <c r="K934" s="39" t="s">
        <v>5557</v>
      </c>
      <c r="L934" s="39" t="s">
        <v>2876</v>
      </c>
      <c r="M934" s="160" t="s">
        <v>2738</v>
      </c>
      <c r="O934" s="39" t="s">
        <v>52</v>
      </c>
      <c r="P934" s="39" t="s">
        <v>65</v>
      </c>
      <c r="Q934" s="39">
        <v>0</v>
      </c>
      <c r="R934" s="40">
        <v>0</v>
      </c>
    </row>
    <row r="935" spans="1:18" s="39" customFormat="1" ht="31.25" customHeight="1" x14ac:dyDescent="0.2">
      <c r="A935" s="39" t="s">
        <v>2877</v>
      </c>
      <c r="B935" s="39" t="s">
        <v>69</v>
      </c>
      <c r="C935" s="39" t="s">
        <v>171</v>
      </c>
      <c r="D935" s="39" t="s">
        <v>121</v>
      </c>
      <c r="E935" s="39" t="s">
        <v>199</v>
      </c>
      <c r="F935" s="39">
        <v>0</v>
      </c>
      <c r="G935" s="39" t="s">
        <v>152</v>
      </c>
      <c r="H935" s="39" t="s">
        <v>323</v>
      </c>
      <c r="J935" s="39" t="s">
        <v>124</v>
      </c>
      <c r="K935" s="39" t="s">
        <v>5557</v>
      </c>
      <c r="L935" s="39" t="s">
        <v>2878</v>
      </c>
      <c r="M935" s="160" t="s">
        <v>2738</v>
      </c>
      <c r="O935" s="39" t="s">
        <v>52</v>
      </c>
      <c r="P935" s="39" t="s">
        <v>65</v>
      </c>
      <c r="Q935" s="39">
        <v>0</v>
      </c>
      <c r="R935" s="40">
        <v>0</v>
      </c>
    </row>
    <row r="936" spans="1:18" s="39" customFormat="1" ht="31.25" customHeight="1" x14ac:dyDescent="0.2">
      <c r="A936" s="39" t="s">
        <v>2879</v>
      </c>
      <c r="B936" s="39" t="s">
        <v>69</v>
      </c>
      <c r="C936" s="39" t="s">
        <v>171</v>
      </c>
      <c r="D936" s="39" t="s">
        <v>121</v>
      </c>
      <c r="E936" s="39" t="s">
        <v>151</v>
      </c>
      <c r="F936" s="39">
        <v>0</v>
      </c>
      <c r="G936" s="39" t="s">
        <v>125</v>
      </c>
      <c r="H936" s="39" t="s">
        <v>162</v>
      </c>
      <c r="J936" s="39" t="s">
        <v>124</v>
      </c>
      <c r="K936" s="39" t="s">
        <v>5557</v>
      </c>
      <c r="L936" s="39" t="s">
        <v>2880</v>
      </c>
      <c r="M936" s="160" t="s">
        <v>2738</v>
      </c>
      <c r="O936" s="39" t="s">
        <v>52</v>
      </c>
      <c r="P936" s="39" t="s">
        <v>65</v>
      </c>
      <c r="Q936" s="40">
        <v>0</v>
      </c>
      <c r="R936" s="40">
        <v>0</v>
      </c>
    </row>
    <row r="937" spans="1:18" s="39" customFormat="1" ht="31.25" customHeight="1" x14ac:dyDescent="0.2">
      <c r="A937" s="75" t="s">
        <v>2881</v>
      </c>
      <c r="B937" s="75" t="s">
        <v>70</v>
      </c>
      <c r="C937" s="75" t="s">
        <v>280</v>
      </c>
      <c r="D937" s="75" t="s">
        <v>137</v>
      </c>
      <c r="E937" s="75" t="s">
        <v>133</v>
      </c>
      <c r="F937" s="75" t="s">
        <v>2882</v>
      </c>
      <c r="G937" s="75" t="s">
        <v>158</v>
      </c>
      <c r="H937" s="75"/>
      <c r="I937" s="75"/>
      <c r="J937" s="75"/>
      <c r="K937" s="75"/>
      <c r="L937" s="75" t="s">
        <v>2883</v>
      </c>
      <c r="M937" s="75" t="s">
        <v>2884</v>
      </c>
      <c r="N937" s="75"/>
      <c r="O937" s="75" t="s">
        <v>55</v>
      </c>
      <c r="P937" s="75" t="s">
        <v>2885</v>
      </c>
      <c r="Q937" s="100">
        <v>32000</v>
      </c>
      <c r="R937" s="40">
        <v>117.38514189810724</v>
      </c>
    </row>
    <row r="938" spans="1:18" s="39" customFormat="1" ht="31.25" customHeight="1" x14ac:dyDescent="0.2">
      <c r="A938" s="39" t="s">
        <v>2886</v>
      </c>
      <c r="B938" s="39" t="s">
        <v>70</v>
      </c>
      <c r="C938" s="39" t="s">
        <v>120</v>
      </c>
      <c r="D938" s="39" t="s">
        <v>137</v>
      </c>
      <c r="E938" s="39" t="s">
        <v>133</v>
      </c>
      <c r="F938" s="39" t="s">
        <v>2887</v>
      </c>
      <c r="G938" s="39" t="s">
        <v>323</v>
      </c>
      <c r="L938" s="39" t="s">
        <v>2888</v>
      </c>
      <c r="M938" s="39" t="s">
        <v>2889</v>
      </c>
      <c r="O938" s="39" t="s">
        <v>55</v>
      </c>
      <c r="P938" s="39" t="s">
        <v>2885</v>
      </c>
      <c r="Q938" s="40">
        <v>7000</v>
      </c>
      <c r="R938" s="40">
        <v>25.677999790210958</v>
      </c>
    </row>
    <row r="939" spans="1:18" s="39" customFormat="1" ht="31.25" customHeight="1" x14ac:dyDescent="0.2">
      <c r="A939" s="39" t="s">
        <v>2890</v>
      </c>
      <c r="B939" s="39" t="s">
        <v>70</v>
      </c>
      <c r="C939" s="39" t="s">
        <v>120</v>
      </c>
      <c r="D939" s="39" t="s">
        <v>121</v>
      </c>
      <c r="E939" s="39" t="s">
        <v>151</v>
      </c>
      <c r="F939" s="39" t="s">
        <v>2891</v>
      </c>
      <c r="G939" s="39" t="s">
        <v>125</v>
      </c>
      <c r="L939" s="39" t="s">
        <v>2892</v>
      </c>
      <c r="M939" s="39" t="s">
        <v>2884</v>
      </c>
      <c r="O939" s="39" t="s">
        <v>52</v>
      </c>
      <c r="P939" s="39" t="s">
        <v>2885</v>
      </c>
      <c r="Q939" s="40">
        <v>7300</v>
      </c>
      <c r="R939" s="40">
        <v>26.778485495505713</v>
      </c>
    </row>
    <row r="940" spans="1:18" s="39" customFormat="1" ht="31.25" customHeight="1" x14ac:dyDescent="0.2">
      <c r="A940" s="39" t="s">
        <v>2893</v>
      </c>
      <c r="B940" s="39" t="s">
        <v>70</v>
      </c>
      <c r="C940" s="39" t="s">
        <v>226</v>
      </c>
      <c r="D940" s="39" t="s">
        <v>137</v>
      </c>
      <c r="E940" s="39" t="s">
        <v>133</v>
      </c>
      <c r="F940" s="39" t="s">
        <v>2887</v>
      </c>
      <c r="G940" s="39" t="s">
        <v>158</v>
      </c>
      <c r="L940" s="39" t="s">
        <v>2894</v>
      </c>
      <c r="M940" s="39" t="s">
        <v>2884</v>
      </c>
      <c r="O940" s="39" t="s">
        <v>55</v>
      </c>
      <c r="P940" s="39" t="s">
        <v>2885</v>
      </c>
      <c r="Q940" s="40">
        <v>7000</v>
      </c>
      <c r="R940" s="40">
        <v>25.677999790210958</v>
      </c>
    </row>
    <row r="941" spans="1:18" s="39" customFormat="1" ht="31.25" customHeight="1" x14ac:dyDescent="0.2">
      <c r="A941" s="39" t="s">
        <v>2895</v>
      </c>
      <c r="B941" s="39" t="s">
        <v>70</v>
      </c>
      <c r="C941" s="39" t="s">
        <v>120</v>
      </c>
      <c r="D941" s="39" t="s">
        <v>160</v>
      </c>
      <c r="E941" s="39" t="s">
        <v>251</v>
      </c>
      <c r="F941" s="39" t="s">
        <v>2896</v>
      </c>
      <c r="G941" s="39" t="s">
        <v>125</v>
      </c>
      <c r="H941" s="39" t="s">
        <v>162</v>
      </c>
      <c r="L941" s="39" t="s">
        <v>2897</v>
      </c>
      <c r="M941" s="39" t="s">
        <v>2898</v>
      </c>
      <c r="O941" s="39" t="s">
        <v>53</v>
      </c>
      <c r="P941" s="39" t="s">
        <v>2885</v>
      </c>
      <c r="Q941" s="40">
        <v>140000</v>
      </c>
      <c r="R941" s="40">
        <v>513.55999580421917</v>
      </c>
    </row>
    <row r="942" spans="1:18" s="39" customFormat="1" ht="31.25" customHeight="1" x14ac:dyDescent="0.2">
      <c r="A942" s="39" t="s">
        <v>2899</v>
      </c>
      <c r="B942" s="39" t="s">
        <v>70</v>
      </c>
      <c r="C942" s="39" t="s">
        <v>120</v>
      </c>
      <c r="D942" s="39" t="s">
        <v>160</v>
      </c>
      <c r="E942" s="39" t="s">
        <v>251</v>
      </c>
      <c r="F942" s="39" t="s">
        <v>2900</v>
      </c>
      <c r="G942" s="39" t="s">
        <v>125</v>
      </c>
      <c r="H942" s="39" t="s">
        <v>162</v>
      </c>
      <c r="L942" s="39" t="s">
        <v>2901</v>
      </c>
      <c r="M942" s="39" t="s">
        <v>2898</v>
      </c>
      <c r="O942" s="39" t="s">
        <v>53</v>
      </c>
      <c r="P942" s="39" t="s">
        <v>2885</v>
      </c>
      <c r="Q942" s="40">
        <v>24000</v>
      </c>
      <c r="R942" s="40">
        <v>88.038856423580427</v>
      </c>
    </row>
    <row r="943" spans="1:18" s="39" customFormat="1" ht="31.25" customHeight="1" x14ac:dyDescent="0.2">
      <c r="A943" s="39" t="s">
        <v>2902</v>
      </c>
      <c r="B943" s="39" t="s">
        <v>70</v>
      </c>
      <c r="C943" s="39" t="s">
        <v>120</v>
      </c>
      <c r="D943" s="39" t="s">
        <v>160</v>
      </c>
      <c r="E943" s="39" t="s">
        <v>251</v>
      </c>
      <c r="F943" s="39" t="s">
        <v>2903</v>
      </c>
      <c r="G943" s="39" t="s">
        <v>125</v>
      </c>
      <c r="H943" s="39" t="s">
        <v>162</v>
      </c>
      <c r="L943" s="39" t="s">
        <v>2904</v>
      </c>
      <c r="M943" s="39" t="s">
        <v>2905</v>
      </c>
      <c r="O943" s="39" t="s">
        <v>55</v>
      </c>
      <c r="P943" s="39" t="s">
        <v>2885</v>
      </c>
      <c r="Q943" s="40">
        <v>82130</v>
      </c>
      <c r="R943" s="40">
        <v>301.27630325286083</v>
      </c>
    </row>
    <row r="944" spans="1:18" s="39" customFormat="1" ht="31.25" customHeight="1" x14ac:dyDescent="0.2">
      <c r="A944" s="39" t="s">
        <v>2906</v>
      </c>
      <c r="B944" s="39" t="s">
        <v>70</v>
      </c>
      <c r="C944" s="39" t="s">
        <v>177</v>
      </c>
      <c r="D944" s="39" t="s">
        <v>137</v>
      </c>
      <c r="E944" s="39" t="s">
        <v>251</v>
      </c>
      <c r="F944" s="39" t="s">
        <v>2907</v>
      </c>
      <c r="G944" s="39" t="s">
        <v>125</v>
      </c>
      <c r="H944" s="39" t="s">
        <v>162</v>
      </c>
      <c r="L944" s="39" t="s">
        <v>2908</v>
      </c>
      <c r="M944" s="39" t="s">
        <v>2909</v>
      </c>
      <c r="O944" s="39" t="s">
        <v>55</v>
      </c>
      <c r="P944" s="39" t="s">
        <v>2885</v>
      </c>
      <c r="Q944" s="40">
        <v>126721</v>
      </c>
      <c r="R944" s="40">
        <v>464.84883020218894</v>
      </c>
    </row>
    <row r="945" spans="1:18" s="39" customFormat="1" ht="31.25" customHeight="1" x14ac:dyDescent="0.2">
      <c r="A945" s="39" t="s">
        <v>2910</v>
      </c>
      <c r="B945" s="39" t="s">
        <v>70</v>
      </c>
      <c r="C945" s="39" t="s">
        <v>177</v>
      </c>
      <c r="D945" s="39" t="s">
        <v>121</v>
      </c>
      <c r="E945" s="39" t="s">
        <v>151</v>
      </c>
      <c r="F945" s="39" t="s">
        <v>2911</v>
      </c>
      <c r="G945" s="39" t="s">
        <v>125</v>
      </c>
      <c r="L945" s="39" t="s">
        <v>2912</v>
      </c>
      <c r="M945" s="39" t="s">
        <v>2913</v>
      </c>
      <c r="O945" s="39" t="s">
        <v>54</v>
      </c>
      <c r="P945" s="39" t="s">
        <v>2885</v>
      </c>
      <c r="Q945" s="40">
        <v>24600</v>
      </c>
      <c r="R945" s="40">
        <v>90.23982783416993</v>
      </c>
    </row>
    <row r="946" spans="1:18" s="39" customFormat="1" ht="31.25" customHeight="1" x14ac:dyDescent="0.2">
      <c r="A946" s="39" t="s">
        <v>2914</v>
      </c>
      <c r="B946" s="39" t="s">
        <v>70</v>
      </c>
      <c r="C946" s="39" t="s">
        <v>177</v>
      </c>
      <c r="D946" s="39" t="s">
        <v>160</v>
      </c>
      <c r="E946" s="39" t="s">
        <v>251</v>
      </c>
      <c r="F946" s="39" t="s">
        <v>2915</v>
      </c>
      <c r="G946" s="39" t="s">
        <v>125</v>
      </c>
      <c r="L946" s="39" t="s">
        <v>2916</v>
      </c>
      <c r="M946" s="39" t="s">
        <v>2917</v>
      </c>
      <c r="O946" s="39" t="s">
        <v>53</v>
      </c>
      <c r="P946" s="39" t="s">
        <v>2885</v>
      </c>
      <c r="Q946" s="40">
        <v>22000</v>
      </c>
      <c r="R946" s="40">
        <v>80.702285054948717</v>
      </c>
    </row>
    <row r="947" spans="1:18" s="39" customFormat="1" ht="31.25" customHeight="1" x14ac:dyDescent="0.2">
      <c r="A947" s="39" t="s">
        <v>2918</v>
      </c>
      <c r="B947" s="39" t="s">
        <v>70</v>
      </c>
      <c r="C947" s="39" t="s">
        <v>177</v>
      </c>
      <c r="D947" s="39" t="s">
        <v>137</v>
      </c>
      <c r="E947" s="39" t="s">
        <v>251</v>
      </c>
      <c r="F947" s="39" t="s">
        <v>2919</v>
      </c>
      <c r="G947" s="39" t="s">
        <v>152</v>
      </c>
      <c r="H947" s="39" t="s">
        <v>2920</v>
      </c>
      <c r="L947" s="39" t="s">
        <v>2921</v>
      </c>
      <c r="M947" s="39" t="s">
        <v>2922</v>
      </c>
      <c r="O947" s="39" t="s">
        <v>52</v>
      </c>
      <c r="P947" s="39" t="s">
        <v>2885</v>
      </c>
      <c r="Q947" s="40">
        <v>46460</v>
      </c>
      <c r="R947" s="40">
        <v>170.42855289331445</v>
      </c>
    </row>
    <row r="948" spans="1:18" s="39" customFormat="1" ht="31.25" customHeight="1" x14ac:dyDescent="0.2">
      <c r="A948" s="39" t="s">
        <v>2923</v>
      </c>
      <c r="B948" s="39" t="s">
        <v>70</v>
      </c>
      <c r="C948" s="39" t="s">
        <v>120</v>
      </c>
      <c r="D948" s="39" t="s">
        <v>121</v>
      </c>
      <c r="E948" s="39" t="s">
        <v>151</v>
      </c>
      <c r="F948" s="39" t="s">
        <v>2924</v>
      </c>
      <c r="G948" s="39" t="s">
        <v>125</v>
      </c>
      <c r="H948" s="39" t="s">
        <v>162</v>
      </c>
      <c r="L948" s="39" t="s">
        <v>2925</v>
      </c>
      <c r="M948" s="39" t="s">
        <v>2926</v>
      </c>
      <c r="O948" s="39" t="s">
        <v>52</v>
      </c>
      <c r="P948" s="39" t="s">
        <v>2885</v>
      </c>
      <c r="Q948" s="40">
        <v>15100</v>
      </c>
      <c r="R948" s="40">
        <v>55.391113833169349</v>
      </c>
    </row>
    <row r="949" spans="1:18" s="39" customFormat="1" ht="31.25" customHeight="1" x14ac:dyDescent="0.2">
      <c r="A949" s="39" t="s">
        <v>2927</v>
      </c>
      <c r="B949" s="39" t="s">
        <v>70</v>
      </c>
      <c r="C949" s="39" t="s">
        <v>177</v>
      </c>
      <c r="D949" s="39" t="s">
        <v>137</v>
      </c>
      <c r="E949" s="39" t="s">
        <v>251</v>
      </c>
      <c r="F949" s="39" t="s">
        <v>2928</v>
      </c>
      <c r="G949" s="39" t="s">
        <v>125</v>
      </c>
      <c r="H949" s="39" t="s">
        <v>162</v>
      </c>
      <c r="L949" s="39" t="s">
        <v>2929</v>
      </c>
      <c r="M949" s="39" t="s">
        <v>2930</v>
      </c>
      <c r="O949" s="39" t="s">
        <v>52</v>
      </c>
      <c r="P949" s="39" t="s">
        <v>2885</v>
      </c>
      <c r="Q949" s="40">
        <v>31045</v>
      </c>
      <c r="R949" s="40">
        <v>113.8819290695856</v>
      </c>
    </row>
    <row r="950" spans="1:18" s="39" customFormat="1" ht="31.25" customHeight="1" x14ac:dyDescent="0.2">
      <c r="A950" s="39" t="s">
        <v>2931</v>
      </c>
      <c r="B950" s="39" t="s">
        <v>70</v>
      </c>
      <c r="C950" s="39" t="s">
        <v>177</v>
      </c>
      <c r="D950" s="39" t="s">
        <v>137</v>
      </c>
      <c r="E950" s="39" t="s">
        <v>251</v>
      </c>
      <c r="F950" s="39" t="s">
        <v>2932</v>
      </c>
      <c r="G950" s="39" t="s">
        <v>125</v>
      </c>
      <c r="H950" s="39" t="s">
        <v>162</v>
      </c>
      <c r="L950" s="39" t="s">
        <v>2933</v>
      </c>
      <c r="M950" s="39" t="s">
        <v>2934</v>
      </c>
      <c r="O950" s="39" t="s">
        <v>52</v>
      </c>
      <c r="P950" s="39" t="s">
        <v>2885</v>
      </c>
      <c r="Q950" s="161">
        <v>231300</v>
      </c>
      <c r="R950" s="40">
        <v>848.47447878225637</v>
      </c>
    </row>
    <row r="951" spans="1:18" s="39" customFormat="1" ht="31.25" customHeight="1" x14ac:dyDescent="0.2">
      <c r="A951" s="39" t="s">
        <v>2935</v>
      </c>
      <c r="B951" s="39" t="s">
        <v>70</v>
      </c>
      <c r="C951" s="39" t="s">
        <v>177</v>
      </c>
      <c r="D951" s="39" t="s">
        <v>137</v>
      </c>
      <c r="E951" s="39" t="s">
        <v>251</v>
      </c>
      <c r="F951" s="39" t="s">
        <v>2936</v>
      </c>
      <c r="G951" s="39" t="s">
        <v>125</v>
      </c>
      <c r="H951" s="39" t="s">
        <v>162</v>
      </c>
      <c r="L951" s="39" t="s">
        <v>2937</v>
      </c>
      <c r="M951" s="39" t="s">
        <v>2938</v>
      </c>
      <c r="O951" s="39" t="s">
        <v>52</v>
      </c>
      <c r="P951" s="39" t="s">
        <v>2885</v>
      </c>
      <c r="Q951" s="40">
        <v>4900</v>
      </c>
      <c r="R951" s="40">
        <v>17.974599853147669</v>
      </c>
    </row>
    <row r="952" spans="1:18" s="39" customFormat="1" ht="31.25" customHeight="1" x14ac:dyDescent="0.2">
      <c r="A952" s="39" t="s">
        <v>2939</v>
      </c>
      <c r="B952" s="39" t="s">
        <v>70</v>
      </c>
      <c r="C952" s="39" t="s">
        <v>120</v>
      </c>
      <c r="D952" s="39" t="s">
        <v>160</v>
      </c>
      <c r="E952" s="39" t="s">
        <v>133</v>
      </c>
      <c r="F952" s="39" t="s">
        <v>2940</v>
      </c>
      <c r="G952" s="39" t="s">
        <v>153</v>
      </c>
      <c r="L952" s="39" t="s">
        <v>2941</v>
      </c>
      <c r="M952" s="39" t="s">
        <v>2942</v>
      </c>
      <c r="O952" s="39" t="s">
        <v>52</v>
      </c>
      <c r="P952" s="39" t="s">
        <v>2885</v>
      </c>
      <c r="Q952" s="40">
        <v>43632</v>
      </c>
      <c r="R952" s="40">
        <v>160.05464097806922</v>
      </c>
    </row>
    <row r="953" spans="1:18" s="39" customFormat="1" ht="31.25" customHeight="1" x14ac:dyDescent="0.2">
      <c r="A953" s="39" t="s">
        <v>2943</v>
      </c>
      <c r="B953" s="39" t="s">
        <v>70</v>
      </c>
      <c r="C953" s="39" t="s">
        <v>120</v>
      </c>
      <c r="D953" s="39" t="s">
        <v>121</v>
      </c>
      <c r="E953" s="39" t="s">
        <v>133</v>
      </c>
      <c r="F953" s="39" t="s">
        <v>2944</v>
      </c>
      <c r="G953" s="39" t="s">
        <v>125</v>
      </c>
      <c r="L953" s="162" t="s">
        <v>2945</v>
      </c>
      <c r="M953" s="39" t="s">
        <v>2946</v>
      </c>
      <c r="O953" s="39" t="s">
        <v>55</v>
      </c>
      <c r="P953" s="39" t="s">
        <v>2885</v>
      </c>
      <c r="Q953" s="40">
        <v>136000</v>
      </c>
      <c r="R953" s="40">
        <v>498.88685306695572</v>
      </c>
    </row>
    <row r="954" spans="1:18" s="39" customFormat="1" ht="31.25" customHeight="1" x14ac:dyDescent="0.2">
      <c r="A954" s="39" t="s">
        <v>2947</v>
      </c>
      <c r="B954" s="39" t="s">
        <v>70</v>
      </c>
      <c r="C954" s="39" t="s">
        <v>132</v>
      </c>
      <c r="D954" s="39" t="s">
        <v>137</v>
      </c>
      <c r="E954" s="39" t="s">
        <v>251</v>
      </c>
      <c r="F954" s="39" t="s">
        <v>2948</v>
      </c>
      <c r="G954" s="39" t="s">
        <v>125</v>
      </c>
      <c r="H954" s="39" t="s">
        <v>162</v>
      </c>
      <c r="L954" s="162" t="s">
        <v>2949</v>
      </c>
      <c r="M954" s="39" t="s">
        <v>2950</v>
      </c>
      <c r="O954" s="39" t="s">
        <v>52</v>
      </c>
      <c r="P954" s="39" t="s">
        <v>2885</v>
      </c>
      <c r="Q954" s="40">
        <v>5000</v>
      </c>
      <c r="R954" s="40">
        <v>18.341428421579256</v>
      </c>
    </row>
    <row r="955" spans="1:18" s="39" customFormat="1" ht="31.25" customHeight="1" x14ac:dyDescent="0.2">
      <c r="A955" s="39" t="s">
        <v>2951</v>
      </c>
      <c r="B955" s="39" t="s">
        <v>70</v>
      </c>
      <c r="C955" s="39" t="s">
        <v>171</v>
      </c>
      <c r="D955" s="55" t="s">
        <v>121</v>
      </c>
      <c r="E955" s="39" t="s">
        <v>251</v>
      </c>
      <c r="F955" s="39" t="s">
        <v>1623</v>
      </c>
      <c r="G955" s="39" t="s">
        <v>125</v>
      </c>
      <c r="H955" s="39" t="s">
        <v>162</v>
      </c>
      <c r="L955" s="39" t="s">
        <v>2952</v>
      </c>
      <c r="M955" s="39" t="s">
        <v>2953</v>
      </c>
      <c r="O955" s="39" t="s">
        <v>54</v>
      </c>
      <c r="Q955" s="40">
        <v>0</v>
      </c>
      <c r="R955" s="40" t="s">
        <v>1604</v>
      </c>
    </row>
    <row r="956" spans="1:18" s="39" customFormat="1" ht="31.25" customHeight="1" x14ac:dyDescent="0.2">
      <c r="A956" s="39" t="s">
        <v>2954</v>
      </c>
      <c r="B956" s="39" t="s">
        <v>70</v>
      </c>
      <c r="C956" s="39" t="s">
        <v>177</v>
      </c>
      <c r="D956" s="39" t="s">
        <v>137</v>
      </c>
      <c r="E956" s="39" t="s">
        <v>199</v>
      </c>
      <c r="F956" s="39" t="s">
        <v>2955</v>
      </c>
      <c r="G956" s="39" t="s">
        <v>152</v>
      </c>
      <c r="L956" s="39" t="s">
        <v>2956</v>
      </c>
      <c r="M956" s="39" t="s">
        <v>2957</v>
      </c>
      <c r="N956" s="39" t="s">
        <v>2958</v>
      </c>
      <c r="O956" s="39" t="s">
        <v>52</v>
      </c>
      <c r="P956" s="39" t="s">
        <v>2885</v>
      </c>
      <c r="Q956" s="40">
        <v>13000</v>
      </c>
      <c r="R956" s="40">
        <v>47.687713896106061</v>
      </c>
    </row>
    <row r="957" spans="1:18" s="39" customFormat="1" ht="31.25" customHeight="1" x14ac:dyDescent="0.2">
      <c r="A957" s="39" t="s">
        <v>2959</v>
      </c>
      <c r="B957" s="39" t="s">
        <v>70</v>
      </c>
      <c r="C957" s="39" t="s">
        <v>132</v>
      </c>
      <c r="D957" s="55" t="s">
        <v>121</v>
      </c>
      <c r="E957" s="39" t="s">
        <v>251</v>
      </c>
      <c r="F957" s="39" t="s">
        <v>2960</v>
      </c>
      <c r="G957" s="39" t="s">
        <v>125</v>
      </c>
      <c r="H957" s="39" t="s">
        <v>162</v>
      </c>
      <c r="L957" s="39" t="s">
        <v>2961</v>
      </c>
      <c r="M957" s="76" t="s">
        <v>2962</v>
      </c>
      <c r="O957" s="39" t="s">
        <v>52</v>
      </c>
      <c r="P957" s="39" t="s">
        <v>2885</v>
      </c>
      <c r="Q957" s="40">
        <v>36000</v>
      </c>
      <c r="R957" s="40">
        <v>132.05828463537063</v>
      </c>
    </row>
    <row r="958" spans="1:18" s="39" customFormat="1" ht="31.25" customHeight="1" x14ac:dyDescent="0.2">
      <c r="A958" s="39" t="s">
        <v>2963</v>
      </c>
      <c r="B958" s="39" t="s">
        <v>70</v>
      </c>
      <c r="C958" s="39" t="s">
        <v>171</v>
      </c>
      <c r="D958" s="55" t="s">
        <v>121</v>
      </c>
      <c r="E958" s="39" t="s">
        <v>172</v>
      </c>
      <c r="G958" s="39" t="s">
        <v>125</v>
      </c>
      <c r="L958" s="54" t="s">
        <v>2964</v>
      </c>
      <c r="M958" s="156" t="s">
        <v>2965</v>
      </c>
      <c r="O958" s="39" t="s">
        <v>55</v>
      </c>
      <c r="Q958" s="40"/>
      <c r="R958" s="40" t="s">
        <v>1604</v>
      </c>
    </row>
    <row r="959" spans="1:18" s="39" customFormat="1" ht="31.25" customHeight="1" x14ac:dyDescent="0.2">
      <c r="A959" s="39" t="s">
        <v>2966</v>
      </c>
      <c r="B959" s="39" t="s">
        <v>70</v>
      </c>
      <c r="C959" s="39" t="s">
        <v>171</v>
      </c>
      <c r="D959" s="55" t="s">
        <v>121</v>
      </c>
      <c r="E959" s="39" t="s">
        <v>133</v>
      </c>
      <c r="G959" s="39" t="s">
        <v>152</v>
      </c>
      <c r="L959" s="54" t="s">
        <v>2967</v>
      </c>
      <c r="M959" s="62"/>
      <c r="O959" s="39" t="s">
        <v>52</v>
      </c>
      <c r="Q959" s="40"/>
      <c r="R959" s="40" t="s">
        <v>1604</v>
      </c>
    </row>
    <row r="960" spans="1:18" s="39" customFormat="1" ht="31.25" customHeight="1" x14ac:dyDescent="0.2">
      <c r="A960" s="39" t="s">
        <v>2968</v>
      </c>
      <c r="B960" s="39" t="s">
        <v>70</v>
      </c>
      <c r="C960" s="39" t="s">
        <v>171</v>
      </c>
      <c r="D960" s="55" t="s">
        <v>121</v>
      </c>
      <c r="E960" s="39" t="s">
        <v>172</v>
      </c>
      <c r="G960" s="39" t="s">
        <v>158</v>
      </c>
      <c r="H960" s="39" t="s">
        <v>134</v>
      </c>
      <c r="L960" s="109" t="s">
        <v>2969</v>
      </c>
      <c r="M960" s="112"/>
      <c r="O960" s="39" t="s">
        <v>55</v>
      </c>
      <c r="Q960" s="40"/>
      <c r="R960" s="40" t="s">
        <v>1604</v>
      </c>
    </row>
    <row r="961" spans="1:18" s="39" customFormat="1" ht="31.25" customHeight="1" x14ac:dyDescent="0.2">
      <c r="A961" s="39" t="s">
        <v>2970</v>
      </c>
      <c r="B961" s="39" t="s">
        <v>70</v>
      </c>
      <c r="C961" s="39" t="s">
        <v>171</v>
      </c>
      <c r="D961" s="55" t="s">
        <v>121</v>
      </c>
      <c r="E961" s="39" t="s">
        <v>172</v>
      </c>
      <c r="G961" s="39" t="s">
        <v>153</v>
      </c>
      <c r="L961" s="109" t="s">
        <v>2971</v>
      </c>
      <c r="M961" s="112"/>
      <c r="O961" s="39" t="s">
        <v>55</v>
      </c>
      <c r="Q961" s="40"/>
      <c r="R961" s="40" t="s">
        <v>1604</v>
      </c>
    </row>
    <row r="962" spans="1:18" s="39" customFormat="1" ht="31.25" customHeight="1" x14ac:dyDescent="0.2">
      <c r="A962" s="39" t="s">
        <v>2972</v>
      </c>
      <c r="B962" s="39" t="s">
        <v>70</v>
      </c>
      <c r="C962" s="39" t="s">
        <v>171</v>
      </c>
      <c r="D962" s="55" t="s">
        <v>121</v>
      </c>
      <c r="E962" s="39" t="s">
        <v>172</v>
      </c>
      <c r="G962" s="39" t="s">
        <v>158</v>
      </c>
      <c r="L962" s="109" t="s">
        <v>2973</v>
      </c>
      <c r="M962" s="112"/>
      <c r="O962" s="39" t="s">
        <v>55</v>
      </c>
      <c r="Q962" s="40"/>
      <c r="R962" s="40" t="s">
        <v>1604</v>
      </c>
    </row>
    <row r="963" spans="1:18" s="39" customFormat="1" ht="31.25" customHeight="1" x14ac:dyDescent="0.2">
      <c r="A963" s="39" t="s">
        <v>2974</v>
      </c>
      <c r="B963" s="39" t="s">
        <v>70</v>
      </c>
      <c r="C963" s="39" t="s">
        <v>171</v>
      </c>
      <c r="D963" s="39" t="s">
        <v>121</v>
      </c>
      <c r="E963" s="39" t="s">
        <v>133</v>
      </c>
      <c r="G963" s="39" t="s">
        <v>208</v>
      </c>
      <c r="L963" s="109" t="s">
        <v>2975</v>
      </c>
      <c r="M963" s="112"/>
      <c r="O963" s="39" t="s">
        <v>55</v>
      </c>
      <c r="Q963" s="40"/>
      <c r="R963" s="40" t="s">
        <v>1604</v>
      </c>
    </row>
    <row r="964" spans="1:18" s="39" customFormat="1" ht="31.25" customHeight="1" x14ac:dyDescent="0.2">
      <c r="A964" s="39" t="s">
        <v>2976</v>
      </c>
      <c r="B964" s="39" t="s">
        <v>70</v>
      </c>
      <c r="C964" s="39" t="s">
        <v>120</v>
      </c>
      <c r="D964" s="39" t="s">
        <v>137</v>
      </c>
      <c r="E964" s="39" t="s">
        <v>133</v>
      </c>
      <c r="F964" s="39" t="s">
        <v>2977</v>
      </c>
      <c r="G964" s="39" t="s">
        <v>158</v>
      </c>
      <c r="L964" s="54" t="s">
        <v>2978</v>
      </c>
      <c r="M964" s="76" t="s">
        <v>2979</v>
      </c>
      <c r="O964" s="39" t="s">
        <v>55</v>
      </c>
      <c r="P964" s="163" t="s">
        <v>2885</v>
      </c>
      <c r="Q964" s="40">
        <v>33300</v>
      </c>
      <c r="R964" s="40">
        <v>122.15391328771784</v>
      </c>
    </row>
    <row r="965" spans="1:18" s="39" customFormat="1" ht="31.25" customHeight="1" x14ac:dyDescent="0.2">
      <c r="A965" s="39" t="s">
        <v>2980</v>
      </c>
      <c r="B965" s="39" t="s">
        <v>70</v>
      </c>
      <c r="C965" s="39" t="s">
        <v>120</v>
      </c>
      <c r="D965" s="39" t="s">
        <v>137</v>
      </c>
      <c r="E965" s="39" t="s">
        <v>133</v>
      </c>
      <c r="F965" s="39" t="s">
        <v>2981</v>
      </c>
      <c r="G965" s="39" t="s">
        <v>158</v>
      </c>
      <c r="L965" s="109" t="s">
        <v>2982</v>
      </c>
      <c r="M965" s="110" t="s">
        <v>2983</v>
      </c>
      <c r="O965" s="39" t="s">
        <v>55</v>
      </c>
      <c r="P965" s="163" t="s">
        <v>2885</v>
      </c>
      <c r="Q965" s="40">
        <v>18800</v>
      </c>
      <c r="R965" s="40">
        <v>68.963770865138002</v>
      </c>
    </row>
    <row r="966" spans="1:18" s="39" customFormat="1" ht="31.25" customHeight="1" x14ac:dyDescent="0.2">
      <c r="A966" s="39" t="s">
        <v>2984</v>
      </c>
      <c r="B966" s="39" t="s">
        <v>70</v>
      </c>
      <c r="C966" s="39" t="s">
        <v>120</v>
      </c>
      <c r="D966" s="39" t="s">
        <v>137</v>
      </c>
      <c r="E966" s="39" t="s">
        <v>133</v>
      </c>
      <c r="F966" s="39" t="s">
        <v>2887</v>
      </c>
      <c r="G966" s="39" t="s">
        <v>158</v>
      </c>
      <c r="L966" s="109" t="s">
        <v>2985</v>
      </c>
      <c r="M966" s="110" t="s">
        <v>2986</v>
      </c>
      <c r="O966" s="39" t="s">
        <v>55</v>
      </c>
      <c r="P966" s="163" t="s">
        <v>2885</v>
      </c>
      <c r="Q966" s="40">
        <v>7000</v>
      </c>
      <c r="R966" s="40">
        <v>25.677999790210958</v>
      </c>
    </row>
    <row r="967" spans="1:18" s="39" customFormat="1" ht="31.25" customHeight="1" x14ac:dyDescent="0.2">
      <c r="A967" s="50" t="s">
        <v>2987</v>
      </c>
      <c r="B967" s="50" t="s">
        <v>70</v>
      </c>
      <c r="C967" s="50" t="s">
        <v>120</v>
      </c>
      <c r="D967" s="50" t="s">
        <v>137</v>
      </c>
      <c r="E967" s="50" t="s">
        <v>133</v>
      </c>
      <c r="F967" s="50" t="s">
        <v>2988</v>
      </c>
      <c r="G967" s="50" t="s">
        <v>158</v>
      </c>
      <c r="H967" s="50"/>
      <c r="I967" s="50"/>
      <c r="J967" s="50"/>
      <c r="K967" s="50"/>
      <c r="L967" s="113" t="s">
        <v>2989</v>
      </c>
      <c r="M967" s="116" t="s">
        <v>2990</v>
      </c>
      <c r="N967" s="50"/>
      <c r="O967" s="50" t="s">
        <v>55</v>
      </c>
      <c r="P967" s="164" t="s">
        <v>2885</v>
      </c>
      <c r="Q967" s="97">
        <v>3000</v>
      </c>
      <c r="R967" s="40">
        <v>11.004857052947553</v>
      </c>
    </row>
    <row r="968" spans="1:18" s="39" customFormat="1" ht="31.25" customHeight="1" x14ac:dyDescent="0.2">
      <c r="A968" s="39" t="s">
        <v>2991</v>
      </c>
      <c r="B968" s="39" t="s">
        <v>70</v>
      </c>
      <c r="C968" s="39" t="s">
        <v>177</v>
      </c>
      <c r="D968" s="39" t="s">
        <v>137</v>
      </c>
      <c r="E968" s="39" t="s">
        <v>133</v>
      </c>
      <c r="F968" s="39" t="s">
        <v>2992</v>
      </c>
      <c r="G968" s="39" t="s">
        <v>153</v>
      </c>
      <c r="L968" s="39" t="s">
        <v>2993</v>
      </c>
      <c r="M968" s="39" t="s">
        <v>2994</v>
      </c>
      <c r="O968" s="39" t="s">
        <v>52</v>
      </c>
      <c r="P968" s="163" t="s">
        <v>2885</v>
      </c>
      <c r="Q968" s="40">
        <v>76.8</v>
      </c>
      <c r="R968" s="40">
        <v>0.28172434055545736</v>
      </c>
    </row>
    <row r="969" spans="1:18" s="39" customFormat="1" ht="31.25" customHeight="1" x14ac:dyDescent="0.2">
      <c r="A969" s="39" t="s">
        <v>2995</v>
      </c>
      <c r="B969" s="39" t="s">
        <v>70</v>
      </c>
      <c r="C969" s="39" t="s">
        <v>120</v>
      </c>
      <c r="D969" s="39" t="s">
        <v>160</v>
      </c>
      <c r="E969" s="39" t="s">
        <v>133</v>
      </c>
      <c r="F969" s="39" t="s">
        <v>2996</v>
      </c>
      <c r="G969" s="39" t="s">
        <v>153</v>
      </c>
      <c r="L969" s="39" t="s">
        <v>2997</v>
      </c>
      <c r="M969" s="39" t="s">
        <v>2994</v>
      </c>
      <c r="O969" s="39" t="s">
        <v>52</v>
      </c>
      <c r="P969" s="163" t="s">
        <v>2885</v>
      </c>
      <c r="Q969" s="40">
        <v>52601</v>
      </c>
      <c r="R969" s="40">
        <v>192.95549528069807</v>
      </c>
    </row>
    <row r="970" spans="1:18" s="39" customFormat="1" ht="31.25" customHeight="1" x14ac:dyDescent="0.2">
      <c r="A970" s="39" t="s">
        <v>2998</v>
      </c>
      <c r="B970" s="39" t="s">
        <v>70</v>
      </c>
      <c r="C970" s="39" t="s">
        <v>120</v>
      </c>
      <c r="D970" s="39" t="s">
        <v>160</v>
      </c>
      <c r="E970" s="39" t="s">
        <v>133</v>
      </c>
      <c r="F970" s="39" t="s">
        <v>2999</v>
      </c>
      <c r="G970" s="39" t="s">
        <v>153</v>
      </c>
      <c r="L970" s="39" t="s">
        <v>3000</v>
      </c>
      <c r="M970" s="39" t="s">
        <v>2994</v>
      </c>
      <c r="O970" s="39" t="s">
        <v>52</v>
      </c>
      <c r="P970" s="163" t="s">
        <v>2885</v>
      </c>
      <c r="Q970" s="40">
        <v>260</v>
      </c>
      <c r="R970" s="40">
        <v>0.9537542779221212</v>
      </c>
    </row>
    <row r="971" spans="1:18" s="39" customFormat="1" ht="31.25" customHeight="1" x14ac:dyDescent="0.2">
      <c r="A971" s="39" t="s">
        <v>3001</v>
      </c>
      <c r="B971" s="39" t="s">
        <v>70</v>
      </c>
      <c r="C971" s="39" t="s">
        <v>120</v>
      </c>
      <c r="D971" s="39" t="s">
        <v>160</v>
      </c>
      <c r="E971" s="39" t="s">
        <v>133</v>
      </c>
      <c r="F971" s="39" t="s">
        <v>3002</v>
      </c>
      <c r="G971" s="39" t="s">
        <v>153</v>
      </c>
      <c r="H971" s="39" t="s">
        <v>134</v>
      </c>
      <c r="L971" s="39" t="s">
        <v>3003</v>
      </c>
      <c r="M971" s="39" t="s">
        <v>2994</v>
      </c>
      <c r="O971" s="39" t="s">
        <v>52</v>
      </c>
      <c r="P971" s="163" t="s">
        <v>2885</v>
      </c>
      <c r="Q971" s="40">
        <v>2764.8</v>
      </c>
      <c r="R971" s="40">
        <v>10.142076259996465</v>
      </c>
    </row>
    <row r="972" spans="1:18" s="39" customFormat="1" ht="31.25" customHeight="1" x14ac:dyDescent="0.2">
      <c r="A972" s="39" t="s">
        <v>3004</v>
      </c>
      <c r="B972" s="39" t="s">
        <v>70</v>
      </c>
      <c r="C972" s="39" t="s">
        <v>120</v>
      </c>
      <c r="D972" s="39" t="s">
        <v>160</v>
      </c>
      <c r="E972" s="39" t="s">
        <v>251</v>
      </c>
      <c r="F972" s="39" t="s">
        <v>3005</v>
      </c>
      <c r="G972" s="39" t="s">
        <v>125</v>
      </c>
      <c r="H972" s="39" t="s">
        <v>162</v>
      </c>
      <c r="L972" s="39" t="s">
        <v>3006</v>
      </c>
      <c r="M972" s="39" t="s">
        <v>2994</v>
      </c>
      <c r="O972" s="39" t="s">
        <v>52</v>
      </c>
      <c r="P972" s="163" t="s">
        <v>2885</v>
      </c>
      <c r="Q972" s="40">
        <v>253000</v>
      </c>
      <c r="R972" s="40">
        <v>928.07627813191027</v>
      </c>
    </row>
    <row r="973" spans="1:18" s="39" customFormat="1" ht="31.25" customHeight="1" x14ac:dyDescent="0.2">
      <c r="A973" s="39" t="s">
        <v>3007</v>
      </c>
      <c r="B973" s="39" t="s">
        <v>70</v>
      </c>
      <c r="C973" s="39" t="s">
        <v>120</v>
      </c>
      <c r="D973" s="39" t="s">
        <v>160</v>
      </c>
      <c r="E973" s="39" t="s">
        <v>251</v>
      </c>
      <c r="F973" s="39" t="s">
        <v>3008</v>
      </c>
      <c r="G973" s="39" t="s">
        <v>125</v>
      </c>
      <c r="H973" s="39" t="s">
        <v>162</v>
      </c>
      <c r="L973" s="39" t="s">
        <v>3009</v>
      </c>
      <c r="M973" s="39" t="s">
        <v>2994</v>
      </c>
      <c r="O973" s="39" t="s">
        <v>52</v>
      </c>
      <c r="P973" s="163" t="s">
        <v>2885</v>
      </c>
      <c r="Q973" s="40">
        <v>232000</v>
      </c>
      <c r="R973" s="40">
        <v>851.04227876127743</v>
      </c>
    </row>
    <row r="974" spans="1:18" s="39" customFormat="1" ht="31.25" customHeight="1" x14ac:dyDescent="0.2">
      <c r="A974" s="39" t="s">
        <v>3010</v>
      </c>
      <c r="B974" s="39" t="s">
        <v>70</v>
      </c>
      <c r="C974" s="39" t="s">
        <v>120</v>
      </c>
      <c r="D974" s="39" t="s">
        <v>160</v>
      </c>
      <c r="E974" s="39" t="s">
        <v>251</v>
      </c>
      <c r="F974" s="39" t="s">
        <v>3011</v>
      </c>
      <c r="G974" s="39" t="s">
        <v>125</v>
      </c>
      <c r="H974" s="39" t="s">
        <v>162</v>
      </c>
      <c r="L974" s="39" t="s">
        <v>3012</v>
      </c>
      <c r="M974" s="39" t="s">
        <v>2994</v>
      </c>
      <c r="O974" s="39" t="s">
        <v>52</v>
      </c>
      <c r="P974" s="163" t="s">
        <v>2885</v>
      </c>
      <c r="Q974" s="40">
        <v>20100</v>
      </c>
      <c r="R974" s="40">
        <v>73.732542254748608</v>
      </c>
    </row>
    <row r="975" spans="1:18" s="39" customFormat="1" ht="31.25" customHeight="1" x14ac:dyDescent="0.2">
      <c r="A975" s="39" t="s">
        <v>3013</v>
      </c>
      <c r="B975" s="39" t="s">
        <v>70</v>
      </c>
      <c r="C975" s="39" t="s">
        <v>120</v>
      </c>
      <c r="D975" s="39" t="s">
        <v>160</v>
      </c>
      <c r="E975" s="39" t="s">
        <v>251</v>
      </c>
      <c r="F975" s="39" t="s">
        <v>3014</v>
      </c>
      <c r="G975" s="39" t="s">
        <v>125</v>
      </c>
      <c r="H975" s="39" t="s">
        <v>162</v>
      </c>
      <c r="L975" s="39" t="s">
        <v>3015</v>
      </c>
      <c r="M975" s="39" t="s">
        <v>2994</v>
      </c>
      <c r="O975" s="39" t="s">
        <v>52</v>
      </c>
      <c r="P975" s="163" t="s">
        <v>2885</v>
      </c>
      <c r="Q975" s="40">
        <v>52700</v>
      </c>
      <c r="R975" s="40">
        <v>193.31865556344533</v>
      </c>
    </row>
    <row r="976" spans="1:18" s="39" customFormat="1" ht="31.25" customHeight="1" x14ac:dyDescent="0.2">
      <c r="A976" s="39" t="s">
        <v>3016</v>
      </c>
      <c r="B976" s="39" t="s">
        <v>70</v>
      </c>
      <c r="C976" s="39" t="s">
        <v>120</v>
      </c>
      <c r="D976" s="39" t="s">
        <v>160</v>
      </c>
      <c r="E976" s="39" t="s">
        <v>251</v>
      </c>
      <c r="F976" s="39" t="s">
        <v>3017</v>
      </c>
      <c r="G976" s="39" t="s">
        <v>125</v>
      </c>
      <c r="H976" s="39" t="s">
        <v>162</v>
      </c>
      <c r="L976" s="39" t="s">
        <v>3018</v>
      </c>
      <c r="M976" s="39" t="s">
        <v>2994</v>
      </c>
      <c r="O976" s="39" t="s">
        <v>52</v>
      </c>
      <c r="P976" s="163" t="s">
        <v>2885</v>
      </c>
      <c r="Q976" s="40">
        <v>43000</v>
      </c>
      <c r="R976" s="40">
        <v>157.7362844255816</v>
      </c>
    </row>
    <row r="977" spans="1:18" s="39" customFormat="1" ht="31.25" customHeight="1" x14ac:dyDescent="0.2">
      <c r="A977" s="39" t="s">
        <v>3019</v>
      </c>
      <c r="B977" s="39" t="s">
        <v>70</v>
      </c>
      <c r="C977" s="39" t="s">
        <v>177</v>
      </c>
      <c r="D977" s="39" t="s">
        <v>160</v>
      </c>
      <c r="E977" s="39" t="s">
        <v>251</v>
      </c>
      <c r="F977" s="39" t="s">
        <v>3020</v>
      </c>
      <c r="G977" s="39" t="s">
        <v>125</v>
      </c>
      <c r="H977" s="39" t="s">
        <v>162</v>
      </c>
      <c r="L977" s="39" t="s">
        <v>3021</v>
      </c>
      <c r="M977" s="39" t="s">
        <v>2994</v>
      </c>
      <c r="O977" s="39" t="s">
        <v>52</v>
      </c>
      <c r="P977" s="163" t="s">
        <v>2885</v>
      </c>
      <c r="Q977" s="161" t="s">
        <v>3022</v>
      </c>
      <c r="R977" s="40" t="s">
        <v>1604</v>
      </c>
    </row>
    <row r="978" spans="1:18" s="39" customFormat="1" ht="31.25" customHeight="1" x14ac:dyDescent="0.2">
      <c r="A978" s="39" t="s">
        <v>3023</v>
      </c>
      <c r="B978" s="39" t="s">
        <v>70</v>
      </c>
      <c r="C978" s="39" t="s">
        <v>120</v>
      </c>
      <c r="D978" s="39" t="s">
        <v>137</v>
      </c>
      <c r="E978" s="39" t="s">
        <v>251</v>
      </c>
      <c r="F978" s="39" t="s">
        <v>3024</v>
      </c>
      <c r="G978" s="39" t="s">
        <v>125</v>
      </c>
      <c r="H978" s="39" t="s">
        <v>162</v>
      </c>
      <c r="L978" s="39" t="s">
        <v>3025</v>
      </c>
      <c r="M978" s="39" t="s">
        <v>2994</v>
      </c>
      <c r="O978" s="39" t="s">
        <v>52</v>
      </c>
      <c r="P978" s="163" t="s">
        <v>2885</v>
      </c>
      <c r="Q978" s="161">
        <v>30000</v>
      </c>
      <c r="R978" s="40">
        <v>110.04857052947553</v>
      </c>
    </row>
    <row r="979" spans="1:18" s="39" customFormat="1" ht="31.25" customHeight="1" x14ac:dyDescent="0.2">
      <c r="A979" s="39" t="s">
        <v>3026</v>
      </c>
      <c r="B979" s="39" t="s">
        <v>70</v>
      </c>
      <c r="C979" s="39" t="s">
        <v>177</v>
      </c>
      <c r="D979" s="39" t="s">
        <v>137</v>
      </c>
      <c r="E979" s="39" t="s">
        <v>251</v>
      </c>
      <c r="F979" s="39" t="s">
        <v>3020</v>
      </c>
      <c r="G979" s="39" t="s">
        <v>125</v>
      </c>
      <c r="H979" s="39" t="s">
        <v>162</v>
      </c>
      <c r="L979" s="39" t="s">
        <v>3027</v>
      </c>
      <c r="M979" s="39" t="s">
        <v>2994</v>
      </c>
      <c r="O979" s="39" t="s">
        <v>52</v>
      </c>
      <c r="P979" s="163" t="s">
        <v>2885</v>
      </c>
      <c r="Q979" s="161" t="s">
        <v>3022</v>
      </c>
      <c r="R979" s="40" t="s">
        <v>1604</v>
      </c>
    </row>
    <row r="980" spans="1:18" s="39" customFormat="1" ht="31.25" customHeight="1" x14ac:dyDescent="0.2">
      <c r="A980" s="39" t="s">
        <v>3028</v>
      </c>
      <c r="B980" s="39" t="s">
        <v>70</v>
      </c>
      <c r="C980" s="39" t="s">
        <v>171</v>
      </c>
      <c r="D980" s="55" t="s">
        <v>121</v>
      </c>
      <c r="E980" s="39" t="s">
        <v>151</v>
      </c>
      <c r="F980" s="39" t="s">
        <v>3020</v>
      </c>
      <c r="G980" s="39" t="s">
        <v>125</v>
      </c>
      <c r="H980" s="39" t="s">
        <v>162</v>
      </c>
      <c r="L980" s="39" t="s">
        <v>3029</v>
      </c>
      <c r="M980" s="39" t="s">
        <v>2994</v>
      </c>
      <c r="O980" s="39" t="s">
        <v>52</v>
      </c>
      <c r="P980" s="163" t="s">
        <v>2885</v>
      </c>
      <c r="Q980" s="161" t="s">
        <v>3022</v>
      </c>
      <c r="R980" s="40" t="s">
        <v>1604</v>
      </c>
    </row>
    <row r="981" spans="1:18" s="39" customFormat="1" ht="31.25" customHeight="1" x14ac:dyDescent="0.2">
      <c r="A981" s="39" t="s">
        <v>3030</v>
      </c>
      <c r="B981" s="39" t="s">
        <v>70</v>
      </c>
      <c r="C981" s="39" t="s">
        <v>120</v>
      </c>
      <c r="D981" s="39" t="s">
        <v>137</v>
      </c>
      <c r="E981" s="39" t="s">
        <v>151</v>
      </c>
      <c r="F981" s="39" t="s">
        <v>3031</v>
      </c>
      <c r="G981" s="39" t="s">
        <v>125</v>
      </c>
      <c r="H981" s="39" t="s">
        <v>162</v>
      </c>
      <c r="L981" s="39" t="s">
        <v>3032</v>
      </c>
      <c r="M981" s="39" t="s">
        <v>2994</v>
      </c>
      <c r="O981" s="39" t="s">
        <v>52</v>
      </c>
      <c r="P981" s="163" t="s">
        <v>2885</v>
      </c>
      <c r="Q981" s="161">
        <v>263500</v>
      </c>
      <c r="R981" s="40">
        <v>966.59327781722675</v>
      </c>
    </row>
    <row r="982" spans="1:18" s="39" customFormat="1" ht="31.25" customHeight="1" x14ac:dyDescent="0.2">
      <c r="A982" s="39" t="s">
        <v>3033</v>
      </c>
      <c r="B982" s="39" t="s">
        <v>70</v>
      </c>
      <c r="C982" s="39" t="s">
        <v>120</v>
      </c>
      <c r="D982" s="39" t="s">
        <v>137</v>
      </c>
      <c r="E982" s="39" t="s">
        <v>151</v>
      </c>
      <c r="F982" s="39" t="s">
        <v>3034</v>
      </c>
      <c r="G982" s="39" t="s">
        <v>125</v>
      </c>
      <c r="H982" s="39" t="s">
        <v>162</v>
      </c>
      <c r="L982" s="39" t="s">
        <v>3035</v>
      </c>
      <c r="M982" s="39" t="s">
        <v>2994</v>
      </c>
      <c r="O982" s="39" t="s">
        <v>52</v>
      </c>
      <c r="P982" s="163" t="s">
        <v>2885</v>
      </c>
      <c r="Q982" s="161">
        <v>201600</v>
      </c>
      <c r="R982" s="40">
        <v>739.52639395807557</v>
      </c>
    </row>
    <row r="983" spans="1:18" s="39" customFormat="1" ht="31.25" customHeight="1" x14ac:dyDescent="0.2">
      <c r="A983" s="39" t="s">
        <v>3036</v>
      </c>
      <c r="B983" s="39" t="s">
        <v>70</v>
      </c>
      <c r="C983" s="39" t="s">
        <v>171</v>
      </c>
      <c r="D983" s="39" t="s">
        <v>137</v>
      </c>
      <c r="E983" s="39" t="s">
        <v>199</v>
      </c>
      <c r="F983" s="39" t="s">
        <v>3020</v>
      </c>
      <c r="G983" s="39" t="s">
        <v>152</v>
      </c>
      <c r="H983" s="39" t="s">
        <v>2920</v>
      </c>
      <c r="I983" s="39" t="s">
        <v>125</v>
      </c>
      <c r="L983" s="39" t="s">
        <v>3037</v>
      </c>
      <c r="M983" s="39" t="s">
        <v>2994</v>
      </c>
      <c r="O983" s="39" t="s">
        <v>52</v>
      </c>
      <c r="P983" s="163" t="s">
        <v>2885</v>
      </c>
      <c r="Q983" s="161" t="s">
        <v>3022</v>
      </c>
      <c r="R983" s="40" t="s">
        <v>1604</v>
      </c>
    </row>
    <row r="984" spans="1:18" s="39" customFormat="1" ht="31.25" customHeight="1" x14ac:dyDescent="0.2">
      <c r="A984" s="39" t="s">
        <v>3038</v>
      </c>
      <c r="B984" s="39" t="s">
        <v>70</v>
      </c>
      <c r="C984" s="39" t="s">
        <v>120</v>
      </c>
      <c r="D984" s="39" t="s">
        <v>121</v>
      </c>
      <c r="E984" s="39" t="s">
        <v>199</v>
      </c>
      <c r="F984" s="39" t="s">
        <v>3039</v>
      </c>
      <c r="G984" s="39" t="s">
        <v>152</v>
      </c>
      <c r="H984" s="39" t="s">
        <v>2920</v>
      </c>
      <c r="L984" s="39" t="s">
        <v>3040</v>
      </c>
      <c r="M984" s="39" t="s">
        <v>2994</v>
      </c>
      <c r="O984" s="39" t="s">
        <v>52</v>
      </c>
      <c r="P984" s="163" t="s">
        <v>2885</v>
      </c>
      <c r="Q984" s="40">
        <v>120000</v>
      </c>
      <c r="R984" s="40">
        <v>440.19428211790211</v>
      </c>
    </row>
    <row r="985" spans="1:18" s="39" customFormat="1" ht="31.25" customHeight="1" x14ac:dyDescent="0.2">
      <c r="A985" s="39" t="s">
        <v>3041</v>
      </c>
      <c r="B985" s="39" t="s">
        <v>70</v>
      </c>
      <c r="C985" s="39" t="s">
        <v>120</v>
      </c>
      <c r="D985" s="39" t="s">
        <v>121</v>
      </c>
      <c r="E985" s="39" t="s">
        <v>199</v>
      </c>
      <c r="F985" s="39" t="s">
        <v>3042</v>
      </c>
      <c r="G985" s="39" t="s">
        <v>152</v>
      </c>
      <c r="H985" s="39" t="s">
        <v>2920</v>
      </c>
      <c r="L985" s="39" t="s">
        <v>3043</v>
      </c>
      <c r="M985" s="76" t="s">
        <v>2994</v>
      </c>
      <c r="O985" s="39" t="s">
        <v>52</v>
      </c>
      <c r="P985" s="163" t="s">
        <v>2885</v>
      </c>
      <c r="Q985" s="40">
        <v>86000</v>
      </c>
      <c r="R985" s="40">
        <v>315.4725688511632</v>
      </c>
    </row>
    <row r="986" spans="1:18" s="39" customFormat="1" ht="31.25" customHeight="1" x14ac:dyDescent="0.2">
      <c r="A986" s="75" t="s">
        <v>3044</v>
      </c>
      <c r="B986" s="75" t="s">
        <v>99</v>
      </c>
      <c r="C986" s="75" t="s">
        <v>132</v>
      </c>
      <c r="D986" s="75" t="s">
        <v>121</v>
      </c>
      <c r="E986" s="75" t="s">
        <v>151</v>
      </c>
      <c r="F986" s="165" t="s">
        <v>3045</v>
      </c>
      <c r="G986" s="75" t="s">
        <v>125</v>
      </c>
      <c r="H986" s="75"/>
      <c r="I986" s="75"/>
      <c r="J986" s="75"/>
      <c r="K986" s="75"/>
      <c r="L986" s="75" t="s">
        <v>3046</v>
      </c>
      <c r="M986" s="99" t="s">
        <v>3047</v>
      </c>
      <c r="N986" s="75"/>
      <c r="O986" s="75" t="s">
        <v>54</v>
      </c>
      <c r="P986" s="75" t="s">
        <v>3048</v>
      </c>
      <c r="Q986" s="100">
        <v>1270000</v>
      </c>
      <c r="R986" s="40">
        <v>92.974900108533149</v>
      </c>
    </row>
    <row r="987" spans="1:18" s="39" customFormat="1" ht="31.25" customHeight="1" x14ac:dyDescent="0.2">
      <c r="A987" s="50" t="s">
        <v>3049</v>
      </c>
      <c r="B987" s="50" t="s">
        <v>99</v>
      </c>
      <c r="C987" s="50" t="s">
        <v>171</v>
      </c>
      <c r="D987" s="50" t="s">
        <v>137</v>
      </c>
      <c r="E987" s="50" t="s">
        <v>133</v>
      </c>
      <c r="F987" s="70"/>
      <c r="G987" s="50" t="s">
        <v>125</v>
      </c>
      <c r="H987" s="50" t="s">
        <v>158</v>
      </c>
      <c r="I987" s="50"/>
      <c r="J987" s="50"/>
      <c r="K987" s="50"/>
      <c r="L987" s="50" t="s">
        <v>3050</v>
      </c>
      <c r="M987" s="50" t="s">
        <v>3051</v>
      </c>
      <c r="N987" s="50"/>
      <c r="O987" s="50" t="s">
        <v>53</v>
      </c>
      <c r="P987" s="50"/>
      <c r="Q987" s="97"/>
      <c r="R987" s="40" t="s">
        <v>1604</v>
      </c>
    </row>
    <row r="988" spans="1:18" s="39" customFormat="1" ht="31.25" customHeight="1" x14ac:dyDescent="0.2">
      <c r="A988" s="39" t="s">
        <v>3052</v>
      </c>
      <c r="B988" s="39" t="s">
        <v>99</v>
      </c>
      <c r="C988" s="39" t="s">
        <v>188</v>
      </c>
      <c r="D988" s="39" t="s">
        <v>121</v>
      </c>
      <c r="E988" s="39" t="s">
        <v>151</v>
      </c>
      <c r="F988" s="39" t="s">
        <v>3053</v>
      </c>
      <c r="G988" s="39" t="s">
        <v>125</v>
      </c>
      <c r="J988" s="39" t="s">
        <v>124</v>
      </c>
      <c r="K988" s="39" t="s">
        <v>5557</v>
      </c>
      <c r="L988" s="42" t="s">
        <v>3054</v>
      </c>
      <c r="M988" s="39" t="s">
        <v>3055</v>
      </c>
      <c r="O988" s="39" t="s">
        <v>54</v>
      </c>
      <c r="P988" s="39" t="s">
        <v>601</v>
      </c>
      <c r="Q988" s="40">
        <v>2590</v>
      </c>
      <c r="R988" s="40">
        <v>2590</v>
      </c>
    </row>
    <row r="989" spans="1:18" s="39" customFormat="1" ht="31.25" customHeight="1" x14ac:dyDescent="0.2">
      <c r="A989" s="62" t="s">
        <v>3056</v>
      </c>
      <c r="B989" s="39" t="s">
        <v>99</v>
      </c>
      <c r="C989" s="39" t="s">
        <v>188</v>
      </c>
      <c r="D989" s="39" t="s">
        <v>121</v>
      </c>
      <c r="E989" s="39" t="s">
        <v>122</v>
      </c>
      <c r="F989" s="39" t="s">
        <v>3057</v>
      </c>
      <c r="G989" s="39" t="s">
        <v>125</v>
      </c>
      <c r="H989" s="39" t="s">
        <v>162</v>
      </c>
      <c r="J989" s="39" t="s">
        <v>124</v>
      </c>
      <c r="K989" s="39" t="s">
        <v>5557</v>
      </c>
      <c r="L989" s="42" t="s">
        <v>3058</v>
      </c>
      <c r="M989" s="39" t="s">
        <v>3055</v>
      </c>
      <c r="O989" s="39" t="s">
        <v>54</v>
      </c>
      <c r="P989" s="39" t="s">
        <v>601</v>
      </c>
      <c r="Q989" s="40">
        <v>582.9</v>
      </c>
      <c r="R989" s="40">
        <v>582.9</v>
      </c>
    </row>
    <row r="990" spans="1:18" s="39" customFormat="1" ht="31.25" customHeight="1" x14ac:dyDescent="0.2">
      <c r="A990" s="39" t="s">
        <v>3059</v>
      </c>
      <c r="B990" s="39" t="s">
        <v>99</v>
      </c>
      <c r="C990" s="39" t="s">
        <v>188</v>
      </c>
      <c r="D990" s="39" t="s">
        <v>121</v>
      </c>
      <c r="E990" s="39" t="s">
        <v>251</v>
      </c>
      <c r="F990" s="39" t="s">
        <v>3060</v>
      </c>
      <c r="G990" s="39" t="s">
        <v>125</v>
      </c>
      <c r="H990" s="39" t="s">
        <v>162</v>
      </c>
      <c r="J990" s="39" t="s">
        <v>124</v>
      </c>
      <c r="K990" s="39" t="s">
        <v>5557</v>
      </c>
      <c r="L990" s="39" t="s">
        <v>3061</v>
      </c>
      <c r="M990" s="39" t="s">
        <v>3055</v>
      </c>
      <c r="O990" s="39" t="s">
        <v>624</v>
      </c>
      <c r="P990" s="39" t="s">
        <v>601</v>
      </c>
      <c r="Q990" s="40">
        <v>240.2</v>
      </c>
      <c r="R990" s="40">
        <v>240.2</v>
      </c>
    </row>
    <row r="991" spans="1:18" s="39" customFormat="1" ht="31.25" customHeight="1" x14ac:dyDescent="0.2">
      <c r="A991" s="39" t="s">
        <v>3062</v>
      </c>
      <c r="B991" s="39" t="s">
        <v>99</v>
      </c>
      <c r="C991" s="39" t="s">
        <v>177</v>
      </c>
      <c r="D991" s="39" t="s">
        <v>121</v>
      </c>
      <c r="E991" s="39" t="s">
        <v>151</v>
      </c>
      <c r="G991" s="39" t="s">
        <v>125</v>
      </c>
      <c r="H991" s="39" t="s">
        <v>162</v>
      </c>
      <c r="J991" s="39" t="s">
        <v>124</v>
      </c>
      <c r="K991" s="39" t="s">
        <v>5557</v>
      </c>
      <c r="L991" s="39" t="s">
        <v>3063</v>
      </c>
      <c r="M991" s="39" t="s">
        <v>3064</v>
      </c>
      <c r="N991" s="39" t="s">
        <v>3065</v>
      </c>
      <c r="O991" s="39" t="s">
        <v>624</v>
      </c>
      <c r="P991" s="94"/>
      <c r="Q991" s="40"/>
      <c r="R991" s="40" t="s">
        <v>1604</v>
      </c>
    </row>
    <row r="992" spans="1:18" s="39" customFormat="1" ht="31.25" customHeight="1" x14ac:dyDescent="0.2">
      <c r="A992" s="39" t="s">
        <v>3066</v>
      </c>
      <c r="B992" s="39" t="s">
        <v>99</v>
      </c>
      <c r="C992" s="39" t="s">
        <v>132</v>
      </c>
      <c r="D992" s="39" t="s">
        <v>121</v>
      </c>
      <c r="E992" s="39" t="s">
        <v>151</v>
      </c>
      <c r="L992" s="39" t="s">
        <v>3067</v>
      </c>
      <c r="O992" s="39" t="s">
        <v>3068</v>
      </c>
      <c r="P992" s="94"/>
      <c r="Q992" s="40" t="s">
        <v>109</v>
      </c>
      <c r="R992" s="40" t="s">
        <v>1604</v>
      </c>
    </row>
    <row r="993" spans="1:18" s="39" customFormat="1" ht="31.25" customHeight="1" x14ac:dyDescent="0.2">
      <c r="A993" s="39" t="s">
        <v>3069</v>
      </c>
      <c r="B993" s="39" t="s">
        <v>98</v>
      </c>
      <c r="C993" s="39" t="s">
        <v>120</v>
      </c>
      <c r="D993" s="39" t="s">
        <v>137</v>
      </c>
      <c r="E993" s="39" t="s">
        <v>151</v>
      </c>
      <c r="F993" s="39" t="s">
        <v>3070</v>
      </c>
      <c r="G993" s="39" t="s">
        <v>162</v>
      </c>
      <c r="H993" s="39" t="s">
        <v>125</v>
      </c>
      <c r="J993" s="39" t="s">
        <v>124</v>
      </c>
      <c r="L993" s="39" t="s">
        <v>3071</v>
      </c>
      <c r="M993" s="39" t="s">
        <v>3072</v>
      </c>
      <c r="N993" s="39" t="s">
        <v>3073</v>
      </c>
      <c r="O993" s="39" t="s">
        <v>53</v>
      </c>
      <c r="P993" s="39" t="s">
        <v>3074</v>
      </c>
      <c r="Q993" s="39">
        <v>900000</v>
      </c>
      <c r="R993" s="40">
        <v>13460.807946528672</v>
      </c>
    </row>
    <row r="994" spans="1:18" s="39" customFormat="1" ht="31.25" customHeight="1" x14ac:dyDescent="0.2">
      <c r="A994" s="39" t="s">
        <v>3075</v>
      </c>
      <c r="B994" s="39" t="s">
        <v>98</v>
      </c>
      <c r="C994" s="39" t="s">
        <v>171</v>
      </c>
      <c r="D994" s="39" t="s">
        <v>121</v>
      </c>
      <c r="E994" s="39" t="s">
        <v>151</v>
      </c>
      <c r="F994" s="39" t="s">
        <v>1623</v>
      </c>
      <c r="G994" s="39" t="s">
        <v>162</v>
      </c>
      <c r="H994" s="39" t="s">
        <v>125</v>
      </c>
      <c r="J994" s="39" t="s">
        <v>124</v>
      </c>
      <c r="L994" s="101" t="s">
        <v>3076</v>
      </c>
      <c r="M994" s="39" t="s">
        <v>3077</v>
      </c>
      <c r="N994" s="39" t="s">
        <v>3078</v>
      </c>
      <c r="O994" s="39" t="s">
        <v>54</v>
      </c>
      <c r="P994" s="39" t="s">
        <v>3074</v>
      </c>
      <c r="Q994" s="39" t="s">
        <v>1604</v>
      </c>
      <c r="R994" s="40" t="s">
        <v>1604</v>
      </c>
    </row>
    <row r="995" spans="1:18" s="39" customFormat="1" ht="31.25" customHeight="1" x14ac:dyDescent="0.2">
      <c r="A995" s="39" t="s">
        <v>3079</v>
      </c>
      <c r="B995" s="39" t="s">
        <v>98</v>
      </c>
      <c r="C995" s="39" t="s">
        <v>120</v>
      </c>
      <c r="D995" s="39" t="s">
        <v>121</v>
      </c>
      <c r="E995" s="39" t="s">
        <v>251</v>
      </c>
      <c r="F995" s="39" t="s">
        <v>3080</v>
      </c>
      <c r="G995" s="39" t="s">
        <v>162</v>
      </c>
      <c r="H995" s="39" t="s">
        <v>125</v>
      </c>
      <c r="J995" s="39" t="s">
        <v>124</v>
      </c>
      <c r="L995" s="39" t="s">
        <v>3081</v>
      </c>
      <c r="O995" s="39" t="s">
        <v>54</v>
      </c>
      <c r="P995" s="39" t="s">
        <v>3074</v>
      </c>
      <c r="Q995" s="39">
        <v>500000</v>
      </c>
      <c r="R995" s="40">
        <v>7478.2266369603731</v>
      </c>
    </row>
    <row r="996" spans="1:18" s="39" customFormat="1" ht="31.25" customHeight="1" x14ac:dyDescent="0.2">
      <c r="A996" s="39" t="s">
        <v>3082</v>
      </c>
      <c r="B996" s="39" t="s">
        <v>98</v>
      </c>
      <c r="C996" s="39" t="s">
        <v>132</v>
      </c>
      <c r="D996" s="39" t="s">
        <v>160</v>
      </c>
      <c r="E996" s="39" t="s">
        <v>133</v>
      </c>
      <c r="F996" s="54" t="s">
        <v>3083</v>
      </c>
      <c r="G996" s="39" t="s">
        <v>134</v>
      </c>
      <c r="J996" s="39" t="s">
        <v>124</v>
      </c>
      <c r="L996" s="39" t="s">
        <v>3084</v>
      </c>
      <c r="O996" s="39" t="s">
        <v>52</v>
      </c>
      <c r="P996" s="39" t="s">
        <v>3074</v>
      </c>
      <c r="Q996" s="39">
        <v>60000</v>
      </c>
      <c r="R996" s="40">
        <v>897.38719643524473</v>
      </c>
    </row>
    <row r="997" spans="1:18" s="39" customFormat="1" ht="31.25" customHeight="1" x14ac:dyDescent="0.2">
      <c r="A997" s="39" t="s">
        <v>3085</v>
      </c>
      <c r="B997" s="39" t="s">
        <v>98</v>
      </c>
      <c r="C997" s="39" t="s">
        <v>120</v>
      </c>
      <c r="D997" s="39" t="s">
        <v>121</v>
      </c>
      <c r="E997" s="39" t="s">
        <v>133</v>
      </c>
      <c r="F997" s="54" t="s">
        <v>3086</v>
      </c>
      <c r="G997" s="39" t="s">
        <v>134</v>
      </c>
      <c r="H997" s="39" t="s">
        <v>158</v>
      </c>
      <c r="J997" s="39" t="s">
        <v>124</v>
      </c>
      <c r="L997" s="39" t="s">
        <v>3087</v>
      </c>
      <c r="O997" s="39" t="s">
        <v>53</v>
      </c>
      <c r="P997" s="39" t="s">
        <v>3074</v>
      </c>
      <c r="Q997" s="39">
        <v>2000000</v>
      </c>
      <c r="R997" s="40">
        <v>29912.906547841492</v>
      </c>
    </row>
    <row r="998" spans="1:18" s="39" customFormat="1" ht="31.25" customHeight="1" x14ac:dyDescent="0.2">
      <c r="A998" s="39" t="s">
        <v>3088</v>
      </c>
      <c r="B998" s="39" t="s">
        <v>98</v>
      </c>
      <c r="C998" s="39" t="s">
        <v>120</v>
      </c>
      <c r="D998" s="39" t="s">
        <v>121</v>
      </c>
      <c r="E998" s="39" t="s">
        <v>133</v>
      </c>
      <c r="F998" s="54" t="s">
        <v>3089</v>
      </c>
      <c r="G998" s="39" t="s">
        <v>134</v>
      </c>
      <c r="J998" s="39" t="s">
        <v>124</v>
      </c>
      <c r="L998" s="39" t="s">
        <v>3090</v>
      </c>
      <c r="O998" s="39" t="s">
        <v>55</v>
      </c>
      <c r="P998" s="39" t="s">
        <v>3074</v>
      </c>
      <c r="Q998" s="40">
        <v>200000</v>
      </c>
      <c r="R998" s="40">
        <v>2991.290654784149</v>
      </c>
    </row>
    <row r="999" spans="1:18" s="39" customFormat="1" ht="31.25" customHeight="1" x14ac:dyDescent="0.2">
      <c r="A999" s="39" t="s">
        <v>3091</v>
      </c>
      <c r="B999" s="39" t="s">
        <v>98</v>
      </c>
      <c r="C999" s="39" t="s">
        <v>171</v>
      </c>
      <c r="D999" s="39" t="s">
        <v>137</v>
      </c>
      <c r="E999" s="39" t="s">
        <v>133</v>
      </c>
      <c r="F999" s="54" t="s">
        <v>1623</v>
      </c>
      <c r="G999" s="39" t="s">
        <v>125</v>
      </c>
      <c r="H999" s="39" t="s">
        <v>158</v>
      </c>
      <c r="J999" s="39" t="s">
        <v>124</v>
      </c>
      <c r="L999" s="101" t="s">
        <v>3092</v>
      </c>
      <c r="M999" s="39" t="s">
        <v>3093</v>
      </c>
      <c r="O999" s="39" t="s">
        <v>54</v>
      </c>
      <c r="P999" s="39" t="s">
        <v>3074</v>
      </c>
      <c r="Q999" s="40" t="s">
        <v>1604</v>
      </c>
      <c r="R999" s="40" t="s">
        <v>1604</v>
      </c>
    </row>
    <row r="1000" spans="1:18" s="39" customFormat="1" ht="31.25" customHeight="1" x14ac:dyDescent="0.2">
      <c r="A1000" s="39" t="s">
        <v>3094</v>
      </c>
      <c r="B1000" s="39" t="s">
        <v>98</v>
      </c>
      <c r="C1000" s="39" t="s">
        <v>132</v>
      </c>
      <c r="D1000" s="39" t="s">
        <v>121</v>
      </c>
      <c r="E1000" s="39" t="s">
        <v>151</v>
      </c>
      <c r="F1000" s="54" t="s">
        <v>3095</v>
      </c>
      <c r="G1000" s="39" t="s">
        <v>162</v>
      </c>
      <c r="H1000" s="39" t="s">
        <v>158</v>
      </c>
      <c r="L1000" s="39" t="s">
        <v>3096</v>
      </c>
      <c r="M1000" s="39" t="s">
        <v>3097</v>
      </c>
      <c r="O1000" s="39" t="s">
        <v>53</v>
      </c>
      <c r="P1000" s="39" t="s">
        <v>3074</v>
      </c>
      <c r="Q1000" s="40">
        <v>97000</v>
      </c>
      <c r="R1000" s="40">
        <v>1450.7759675703123</v>
      </c>
    </row>
    <row r="1001" spans="1:18" s="39" customFormat="1" ht="31.25" customHeight="1" x14ac:dyDescent="0.2">
      <c r="A1001" s="39" t="s">
        <v>3098</v>
      </c>
      <c r="B1001" s="39" t="s">
        <v>98</v>
      </c>
      <c r="C1001" s="39" t="s">
        <v>132</v>
      </c>
      <c r="D1001" s="39" t="s">
        <v>137</v>
      </c>
      <c r="E1001" s="39" t="s">
        <v>251</v>
      </c>
      <c r="F1001" s="54" t="s">
        <v>1623</v>
      </c>
      <c r="G1001" s="39" t="s">
        <v>162</v>
      </c>
      <c r="J1001" s="39" t="s">
        <v>124</v>
      </c>
      <c r="L1001" s="39" t="s">
        <v>3099</v>
      </c>
      <c r="M1001" s="39" t="s">
        <v>3100</v>
      </c>
      <c r="O1001" s="39" t="s">
        <v>52</v>
      </c>
      <c r="P1001" s="39" t="s">
        <v>3074</v>
      </c>
      <c r="Q1001" s="40"/>
      <c r="R1001" s="40">
        <v>0</v>
      </c>
    </row>
    <row r="1002" spans="1:18" s="39" customFormat="1" ht="31.25" customHeight="1" x14ac:dyDescent="0.2">
      <c r="A1002" s="39" t="s">
        <v>3101</v>
      </c>
      <c r="B1002" s="39" t="s">
        <v>98</v>
      </c>
      <c r="C1002" s="39" t="s">
        <v>171</v>
      </c>
      <c r="D1002" s="39" t="s">
        <v>121</v>
      </c>
      <c r="E1002" s="39" t="s">
        <v>151</v>
      </c>
      <c r="F1002" s="54" t="s">
        <v>1623</v>
      </c>
      <c r="G1002" s="39" t="s">
        <v>125</v>
      </c>
      <c r="H1002" s="39" t="s">
        <v>162</v>
      </c>
      <c r="J1002" s="39" t="s">
        <v>124</v>
      </c>
      <c r="L1002" s="39" t="s">
        <v>3102</v>
      </c>
      <c r="M1002" s="39" t="s">
        <v>3103</v>
      </c>
      <c r="O1002" s="39" t="s">
        <v>52</v>
      </c>
      <c r="P1002" s="39" t="s">
        <v>3074</v>
      </c>
      <c r="Q1002" s="40"/>
      <c r="R1002" s="40">
        <v>0</v>
      </c>
    </row>
    <row r="1003" spans="1:18" s="39" customFormat="1" ht="31.25" customHeight="1" x14ac:dyDescent="0.2">
      <c r="A1003" s="50" t="s">
        <v>3104</v>
      </c>
      <c r="B1003" s="50" t="s">
        <v>98</v>
      </c>
      <c r="C1003" s="50" t="s">
        <v>171</v>
      </c>
      <c r="D1003" s="50" t="s">
        <v>121</v>
      </c>
      <c r="E1003" s="50" t="s">
        <v>147</v>
      </c>
      <c r="F1003" s="70" t="s">
        <v>1623</v>
      </c>
      <c r="G1003" s="50" t="s">
        <v>125</v>
      </c>
      <c r="H1003" s="50" t="s">
        <v>162</v>
      </c>
      <c r="I1003" s="50"/>
      <c r="J1003" s="50" t="s">
        <v>124</v>
      </c>
      <c r="K1003" s="50"/>
      <c r="L1003" s="50" t="s">
        <v>3105</v>
      </c>
      <c r="M1003" s="50" t="s">
        <v>3106</v>
      </c>
      <c r="N1003" s="50"/>
      <c r="O1003" s="50" t="s">
        <v>54</v>
      </c>
      <c r="P1003" s="50" t="s">
        <v>3074</v>
      </c>
      <c r="Q1003" s="97"/>
      <c r="R1003" s="40">
        <v>0</v>
      </c>
    </row>
    <row r="1004" spans="1:18" s="39" customFormat="1" ht="31.25" customHeight="1" x14ac:dyDescent="0.2">
      <c r="A1004" s="39" t="s">
        <v>3107</v>
      </c>
      <c r="B1004" s="39" t="s">
        <v>98</v>
      </c>
      <c r="C1004" s="39" t="s">
        <v>188</v>
      </c>
      <c r="D1004" s="39" t="s">
        <v>121</v>
      </c>
      <c r="E1004" s="39" t="s">
        <v>151</v>
      </c>
      <c r="F1004" s="39" t="s">
        <v>1623</v>
      </c>
      <c r="G1004" s="39" t="s">
        <v>158</v>
      </c>
      <c r="J1004" s="39" t="s">
        <v>157</v>
      </c>
      <c r="K1004" s="39" t="s">
        <v>5558</v>
      </c>
      <c r="L1004" s="39" t="s">
        <v>3108</v>
      </c>
      <c r="M1004" s="76" t="s">
        <v>3109</v>
      </c>
      <c r="O1004" s="39" t="s">
        <v>54</v>
      </c>
      <c r="P1004" s="39" t="s">
        <v>3074</v>
      </c>
      <c r="Q1004" s="40"/>
      <c r="R1004" s="40">
        <v>0</v>
      </c>
    </row>
    <row r="1005" spans="1:18" s="39" customFormat="1" ht="31.25" customHeight="1" x14ac:dyDescent="0.2">
      <c r="A1005" s="39" t="s">
        <v>3110</v>
      </c>
      <c r="B1005" s="39" t="s">
        <v>98</v>
      </c>
      <c r="C1005" s="39" t="s">
        <v>188</v>
      </c>
      <c r="D1005" s="55" t="s">
        <v>121</v>
      </c>
      <c r="E1005" s="39" t="s">
        <v>172</v>
      </c>
      <c r="F1005" s="39" t="s">
        <v>3111</v>
      </c>
      <c r="G1005" s="39" t="s">
        <v>158</v>
      </c>
      <c r="J1005" s="39" t="s">
        <v>124</v>
      </c>
      <c r="L1005" s="39" t="s">
        <v>3112</v>
      </c>
      <c r="M1005" s="39" t="s">
        <v>3113</v>
      </c>
      <c r="O1005" s="39" t="s">
        <v>54</v>
      </c>
      <c r="P1005" s="39" t="s">
        <v>3074</v>
      </c>
      <c r="Q1005" s="40">
        <v>147750</v>
      </c>
      <c r="R1005" s="40">
        <v>2209.8159712217903</v>
      </c>
    </row>
    <row r="1006" spans="1:18" s="39" customFormat="1" ht="31.25" customHeight="1" x14ac:dyDescent="0.2">
      <c r="A1006" s="39" t="s">
        <v>3114</v>
      </c>
      <c r="B1006" s="39" t="s">
        <v>98</v>
      </c>
      <c r="C1006" s="39" t="s">
        <v>120</v>
      </c>
      <c r="D1006" s="55" t="s">
        <v>121</v>
      </c>
      <c r="E1006" s="39" t="s">
        <v>151</v>
      </c>
      <c r="F1006" s="39" t="s">
        <v>3115</v>
      </c>
      <c r="G1006" s="39" t="s">
        <v>125</v>
      </c>
      <c r="H1006" s="39" t="s">
        <v>162</v>
      </c>
      <c r="J1006" s="39" t="s">
        <v>124</v>
      </c>
      <c r="L1006" s="39" t="s">
        <v>3116</v>
      </c>
      <c r="M1006" s="76" t="s">
        <v>3113</v>
      </c>
      <c r="N1006" s="76" t="s">
        <v>3117</v>
      </c>
      <c r="O1006" s="39" t="s">
        <v>52</v>
      </c>
      <c r="P1006" s="39" t="s">
        <v>3074</v>
      </c>
      <c r="Q1006" s="40">
        <v>3030580</v>
      </c>
      <c r="R1006" s="40">
        <v>45326.728162878731</v>
      </c>
    </row>
    <row r="1007" spans="1:18" s="39" customFormat="1" ht="31.25" customHeight="1" x14ac:dyDescent="0.2">
      <c r="A1007" s="39" t="s">
        <v>3118</v>
      </c>
      <c r="B1007" s="39" t="s">
        <v>98</v>
      </c>
      <c r="C1007" s="39" t="s">
        <v>188</v>
      </c>
      <c r="D1007" s="55" t="s">
        <v>121</v>
      </c>
      <c r="E1007" s="39" t="s">
        <v>172</v>
      </c>
      <c r="F1007" s="39" t="s">
        <v>3119</v>
      </c>
      <c r="G1007" s="39" t="s">
        <v>162</v>
      </c>
      <c r="H1007" s="39" t="s">
        <v>125</v>
      </c>
      <c r="J1007" s="39" t="s">
        <v>124</v>
      </c>
      <c r="L1007" s="39" t="s">
        <v>3120</v>
      </c>
      <c r="M1007" s="39" t="s">
        <v>3121</v>
      </c>
      <c r="O1007" s="39" t="s">
        <v>54</v>
      </c>
      <c r="P1007" s="39" t="s">
        <v>3074</v>
      </c>
      <c r="Q1007" s="40">
        <v>132772.1</v>
      </c>
      <c r="R1007" s="40">
        <v>1985.7997097303328</v>
      </c>
    </row>
    <row r="1008" spans="1:18" s="39" customFormat="1" ht="31.25" customHeight="1" x14ac:dyDescent="0.2">
      <c r="A1008" s="39" t="s">
        <v>3122</v>
      </c>
      <c r="B1008" s="39" t="s">
        <v>98</v>
      </c>
      <c r="C1008" s="39" t="s">
        <v>171</v>
      </c>
      <c r="D1008" s="39" t="s">
        <v>121</v>
      </c>
      <c r="E1008" s="39" t="s">
        <v>151</v>
      </c>
      <c r="F1008" s="39" t="s">
        <v>1623</v>
      </c>
      <c r="G1008" s="39" t="s">
        <v>162</v>
      </c>
      <c r="H1008" s="39" t="s">
        <v>125</v>
      </c>
      <c r="J1008" s="39" t="s">
        <v>124</v>
      </c>
      <c r="L1008" s="39" t="s">
        <v>3123</v>
      </c>
      <c r="M1008" s="76" t="s">
        <v>3124</v>
      </c>
      <c r="O1008" s="39" t="s">
        <v>54</v>
      </c>
      <c r="P1008" s="39" t="s">
        <v>3074</v>
      </c>
      <c r="Q1008" s="40"/>
      <c r="R1008" s="40">
        <v>0</v>
      </c>
    </row>
    <row r="1009" spans="1:18" s="39" customFormat="1" ht="31.25" customHeight="1" x14ac:dyDescent="0.2">
      <c r="A1009" s="39" t="s">
        <v>3125</v>
      </c>
      <c r="B1009" s="39" t="s">
        <v>98</v>
      </c>
      <c r="C1009" s="39" t="s">
        <v>177</v>
      </c>
      <c r="D1009" s="55" t="s">
        <v>121</v>
      </c>
      <c r="E1009" s="39" t="s">
        <v>151</v>
      </c>
      <c r="F1009" s="39" t="s">
        <v>1623</v>
      </c>
      <c r="G1009" s="39" t="s">
        <v>162</v>
      </c>
      <c r="H1009" s="39" t="s">
        <v>125</v>
      </c>
      <c r="J1009" s="39" t="s">
        <v>124</v>
      </c>
      <c r="L1009" s="39" t="s">
        <v>3126</v>
      </c>
      <c r="M1009" s="76" t="s">
        <v>3127</v>
      </c>
      <c r="O1009" s="39" t="s">
        <v>54</v>
      </c>
      <c r="P1009" s="39" t="s">
        <v>3074</v>
      </c>
      <c r="Q1009" s="40"/>
      <c r="R1009" s="40">
        <v>0</v>
      </c>
    </row>
    <row r="1010" spans="1:18" s="39" customFormat="1" ht="31.25" customHeight="1" x14ac:dyDescent="0.2">
      <c r="A1010" s="39" t="s">
        <v>3128</v>
      </c>
      <c r="B1010" s="39" t="s">
        <v>98</v>
      </c>
      <c r="C1010" s="39" t="s">
        <v>177</v>
      </c>
      <c r="D1010" s="39" t="s">
        <v>160</v>
      </c>
      <c r="E1010" s="39" t="s">
        <v>251</v>
      </c>
      <c r="F1010" s="39" t="s">
        <v>3129</v>
      </c>
      <c r="G1010" s="39" t="s">
        <v>162</v>
      </c>
      <c r="H1010" s="39" t="s">
        <v>125</v>
      </c>
      <c r="J1010" s="39" t="s">
        <v>124</v>
      </c>
      <c r="L1010" s="109" t="s">
        <v>3130</v>
      </c>
      <c r="O1010" s="39" t="s">
        <v>52</v>
      </c>
      <c r="P1010" s="39" t="s">
        <v>3074</v>
      </c>
      <c r="Q1010" s="40">
        <v>180000</v>
      </c>
      <c r="R1010" s="40">
        <v>2692.1615893057342</v>
      </c>
    </row>
    <row r="1011" spans="1:18" s="39" customFormat="1" ht="31.25" customHeight="1" x14ac:dyDescent="0.2">
      <c r="A1011" s="39" t="s">
        <v>3131</v>
      </c>
      <c r="B1011" s="39" t="s">
        <v>98</v>
      </c>
      <c r="C1011" s="39" t="s">
        <v>177</v>
      </c>
      <c r="D1011" s="39" t="s">
        <v>160</v>
      </c>
      <c r="E1011" s="39" t="s">
        <v>151</v>
      </c>
      <c r="F1011" s="39" t="s">
        <v>1623</v>
      </c>
      <c r="G1011" s="39" t="s">
        <v>162</v>
      </c>
      <c r="H1011" s="39" t="s">
        <v>125</v>
      </c>
      <c r="J1011" s="39" t="s">
        <v>124</v>
      </c>
      <c r="L1011" s="39" t="s">
        <v>3132</v>
      </c>
      <c r="M1011" s="76" t="s">
        <v>3133</v>
      </c>
      <c r="O1011" s="39" t="s">
        <v>52</v>
      </c>
      <c r="P1011" s="39" t="s">
        <v>3074</v>
      </c>
      <c r="Q1011" s="40"/>
      <c r="R1011" s="40">
        <v>0</v>
      </c>
    </row>
    <row r="1012" spans="1:18" s="39" customFormat="1" ht="31.25" customHeight="1" x14ac:dyDescent="0.2">
      <c r="A1012" s="39" t="s">
        <v>3134</v>
      </c>
      <c r="B1012" s="39" t="s">
        <v>98</v>
      </c>
      <c r="C1012" s="39" t="s">
        <v>188</v>
      </c>
      <c r="D1012" s="39" t="s">
        <v>160</v>
      </c>
      <c r="E1012" s="39" t="s">
        <v>251</v>
      </c>
      <c r="F1012" s="39" t="s">
        <v>3135</v>
      </c>
      <c r="G1012" s="39" t="s">
        <v>162</v>
      </c>
      <c r="H1012" s="39" t="s">
        <v>125</v>
      </c>
      <c r="J1012" s="39" t="s">
        <v>124</v>
      </c>
      <c r="L1012" s="39" t="s">
        <v>3136</v>
      </c>
      <c r="M1012" s="76" t="s">
        <v>3137</v>
      </c>
      <c r="O1012" s="39" t="s">
        <v>52</v>
      </c>
      <c r="P1012" s="39" t="s">
        <v>3074</v>
      </c>
      <c r="Q1012" s="40">
        <v>3700</v>
      </c>
      <c r="R1012" s="40">
        <v>55.338877113506761</v>
      </c>
    </row>
    <row r="1013" spans="1:18" s="39" customFormat="1" ht="31.25" customHeight="1" x14ac:dyDescent="0.2">
      <c r="A1013" s="39" t="s">
        <v>3138</v>
      </c>
      <c r="B1013" s="39" t="s">
        <v>98</v>
      </c>
      <c r="C1013" s="39" t="s">
        <v>177</v>
      </c>
      <c r="D1013" s="39" t="s">
        <v>121</v>
      </c>
      <c r="E1013" s="39" t="s">
        <v>151</v>
      </c>
      <c r="F1013" s="39" t="s">
        <v>3139</v>
      </c>
      <c r="G1013" s="39" t="s">
        <v>162</v>
      </c>
      <c r="H1013" s="39" t="s">
        <v>125</v>
      </c>
      <c r="J1013" s="39" t="s">
        <v>124</v>
      </c>
      <c r="L1013" s="39" t="s">
        <v>3140</v>
      </c>
      <c r="M1013" s="76" t="s">
        <v>3141</v>
      </c>
      <c r="O1013" s="39" t="s">
        <v>53</v>
      </c>
      <c r="P1013" s="39" t="s">
        <v>3074</v>
      </c>
      <c r="Q1013" s="40">
        <v>25000</v>
      </c>
      <c r="R1013" s="40">
        <v>373.91133184801862</v>
      </c>
    </row>
    <row r="1014" spans="1:18" s="39" customFormat="1" ht="31.25" customHeight="1" x14ac:dyDescent="0.2">
      <c r="A1014" s="75" t="s">
        <v>3142</v>
      </c>
      <c r="B1014" s="75" t="s">
        <v>72</v>
      </c>
      <c r="C1014" s="75" t="s">
        <v>132</v>
      </c>
      <c r="D1014" s="75" t="s">
        <v>137</v>
      </c>
      <c r="E1014" s="75" t="s">
        <v>133</v>
      </c>
      <c r="F1014" s="75" t="s">
        <v>3143</v>
      </c>
      <c r="G1014" s="75" t="s">
        <v>125</v>
      </c>
      <c r="H1014" s="75" t="s">
        <v>162</v>
      </c>
      <c r="I1014" s="75" t="s">
        <v>158</v>
      </c>
      <c r="J1014" s="75" t="s">
        <v>124</v>
      </c>
      <c r="K1014" s="75" t="s">
        <v>5557</v>
      </c>
      <c r="L1014" s="75" t="s">
        <v>3144</v>
      </c>
      <c r="M1014" s="99" t="s">
        <v>3145</v>
      </c>
      <c r="N1014" s="75"/>
      <c r="O1014" s="75" t="s">
        <v>55</v>
      </c>
      <c r="P1014" s="75" t="s">
        <v>65</v>
      </c>
      <c r="Q1014" s="100">
        <v>440</v>
      </c>
      <c r="R1014" s="40">
        <v>485.17433407264286</v>
      </c>
    </row>
    <row r="1015" spans="1:18" s="39" customFormat="1" ht="31.25" customHeight="1" x14ac:dyDescent="0.2">
      <c r="A1015" s="39" t="s">
        <v>3146</v>
      </c>
      <c r="B1015" s="39" t="s">
        <v>72</v>
      </c>
      <c r="C1015" s="39" t="s">
        <v>132</v>
      </c>
      <c r="D1015" s="39" t="s">
        <v>137</v>
      </c>
      <c r="E1015" s="39" t="s">
        <v>251</v>
      </c>
      <c r="F1015" s="39" t="s">
        <v>3147</v>
      </c>
      <c r="G1015" s="39" t="s">
        <v>125</v>
      </c>
      <c r="H1015" s="39" t="s">
        <v>162</v>
      </c>
      <c r="J1015" s="39" t="s">
        <v>124</v>
      </c>
      <c r="K1015" s="39" t="s">
        <v>5557</v>
      </c>
      <c r="L1015" s="39" t="s">
        <v>3148</v>
      </c>
      <c r="M1015" s="39" t="s">
        <v>3145</v>
      </c>
      <c r="O1015" s="39" t="s">
        <v>52</v>
      </c>
      <c r="P1015" s="39" t="s">
        <v>65</v>
      </c>
      <c r="Q1015" s="40">
        <v>42</v>
      </c>
      <c r="R1015" s="40">
        <v>46.312095525115907</v>
      </c>
    </row>
    <row r="1016" spans="1:18" s="39" customFormat="1" ht="31.25" customHeight="1" x14ac:dyDescent="0.2">
      <c r="A1016" s="39" t="s">
        <v>3149</v>
      </c>
      <c r="B1016" s="39" t="s">
        <v>72</v>
      </c>
      <c r="C1016" s="39" t="s">
        <v>120</v>
      </c>
      <c r="D1016" s="39" t="s">
        <v>137</v>
      </c>
      <c r="E1016" s="39" t="s">
        <v>133</v>
      </c>
      <c r="F1016" s="39" t="s">
        <v>3150</v>
      </c>
      <c r="J1016" s="39" t="s">
        <v>124</v>
      </c>
      <c r="L1016" s="39" t="s">
        <v>3151</v>
      </c>
      <c r="M1016" s="76" t="s">
        <v>3152</v>
      </c>
      <c r="N1016" s="76" t="s">
        <v>3153</v>
      </c>
      <c r="O1016" s="39" t="s">
        <v>55</v>
      </c>
      <c r="P1016" s="39" t="s">
        <v>65</v>
      </c>
      <c r="Q1016" s="40">
        <v>2000</v>
      </c>
      <c r="R1016" s="40">
        <v>2205.3378821483766</v>
      </c>
    </row>
    <row r="1017" spans="1:18" s="39" customFormat="1" ht="31.25" customHeight="1" x14ac:dyDescent="0.2">
      <c r="A1017" s="39" t="s">
        <v>3154</v>
      </c>
      <c r="B1017" s="39" t="s">
        <v>72</v>
      </c>
      <c r="C1017" s="39" t="s">
        <v>177</v>
      </c>
      <c r="D1017" s="39" t="s">
        <v>137</v>
      </c>
      <c r="E1017" s="39" t="s">
        <v>133</v>
      </c>
      <c r="F1017" s="39" t="s">
        <v>3155</v>
      </c>
      <c r="J1017" s="39" t="s">
        <v>124</v>
      </c>
      <c r="L1017" s="39" t="s">
        <v>3156</v>
      </c>
      <c r="M1017" s="39" t="s">
        <v>3145</v>
      </c>
      <c r="N1017" s="39" t="s">
        <v>3157</v>
      </c>
      <c r="O1017" s="39" t="s">
        <v>55</v>
      </c>
      <c r="P1017" s="39" t="s">
        <v>65</v>
      </c>
      <c r="Q1017" s="40">
        <v>2350</v>
      </c>
      <c r="R1017" s="40">
        <v>2591.2720115243424</v>
      </c>
    </row>
    <row r="1018" spans="1:18" s="39" customFormat="1" ht="31.25" customHeight="1" x14ac:dyDescent="0.2">
      <c r="A1018" s="39" t="s">
        <v>3158</v>
      </c>
      <c r="B1018" s="39" t="s">
        <v>72</v>
      </c>
      <c r="C1018" s="39" t="s">
        <v>132</v>
      </c>
      <c r="D1018" s="39" t="s">
        <v>121</v>
      </c>
      <c r="E1018" s="39" t="s">
        <v>133</v>
      </c>
      <c r="F1018" s="39" t="s">
        <v>1623</v>
      </c>
      <c r="J1018" s="39" t="s">
        <v>124</v>
      </c>
      <c r="L1018" s="39" t="s">
        <v>3159</v>
      </c>
      <c r="M1018" s="39" t="s">
        <v>3145</v>
      </c>
      <c r="O1018" s="39" t="s">
        <v>55</v>
      </c>
      <c r="Q1018" s="40"/>
      <c r="R1018" s="40" t="s">
        <v>1604</v>
      </c>
    </row>
    <row r="1019" spans="1:18" s="39" customFormat="1" ht="31.25" customHeight="1" x14ac:dyDescent="0.2">
      <c r="A1019" s="39" t="s">
        <v>3160</v>
      </c>
      <c r="B1019" s="39" t="s">
        <v>72</v>
      </c>
      <c r="C1019" s="39" t="s">
        <v>132</v>
      </c>
      <c r="D1019" s="39" t="s">
        <v>137</v>
      </c>
      <c r="E1019" s="39" t="s">
        <v>133</v>
      </c>
      <c r="F1019" s="39" t="s">
        <v>1623</v>
      </c>
      <c r="J1019" s="39" t="s">
        <v>124</v>
      </c>
      <c r="L1019" s="39" t="s">
        <v>3161</v>
      </c>
      <c r="M1019" s="39" t="s">
        <v>3145</v>
      </c>
      <c r="N1019" s="39" t="s">
        <v>3162</v>
      </c>
      <c r="O1019" s="39" t="s">
        <v>55</v>
      </c>
      <c r="P1019" s="39" t="s">
        <v>65</v>
      </c>
      <c r="Q1019" s="40"/>
      <c r="R1019" s="40">
        <v>0</v>
      </c>
    </row>
    <row r="1020" spans="1:18" s="39" customFormat="1" ht="31.25" customHeight="1" x14ac:dyDescent="0.2">
      <c r="A1020" s="39" t="s">
        <v>3163</v>
      </c>
      <c r="B1020" s="39" t="s">
        <v>72</v>
      </c>
      <c r="C1020" s="39" t="s">
        <v>132</v>
      </c>
      <c r="D1020" s="39" t="s">
        <v>137</v>
      </c>
      <c r="E1020" s="39" t="s">
        <v>133</v>
      </c>
      <c r="F1020" s="39" t="s">
        <v>3164</v>
      </c>
      <c r="J1020" s="39" t="s">
        <v>124</v>
      </c>
      <c r="L1020" s="39" t="s">
        <v>3165</v>
      </c>
      <c r="M1020" s="39" t="s">
        <v>3145</v>
      </c>
      <c r="N1020" s="39" t="s">
        <v>3166</v>
      </c>
      <c r="O1020" s="39" t="s">
        <v>55</v>
      </c>
      <c r="P1020" s="39" t="s">
        <v>65</v>
      </c>
      <c r="Q1020" s="40">
        <v>150</v>
      </c>
      <c r="R1020" s="40">
        <v>165.40034116112824</v>
      </c>
    </row>
    <row r="1021" spans="1:18" s="39" customFormat="1" ht="31.25" customHeight="1" x14ac:dyDescent="0.2">
      <c r="A1021" s="39" t="s">
        <v>3167</v>
      </c>
      <c r="B1021" s="39" t="s">
        <v>72</v>
      </c>
      <c r="C1021" s="39" t="s">
        <v>120</v>
      </c>
      <c r="D1021" s="39" t="s">
        <v>137</v>
      </c>
      <c r="E1021" s="39" t="s">
        <v>166</v>
      </c>
      <c r="F1021" s="39" t="s">
        <v>3168</v>
      </c>
      <c r="J1021" s="39" t="s">
        <v>124</v>
      </c>
      <c r="L1021" s="39" t="s">
        <v>3169</v>
      </c>
      <c r="M1021" s="39" t="s">
        <v>3145</v>
      </c>
      <c r="N1021" s="39" t="s">
        <v>3170</v>
      </c>
      <c r="O1021" s="39" t="s">
        <v>55</v>
      </c>
      <c r="P1021" s="39" t="s">
        <v>65</v>
      </c>
      <c r="Q1021" s="40">
        <v>122</v>
      </c>
      <c r="R1021" s="40">
        <v>134.52561081105097</v>
      </c>
    </row>
    <row r="1022" spans="1:18" s="39" customFormat="1" ht="31.25" customHeight="1" x14ac:dyDescent="0.2">
      <c r="A1022" s="39" t="s">
        <v>3171</v>
      </c>
      <c r="B1022" s="39" t="s">
        <v>72</v>
      </c>
      <c r="C1022" s="39" t="s">
        <v>132</v>
      </c>
      <c r="D1022" s="39" t="s">
        <v>137</v>
      </c>
      <c r="E1022" s="39" t="s">
        <v>133</v>
      </c>
      <c r="F1022" s="39" t="s">
        <v>1623</v>
      </c>
      <c r="J1022" s="39" t="s">
        <v>124</v>
      </c>
      <c r="L1022" s="39" t="s">
        <v>3172</v>
      </c>
      <c r="M1022" s="39" t="s">
        <v>3145</v>
      </c>
      <c r="N1022" s="39" t="s">
        <v>3173</v>
      </c>
      <c r="O1022" s="39" t="s">
        <v>55</v>
      </c>
      <c r="P1022" s="39" t="s">
        <v>65</v>
      </c>
      <c r="Q1022" s="40"/>
      <c r="R1022" s="40">
        <v>0</v>
      </c>
    </row>
    <row r="1023" spans="1:18" s="39" customFormat="1" ht="31.25" customHeight="1" x14ac:dyDescent="0.2">
      <c r="A1023" s="39" t="s">
        <v>3174</v>
      </c>
      <c r="B1023" s="39" t="s">
        <v>72</v>
      </c>
      <c r="C1023" s="39" t="s">
        <v>132</v>
      </c>
      <c r="D1023" s="39" t="s">
        <v>137</v>
      </c>
      <c r="E1023" s="39" t="s">
        <v>133</v>
      </c>
      <c r="F1023" s="39" t="s">
        <v>1623</v>
      </c>
      <c r="J1023" s="39" t="s">
        <v>124</v>
      </c>
      <c r="L1023" s="39" t="s">
        <v>3175</v>
      </c>
      <c r="M1023" s="39" t="s">
        <v>3176</v>
      </c>
      <c r="N1023" s="39" t="s">
        <v>3177</v>
      </c>
      <c r="O1023" s="39" t="s">
        <v>55</v>
      </c>
      <c r="P1023" s="39" t="s">
        <v>65</v>
      </c>
      <c r="Q1023" s="40"/>
      <c r="R1023" s="40">
        <v>0</v>
      </c>
    </row>
    <row r="1024" spans="1:18" s="39" customFormat="1" ht="31.25" customHeight="1" x14ac:dyDescent="0.2">
      <c r="A1024" s="39" t="s">
        <v>3178</v>
      </c>
      <c r="B1024" s="39" t="s">
        <v>72</v>
      </c>
      <c r="C1024" s="39" t="s">
        <v>120</v>
      </c>
      <c r="D1024" s="55" t="s">
        <v>121</v>
      </c>
      <c r="E1024" s="39" t="s">
        <v>133</v>
      </c>
      <c r="F1024" s="39" t="s">
        <v>3179</v>
      </c>
      <c r="J1024" s="39" t="s">
        <v>124</v>
      </c>
      <c r="L1024" s="39" t="s">
        <v>3180</v>
      </c>
      <c r="M1024" s="39" t="s">
        <v>3181</v>
      </c>
      <c r="N1024" s="39" t="s">
        <v>3182</v>
      </c>
      <c r="O1024" s="39" t="s">
        <v>55</v>
      </c>
      <c r="P1024" s="39" t="s">
        <v>65</v>
      </c>
      <c r="Q1024" s="40">
        <v>25</v>
      </c>
      <c r="R1024" s="40">
        <v>27.566723526854709</v>
      </c>
    </row>
    <row r="1025" spans="1:18" s="39" customFormat="1" ht="31.25" customHeight="1" x14ac:dyDescent="0.2">
      <c r="A1025" s="39" t="s">
        <v>3183</v>
      </c>
      <c r="B1025" s="39" t="s">
        <v>72</v>
      </c>
      <c r="C1025" s="39" t="s">
        <v>226</v>
      </c>
      <c r="D1025" s="39" t="s">
        <v>121</v>
      </c>
      <c r="E1025" s="39" t="s">
        <v>133</v>
      </c>
      <c r="F1025" s="39" t="s">
        <v>3184</v>
      </c>
      <c r="G1025" s="39" t="s">
        <v>125</v>
      </c>
      <c r="H1025" s="39" t="s">
        <v>162</v>
      </c>
      <c r="I1025" s="39" t="s">
        <v>158</v>
      </c>
      <c r="J1025" s="39" t="s">
        <v>124</v>
      </c>
      <c r="K1025" s="39" t="s">
        <v>5557</v>
      </c>
      <c r="L1025" s="39" t="s">
        <v>3185</v>
      </c>
      <c r="M1025" s="39" t="s">
        <v>3186</v>
      </c>
      <c r="N1025" s="39" t="s">
        <v>3187</v>
      </c>
      <c r="O1025" s="39" t="s">
        <v>52</v>
      </c>
      <c r="P1025" s="39" t="s">
        <v>65</v>
      </c>
      <c r="Q1025" s="40">
        <v>114</v>
      </c>
      <c r="R1025" s="40">
        <v>125.70425928245747</v>
      </c>
    </row>
    <row r="1026" spans="1:18" s="39" customFormat="1" ht="13.45" customHeight="1" x14ac:dyDescent="0.2">
      <c r="A1026" s="39" t="s">
        <v>3188</v>
      </c>
      <c r="B1026" s="39" t="s">
        <v>72</v>
      </c>
      <c r="C1026" s="39" t="s">
        <v>280</v>
      </c>
      <c r="D1026" s="39" t="s">
        <v>137</v>
      </c>
      <c r="E1026" s="39" t="s">
        <v>133</v>
      </c>
      <c r="F1026" s="39" t="s">
        <v>3189</v>
      </c>
      <c r="G1026" s="39" t="s">
        <v>125</v>
      </c>
      <c r="H1026" s="39" t="s">
        <v>152</v>
      </c>
      <c r="I1026" s="39" t="s">
        <v>323</v>
      </c>
      <c r="J1026" s="39" t="s">
        <v>124</v>
      </c>
      <c r="K1026" s="39" t="s">
        <v>5557</v>
      </c>
      <c r="L1026" s="62" t="s">
        <v>3190</v>
      </c>
      <c r="M1026" s="76" t="s">
        <v>3191</v>
      </c>
      <c r="O1026" s="39" t="s">
        <v>52</v>
      </c>
      <c r="P1026" s="39" t="s">
        <v>65</v>
      </c>
      <c r="Q1026" s="40">
        <v>10</v>
      </c>
      <c r="R1026" s="40">
        <v>11.026689410741882</v>
      </c>
    </row>
    <row r="1027" spans="1:18" s="39" customFormat="1" ht="13.45" customHeight="1" x14ac:dyDescent="0.2">
      <c r="A1027" s="39" t="s">
        <v>3192</v>
      </c>
      <c r="B1027" s="39" t="s">
        <v>72</v>
      </c>
      <c r="C1027" s="39" t="s">
        <v>177</v>
      </c>
      <c r="D1027" s="39" t="s">
        <v>137</v>
      </c>
      <c r="E1027" s="39" t="s">
        <v>133</v>
      </c>
      <c r="F1027" s="39" t="s">
        <v>3193</v>
      </c>
      <c r="G1027" s="39" t="s">
        <v>125</v>
      </c>
      <c r="H1027" s="39" t="s">
        <v>860</v>
      </c>
      <c r="J1027" s="39" t="s">
        <v>124</v>
      </c>
      <c r="K1027" s="39" t="s">
        <v>5557</v>
      </c>
      <c r="L1027" s="39" t="s">
        <v>3194</v>
      </c>
      <c r="M1027" s="39" t="s">
        <v>3195</v>
      </c>
      <c r="N1027" s="39" t="s">
        <v>3196</v>
      </c>
      <c r="O1027" s="39" t="s">
        <v>55</v>
      </c>
      <c r="P1027" s="39" t="s">
        <v>65</v>
      </c>
      <c r="Q1027" s="40">
        <v>10</v>
      </c>
      <c r="R1027" s="40">
        <v>11.026689410741882</v>
      </c>
    </row>
    <row r="1028" spans="1:18" s="39" customFormat="1" ht="13.45" customHeight="1" x14ac:dyDescent="0.2">
      <c r="A1028" s="39" t="s">
        <v>3197</v>
      </c>
      <c r="B1028" s="39" t="s">
        <v>72</v>
      </c>
      <c r="C1028" s="39" t="s">
        <v>177</v>
      </c>
      <c r="D1028" s="55" t="s">
        <v>121</v>
      </c>
      <c r="E1028" s="39" t="s">
        <v>251</v>
      </c>
      <c r="F1028" s="39" t="s">
        <v>3198</v>
      </c>
      <c r="G1028" s="39" t="s">
        <v>125</v>
      </c>
      <c r="H1028" s="39" t="s">
        <v>162</v>
      </c>
      <c r="J1028" s="39" t="s">
        <v>124</v>
      </c>
      <c r="K1028" s="39" t="s">
        <v>5557</v>
      </c>
      <c r="L1028" s="39" t="s">
        <v>3199</v>
      </c>
      <c r="M1028" s="39" t="s">
        <v>3200</v>
      </c>
      <c r="O1028" s="39" t="s">
        <v>52</v>
      </c>
      <c r="P1028" s="39" t="s">
        <v>65</v>
      </c>
      <c r="Q1028" s="40">
        <v>40</v>
      </c>
      <c r="R1028" s="40">
        <v>44.10675764296753</v>
      </c>
    </row>
    <row r="1029" spans="1:18" s="39" customFormat="1" ht="13.45" customHeight="1" x14ac:dyDescent="0.2">
      <c r="A1029" s="39" t="s">
        <v>3201</v>
      </c>
      <c r="B1029" s="39" t="s">
        <v>72</v>
      </c>
      <c r="C1029" s="39" t="s">
        <v>177</v>
      </c>
      <c r="D1029" s="55" t="s">
        <v>121</v>
      </c>
      <c r="E1029" s="39" t="s">
        <v>251</v>
      </c>
      <c r="F1029" s="39" t="s">
        <v>3202</v>
      </c>
      <c r="G1029" s="39" t="s">
        <v>125</v>
      </c>
      <c r="H1029" s="39" t="s">
        <v>162</v>
      </c>
      <c r="J1029" s="39" t="s">
        <v>124</v>
      </c>
      <c r="K1029" s="39" t="s">
        <v>5557</v>
      </c>
      <c r="L1029" s="39" t="s">
        <v>3203</v>
      </c>
      <c r="M1029" s="39" t="s">
        <v>3200</v>
      </c>
      <c r="O1029" s="39" t="s">
        <v>52</v>
      </c>
      <c r="P1029" s="39" t="s">
        <v>65</v>
      </c>
      <c r="Q1029" s="40">
        <v>2</v>
      </c>
      <c r="R1029" s="40">
        <v>2.2053378821483767</v>
      </c>
    </row>
    <row r="1030" spans="1:18" s="39" customFormat="1" ht="13.45" customHeight="1" x14ac:dyDescent="0.2">
      <c r="A1030" s="39" t="s">
        <v>3204</v>
      </c>
      <c r="B1030" s="39" t="s">
        <v>72</v>
      </c>
      <c r="C1030" s="39" t="s">
        <v>177</v>
      </c>
      <c r="D1030" s="55" t="s">
        <v>121</v>
      </c>
      <c r="E1030" s="39" t="s">
        <v>251</v>
      </c>
      <c r="F1030" s="39" t="s">
        <v>3205</v>
      </c>
      <c r="G1030" s="39" t="s">
        <v>125</v>
      </c>
      <c r="H1030" s="39" t="s">
        <v>162</v>
      </c>
      <c r="J1030" s="39" t="s">
        <v>124</v>
      </c>
      <c r="K1030" s="39" t="s">
        <v>5557</v>
      </c>
      <c r="L1030" s="39" t="s">
        <v>3206</v>
      </c>
      <c r="M1030" s="39" t="s">
        <v>3200</v>
      </c>
      <c r="O1030" s="39" t="s">
        <v>52</v>
      </c>
      <c r="P1030" s="39" t="s">
        <v>65</v>
      </c>
      <c r="Q1030" s="40">
        <v>21</v>
      </c>
      <c r="R1030" s="40">
        <v>23.156047762557954</v>
      </c>
    </row>
    <row r="1031" spans="1:18" s="39" customFormat="1" ht="13.45" customHeight="1" x14ac:dyDescent="0.2">
      <c r="A1031" s="39" t="s">
        <v>3207</v>
      </c>
      <c r="B1031" s="39" t="s">
        <v>72</v>
      </c>
      <c r="C1031" s="39" t="s">
        <v>120</v>
      </c>
      <c r="D1031" s="55" t="s">
        <v>121</v>
      </c>
      <c r="E1031" s="39" t="s">
        <v>251</v>
      </c>
      <c r="F1031" s="39" t="s">
        <v>3208</v>
      </c>
      <c r="G1031" s="39" t="s">
        <v>125</v>
      </c>
      <c r="H1031" s="39" t="s">
        <v>162</v>
      </c>
      <c r="J1031" s="39" t="s">
        <v>124</v>
      </c>
      <c r="K1031" s="39" t="s">
        <v>5557</v>
      </c>
      <c r="L1031" s="39" t="s">
        <v>3209</v>
      </c>
      <c r="M1031" s="39" t="s">
        <v>3200</v>
      </c>
      <c r="O1031" s="39" t="s">
        <v>52</v>
      </c>
      <c r="P1031" s="39" t="s">
        <v>65</v>
      </c>
      <c r="Q1031" s="40">
        <v>0</v>
      </c>
      <c r="R1031" s="40">
        <v>0</v>
      </c>
    </row>
    <row r="1032" spans="1:18" s="39" customFormat="1" ht="13.45" customHeight="1" x14ac:dyDescent="0.2">
      <c r="A1032" s="39" t="s">
        <v>3210</v>
      </c>
      <c r="B1032" s="39" t="s">
        <v>72</v>
      </c>
      <c r="C1032" s="39" t="s">
        <v>177</v>
      </c>
      <c r="D1032" s="39" t="s">
        <v>137</v>
      </c>
      <c r="E1032" s="39" t="s">
        <v>172</v>
      </c>
      <c r="F1032" s="39" t="s">
        <v>3211</v>
      </c>
      <c r="G1032" s="39" t="s">
        <v>134</v>
      </c>
      <c r="H1032" s="39" t="s">
        <v>125</v>
      </c>
      <c r="J1032" s="39" t="s">
        <v>124</v>
      </c>
      <c r="K1032" s="39" t="s">
        <v>5557</v>
      </c>
      <c r="L1032" s="39" t="s">
        <v>3212</v>
      </c>
      <c r="M1032" s="76" t="s">
        <v>3200</v>
      </c>
      <c r="N1032" s="76" t="s">
        <v>3213</v>
      </c>
      <c r="O1032" s="39" t="s">
        <v>52</v>
      </c>
      <c r="P1032" s="39" t="s">
        <v>65</v>
      </c>
      <c r="Q1032" s="40">
        <v>15</v>
      </c>
      <c r="R1032" s="40">
        <v>16.540034116112825</v>
      </c>
    </row>
    <row r="1033" spans="1:18" s="39" customFormat="1" ht="13.45" customHeight="1" x14ac:dyDescent="0.2">
      <c r="A1033" s="39" t="s">
        <v>3214</v>
      </c>
      <c r="B1033" s="39" t="s">
        <v>72</v>
      </c>
      <c r="C1033" s="39" t="s">
        <v>226</v>
      </c>
      <c r="D1033" s="39" t="s">
        <v>160</v>
      </c>
      <c r="E1033" s="39" t="s">
        <v>133</v>
      </c>
      <c r="F1033" s="39" t="s">
        <v>3215</v>
      </c>
      <c r="G1033" s="39" t="s">
        <v>158</v>
      </c>
      <c r="H1033" s="39" t="s">
        <v>125</v>
      </c>
      <c r="J1033" s="39" t="s">
        <v>124</v>
      </c>
      <c r="K1033" s="39" t="s">
        <v>5557</v>
      </c>
      <c r="L1033" s="39" t="s">
        <v>3216</v>
      </c>
      <c r="M1033" s="39" t="s">
        <v>3217</v>
      </c>
      <c r="N1033" s="39" t="s">
        <v>3218</v>
      </c>
      <c r="O1033" s="39" t="s">
        <v>52</v>
      </c>
      <c r="P1033" s="39" t="s">
        <v>65</v>
      </c>
      <c r="Q1033" s="40">
        <v>29</v>
      </c>
      <c r="R1033" s="40">
        <v>31.97739929115146</v>
      </c>
    </row>
    <row r="1034" spans="1:18" s="39" customFormat="1" ht="13.45" customHeight="1" x14ac:dyDescent="0.2">
      <c r="A1034" s="39" t="s">
        <v>3219</v>
      </c>
      <c r="B1034" s="39" t="s">
        <v>72</v>
      </c>
      <c r="C1034" s="39" t="s">
        <v>177</v>
      </c>
      <c r="D1034" s="39" t="s">
        <v>137</v>
      </c>
      <c r="E1034" s="39" t="s">
        <v>251</v>
      </c>
      <c r="F1034" s="39" t="s">
        <v>3220</v>
      </c>
      <c r="G1034" s="39" t="s">
        <v>125</v>
      </c>
      <c r="H1034" s="39" t="s">
        <v>208</v>
      </c>
      <c r="J1034" s="39" t="s">
        <v>124</v>
      </c>
      <c r="K1034" s="39" t="s">
        <v>5557</v>
      </c>
      <c r="L1034" s="39" t="s">
        <v>3221</v>
      </c>
      <c r="M1034" s="76" t="s">
        <v>3222</v>
      </c>
      <c r="O1034" s="39" t="s">
        <v>53</v>
      </c>
      <c r="P1034" s="39" t="s">
        <v>65</v>
      </c>
      <c r="Q1034" s="40">
        <v>10</v>
      </c>
      <c r="R1034" s="40">
        <v>11.026689410741882</v>
      </c>
    </row>
    <row r="1035" spans="1:18" s="39" customFormat="1" ht="13.45" customHeight="1" x14ac:dyDescent="0.2">
      <c r="A1035" s="39" t="s">
        <v>3223</v>
      </c>
      <c r="B1035" s="39" t="s">
        <v>72</v>
      </c>
      <c r="C1035" s="39" t="s">
        <v>177</v>
      </c>
      <c r="D1035" s="55" t="s">
        <v>121</v>
      </c>
      <c r="E1035" s="39" t="s">
        <v>172</v>
      </c>
      <c r="F1035" s="39" t="s">
        <v>3189</v>
      </c>
      <c r="G1035" s="39" t="s">
        <v>125</v>
      </c>
      <c r="H1035" s="39" t="s">
        <v>153</v>
      </c>
      <c r="I1035" s="39" t="s">
        <v>134</v>
      </c>
      <c r="J1035" s="39" t="s">
        <v>124</v>
      </c>
      <c r="K1035" s="39" t="s">
        <v>5557</v>
      </c>
      <c r="L1035" s="39" t="s">
        <v>3224</v>
      </c>
      <c r="M1035" s="39" t="s">
        <v>3225</v>
      </c>
      <c r="O1035" s="39" t="s">
        <v>52</v>
      </c>
      <c r="P1035" s="39" t="s">
        <v>65</v>
      </c>
      <c r="Q1035" s="40">
        <v>10</v>
      </c>
      <c r="R1035" s="40">
        <v>11.026689410741882</v>
      </c>
    </row>
    <row r="1036" spans="1:18" s="39" customFormat="1" ht="13.45" customHeight="1" x14ac:dyDescent="0.2">
      <c r="A1036" s="50" t="s">
        <v>3226</v>
      </c>
      <c r="B1036" s="50" t="s">
        <v>72</v>
      </c>
      <c r="C1036" s="50" t="s">
        <v>177</v>
      </c>
      <c r="D1036" s="91" t="s">
        <v>121</v>
      </c>
      <c r="E1036" s="50" t="s">
        <v>133</v>
      </c>
      <c r="F1036" s="50" t="s">
        <v>3227</v>
      </c>
      <c r="G1036" s="50" t="s">
        <v>153</v>
      </c>
      <c r="H1036" s="50"/>
      <c r="I1036" s="50"/>
      <c r="J1036" s="50" t="s">
        <v>124</v>
      </c>
      <c r="K1036" s="50" t="s">
        <v>5557</v>
      </c>
      <c r="L1036" s="50" t="s">
        <v>3228</v>
      </c>
      <c r="M1036" s="50" t="s">
        <v>3225</v>
      </c>
      <c r="N1036" s="50"/>
      <c r="O1036" s="50" t="s">
        <v>52</v>
      </c>
      <c r="P1036" s="50" t="s">
        <v>65</v>
      </c>
      <c r="Q1036" s="97">
        <v>30</v>
      </c>
      <c r="R1036" s="40">
        <v>33.080068232225649</v>
      </c>
    </row>
    <row r="1037" spans="1:18" s="39" customFormat="1" ht="13.45" customHeight="1" x14ac:dyDescent="0.2">
      <c r="A1037" s="39" t="s">
        <v>3229</v>
      </c>
      <c r="B1037" s="39" t="s">
        <v>72</v>
      </c>
      <c r="C1037" s="39" t="s">
        <v>280</v>
      </c>
      <c r="D1037" s="39" t="s">
        <v>137</v>
      </c>
      <c r="E1037" s="39" t="s">
        <v>133</v>
      </c>
      <c r="F1037" s="39" t="s">
        <v>3230</v>
      </c>
      <c r="G1037" s="39" t="s">
        <v>125</v>
      </c>
      <c r="H1037" s="39" t="s">
        <v>162</v>
      </c>
      <c r="J1037" s="39" t="s">
        <v>124</v>
      </c>
      <c r="K1037" s="39" t="s">
        <v>5557</v>
      </c>
      <c r="L1037" s="39" t="s">
        <v>3231</v>
      </c>
      <c r="M1037" s="160" t="s">
        <v>3232</v>
      </c>
      <c r="N1037" s="39" t="s">
        <v>3233</v>
      </c>
      <c r="O1037" s="39" t="s">
        <v>52</v>
      </c>
      <c r="P1037" s="39" t="s">
        <v>65</v>
      </c>
      <c r="Q1037" s="40">
        <v>72</v>
      </c>
      <c r="R1037" s="40">
        <v>79.39216375734155</v>
      </c>
    </row>
    <row r="1038" spans="1:18" s="39" customFormat="1" ht="13.45" customHeight="1" x14ac:dyDescent="0.2">
      <c r="A1038" s="39" t="s">
        <v>3234</v>
      </c>
      <c r="B1038" s="39" t="s">
        <v>72</v>
      </c>
      <c r="C1038" s="39" t="s">
        <v>177</v>
      </c>
      <c r="D1038" s="39" t="s">
        <v>121</v>
      </c>
      <c r="E1038" s="39" t="s">
        <v>147</v>
      </c>
      <c r="F1038" s="39" t="s">
        <v>3235</v>
      </c>
      <c r="G1038" s="39" t="s">
        <v>125</v>
      </c>
      <c r="H1038" s="39" t="s">
        <v>162</v>
      </c>
      <c r="J1038" s="39" t="s">
        <v>124</v>
      </c>
      <c r="K1038" s="39" t="s">
        <v>5557</v>
      </c>
      <c r="L1038" s="39" t="s">
        <v>3236</v>
      </c>
      <c r="M1038" s="39" t="s">
        <v>3232</v>
      </c>
      <c r="N1038" s="39" t="s">
        <v>3187</v>
      </c>
      <c r="O1038" s="39" t="s">
        <v>52</v>
      </c>
      <c r="P1038" s="39" t="s">
        <v>65</v>
      </c>
      <c r="Q1038" s="40">
        <v>55</v>
      </c>
      <c r="R1038" s="40">
        <v>60.646791759080358</v>
      </c>
    </row>
    <row r="1039" spans="1:18" s="39" customFormat="1" ht="13.45" customHeight="1" x14ac:dyDescent="0.2">
      <c r="A1039" s="39" t="s">
        <v>3237</v>
      </c>
      <c r="B1039" s="39" t="s">
        <v>72</v>
      </c>
      <c r="C1039" s="39" t="s">
        <v>120</v>
      </c>
      <c r="D1039" s="39" t="s">
        <v>137</v>
      </c>
      <c r="E1039" s="39" t="s">
        <v>133</v>
      </c>
      <c r="F1039" s="39" t="s">
        <v>3189</v>
      </c>
      <c r="G1039" s="39" t="s">
        <v>125</v>
      </c>
      <c r="H1039" s="39" t="s">
        <v>162</v>
      </c>
      <c r="I1039" s="39" t="s">
        <v>152</v>
      </c>
      <c r="J1039" s="39" t="s">
        <v>124</v>
      </c>
      <c r="K1039" s="39" t="s">
        <v>5557</v>
      </c>
      <c r="L1039" s="62" t="s">
        <v>3238</v>
      </c>
      <c r="M1039" s="166" t="s">
        <v>3239</v>
      </c>
      <c r="N1039" s="39" t="s">
        <v>3187</v>
      </c>
      <c r="O1039" s="39" t="s">
        <v>52</v>
      </c>
      <c r="P1039" s="39" t="s">
        <v>65</v>
      </c>
      <c r="Q1039" s="40">
        <v>10</v>
      </c>
      <c r="R1039" s="40">
        <v>11.026689410741882</v>
      </c>
    </row>
    <row r="1040" spans="1:18" s="39" customFormat="1" ht="13.45" customHeight="1" x14ac:dyDescent="0.2">
      <c r="A1040" s="39" t="s">
        <v>3240</v>
      </c>
      <c r="B1040" s="39" t="s">
        <v>72</v>
      </c>
      <c r="C1040" s="39" t="s">
        <v>120</v>
      </c>
      <c r="D1040" s="55" t="s">
        <v>121</v>
      </c>
      <c r="E1040" s="39" t="s">
        <v>166</v>
      </c>
      <c r="F1040" s="39" t="s">
        <v>3241</v>
      </c>
      <c r="G1040" s="39" t="s">
        <v>125</v>
      </c>
      <c r="H1040" s="39" t="s">
        <v>162</v>
      </c>
      <c r="J1040" s="39" t="s">
        <v>124</v>
      </c>
      <c r="K1040" s="39" t="s">
        <v>5557</v>
      </c>
      <c r="L1040" s="39" t="s">
        <v>3242</v>
      </c>
      <c r="M1040" s="160" t="s">
        <v>3243</v>
      </c>
      <c r="N1040" s="39" t="s">
        <v>3244</v>
      </c>
      <c r="O1040" s="39" t="s">
        <v>52</v>
      </c>
      <c r="P1040" s="94" t="s">
        <v>65</v>
      </c>
      <c r="Q1040" s="40">
        <v>60</v>
      </c>
      <c r="R1040" s="40">
        <v>66.160136464451298</v>
      </c>
    </row>
    <row r="1041" spans="1:18" s="39" customFormat="1" ht="13.45" customHeight="1" x14ac:dyDescent="0.2">
      <c r="A1041" s="39" t="s">
        <v>3245</v>
      </c>
      <c r="B1041" s="39" t="s">
        <v>72</v>
      </c>
      <c r="C1041" s="39" t="s">
        <v>120</v>
      </c>
      <c r="D1041" s="39" t="s">
        <v>160</v>
      </c>
      <c r="E1041" s="39" t="s">
        <v>251</v>
      </c>
      <c r="F1041" s="39" t="s">
        <v>3246</v>
      </c>
      <c r="G1041" s="39" t="s">
        <v>125</v>
      </c>
      <c r="H1041" s="39" t="s">
        <v>162</v>
      </c>
      <c r="J1041" s="39" t="s">
        <v>124</v>
      </c>
      <c r="K1041" s="39" t="s">
        <v>5557</v>
      </c>
      <c r="L1041" s="39" t="s">
        <v>3247</v>
      </c>
      <c r="M1041" s="39" t="s">
        <v>3232</v>
      </c>
      <c r="N1041" s="39" t="s">
        <v>3248</v>
      </c>
      <c r="O1041" s="39" t="s">
        <v>52</v>
      </c>
      <c r="P1041" s="94" t="s">
        <v>65</v>
      </c>
      <c r="Q1041" s="40">
        <v>164</v>
      </c>
      <c r="R1041" s="40">
        <v>180.83770633616689</v>
      </c>
    </row>
    <row r="1042" spans="1:18" s="39" customFormat="1" ht="13.45" customHeight="1" x14ac:dyDescent="0.2">
      <c r="A1042" s="39" t="s">
        <v>3249</v>
      </c>
      <c r="B1042" s="39" t="s">
        <v>72</v>
      </c>
      <c r="C1042" s="39" t="s">
        <v>177</v>
      </c>
      <c r="D1042" s="55" t="s">
        <v>121</v>
      </c>
      <c r="E1042" s="39" t="s">
        <v>199</v>
      </c>
      <c r="F1042" s="39" t="s">
        <v>3250</v>
      </c>
      <c r="G1042" s="39" t="s">
        <v>153</v>
      </c>
      <c r="H1042" s="39" t="s">
        <v>152</v>
      </c>
      <c r="J1042" s="39" t="s">
        <v>124</v>
      </c>
      <c r="K1042" s="39" t="s">
        <v>5557</v>
      </c>
      <c r="L1042" s="139" t="s">
        <v>3251</v>
      </c>
      <c r="M1042" s="39" t="s">
        <v>3232</v>
      </c>
      <c r="N1042" s="39" t="s">
        <v>3252</v>
      </c>
      <c r="O1042" s="39" t="s">
        <v>52</v>
      </c>
      <c r="P1042" s="94" t="s">
        <v>65</v>
      </c>
      <c r="Q1042" s="40">
        <v>20</v>
      </c>
      <c r="R1042" s="40">
        <v>22.053378821483765</v>
      </c>
    </row>
    <row r="1043" spans="1:18" s="39" customFormat="1" ht="13.45" customHeight="1" x14ac:dyDescent="0.2">
      <c r="A1043" s="39" t="s">
        <v>3253</v>
      </c>
      <c r="B1043" s="39" t="s">
        <v>72</v>
      </c>
      <c r="C1043" s="39" t="s">
        <v>177</v>
      </c>
      <c r="D1043" s="39" t="s">
        <v>137</v>
      </c>
      <c r="E1043" s="39" t="s">
        <v>172</v>
      </c>
      <c r="F1043" s="39" t="s">
        <v>3254</v>
      </c>
      <c r="G1043" s="39" t="s">
        <v>125</v>
      </c>
      <c r="H1043" s="39" t="s">
        <v>162</v>
      </c>
      <c r="J1043" s="39" t="s">
        <v>124</v>
      </c>
      <c r="K1043" s="39" t="s">
        <v>5557</v>
      </c>
      <c r="L1043" s="39" t="s">
        <v>3255</v>
      </c>
      <c r="M1043" s="39" t="s">
        <v>3256</v>
      </c>
      <c r="N1043" s="39" t="s">
        <v>3257</v>
      </c>
      <c r="O1043" s="39" t="s">
        <v>55</v>
      </c>
      <c r="P1043" s="39" t="s">
        <v>65</v>
      </c>
      <c r="Q1043" s="40">
        <v>2000</v>
      </c>
      <c r="R1043" s="40">
        <v>2205.3378821483766</v>
      </c>
    </row>
    <row r="1044" spans="1:18" s="39" customFormat="1" ht="13.45" customHeight="1" x14ac:dyDescent="0.2">
      <c r="A1044" s="39" t="s">
        <v>3258</v>
      </c>
      <c r="B1044" s="39" t="s">
        <v>72</v>
      </c>
      <c r="C1044" s="39" t="s">
        <v>120</v>
      </c>
      <c r="D1044" s="55" t="s">
        <v>121</v>
      </c>
      <c r="E1044" s="39" t="s">
        <v>172</v>
      </c>
      <c r="F1044" s="39" t="s">
        <v>3189</v>
      </c>
      <c r="G1044" s="39" t="s">
        <v>125</v>
      </c>
      <c r="H1044" s="39" t="s">
        <v>158</v>
      </c>
      <c r="J1044" s="39" t="s">
        <v>124</v>
      </c>
      <c r="K1044" s="39" t="s">
        <v>5557</v>
      </c>
      <c r="L1044" s="39" t="s">
        <v>3259</v>
      </c>
      <c r="M1044" s="39" t="s">
        <v>3260</v>
      </c>
      <c r="N1044" s="39" t="s">
        <v>3257</v>
      </c>
      <c r="O1044" s="39" t="s">
        <v>52</v>
      </c>
      <c r="P1044" s="39" t="s">
        <v>65</v>
      </c>
      <c r="Q1044" s="40">
        <v>10</v>
      </c>
      <c r="R1044" s="40">
        <v>11.026689410741882</v>
      </c>
    </row>
    <row r="1045" spans="1:18" s="39" customFormat="1" ht="13.45" customHeight="1" x14ac:dyDescent="0.2">
      <c r="A1045" s="39" t="s">
        <v>3261</v>
      </c>
      <c r="B1045" s="39" t="s">
        <v>72</v>
      </c>
      <c r="C1045" s="39" t="s">
        <v>120</v>
      </c>
      <c r="D1045" s="55" t="s">
        <v>121</v>
      </c>
      <c r="E1045" s="39" t="s">
        <v>251</v>
      </c>
      <c r="F1045" s="39" t="s">
        <v>3262</v>
      </c>
      <c r="G1045" s="39" t="s">
        <v>125</v>
      </c>
      <c r="H1045" s="39" t="s">
        <v>860</v>
      </c>
      <c r="J1045" s="39" t="s">
        <v>124</v>
      </c>
      <c r="K1045" s="39" t="s">
        <v>5557</v>
      </c>
      <c r="L1045" s="39" t="s">
        <v>3263</v>
      </c>
      <c r="M1045" s="39" t="s">
        <v>3264</v>
      </c>
      <c r="N1045" s="39" t="s">
        <v>3257</v>
      </c>
      <c r="O1045" s="39" t="s">
        <v>52</v>
      </c>
      <c r="P1045" s="39" t="s">
        <v>65</v>
      </c>
      <c r="Q1045" s="40">
        <v>2</v>
      </c>
      <c r="R1045" s="40">
        <v>2.2053378821483767</v>
      </c>
    </row>
    <row r="1046" spans="1:18" s="39" customFormat="1" ht="13.45" customHeight="1" x14ac:dyDescent="0.2">
      <c r="A1046" s="39" t="s">
        <v>3265</v>
      </c>
      <c r="B1046" s="39" t="s">
        <v>72</v>
      </c>
      <c r="C1046" s="39" t="s">
        <v>120</v>
      </c>
      <c r="D1046" s="55" t="s">
        <v>121</v>
      </c>
      <c r="E1046" s="39" t="s">
        <v>251</v>
      </c>
      <c r="F1046" s="39" t="s">
        <v>3211</v>
      </c>
      <c r="G1046" s="39" t="s">
        <v>125</v>
      </c>
      <c r="H1046" s="39" t="s">
        <v>860</v>
      </c>
      <c r="J1046" s="39" t="s">
        <v>124</v>
      </c>
      <c r="K1046" s="39" t="s">
        <v>5557</v>
      </c>
      <c r="L1046" s="39" t="s">
        <v>3266</v>
      </c>
      <c r="M1046" s="39" t="s">
        <v>3267</v>
      </c>
      <c r="N1046" s="39" t="s">
        <v>3257</v>
      </c>
      <c r="O1046" s="39" t="s">
        <v>52</v>
      </c>
      <c r="P1046" s="39" t="s">
        <v>65</v>
      </c>
      <c r="Q1046" s="40">
        <v>15</v>
      </c>
      <c r="R1046" s="40">
        <v>16.540034116112825</v>
      </c>
    </row>
    <row r="1047" spans="1:18" s="39" customFormat="1" ht="13.45" customHeight="1" x14ac:dyDescent="0.2">
      <c r="A1047" s="39" t="s">
        <v>3268</v>
      </c>
      <c r="B1047" s="39" t="s">
        <v>72</v>
      </c>
      <c r="C1047" s="39" t="s">
        <v>120</v>
      </c>
      <c r="D1047" s="55" t="s">
        <v>121</v>
      </c>
      <c r="E1047" s="39" t="s">
        <v>166</v>
      </c>
      <c r="F1047" s="39" t="s">
        <v>3269</v>
      </c>
      <c r="G1047" s="39" t="s">
        <v>125</v>
      </c>
      <c r="H1047" s="39" t="s">
        <v>860</v>
      </c>
      <c r="J1047" s="39" t="s">
        <v>124</v>
      </c>
      <c r="K1047" s="39" t="s">
        <v>5557</v>
      </c>
      <c r="L1047" s="62" t="s">
        <v>3270</v>
      </c>
      <c r="M1047" s="166" t="s">
        <v>3271</v>
      </c>
      <c r="N1047" s="39" t="s">
        <v>3257</v>
      </c>
      <c r="O1047" s="39" t="s">
        <v>52</v>
      </c>
      <c r="P1047" s="39" t="s">
        <v>65</v>
      </c>
      <c r="Q1047" s="40">
        <v>14</v>
      </c>
      <c r="R1047" s="40">
        <v>15.437365175038636</v>
      </c>
    </row>
    <row r="1048" spans="1:18" s="39" customFormat="1" ht="13.45" customHeight="1" x14ac:dyDescent="0.2">
      <c r="A1048" s="39" t="s">
        <v>3272</v>
      </c>
      <c r="B1048" s="39" t="s">
        <v>72</v>
      </c>
      <c r="C1048" s="39" t="s">
        <v>120</v>
      </c>
      <c r="D1048" s="55" t="s">
        <v>121</v>
      </c>
      <c r="E1048" s="39" t="s">
        <v>166</v>
      </c>
      <c r="F1048" s="39" t="s">
        <v>3273</v>
      </c>
      <c r="G1048" s="39" t="s">
        <v>125</v>
      </c>
      <c r="H1048" s="39" t="s">
        <v>860</v>
      </c>
      <c r="J1048" s="39" t="s">
        <v>157</v>
      </c>
      <c r="K1048" s="39" t="s">
        <v>5561</v>
      </c>
      <c r="L1048" s="39" t="s">
        <v>3274</v>
      </c>
      <c r="M1048" s="39" t="s">
        <v>3275</v>
      </c>
      <c r="N1048" s="39" t="s">
        <v>3257</v>
      </c>
      <c r="O1048" s="39" t="s">
        <v>52</v>
      </c>
      <c r="P1048" s="39" t="s">
        <v>65</v>
      </c>
      <c r="Q1048" s="40">
        <v>24</v>
      </c>
      <c r="R1048" s="40">
        <v>26.46405458578052</v>
      </c>
    </row>
    <row r="1049" spans="1:18" s="39" customFormat="1" ht="13.45" customHeight="1" x14ac:dyDescent="0.2">
      <c r="A1049" s="39" t="s">
        <v>3276</v>
      </c>
      <c r="B1049" s="39" t="s">
        <v>72</v>
      </c>
      <c r="C1049" s="39" t="s">
        <v>120</v>
      </c>
      <c r="D1049" s="55" t="s">
        <v>121</v>
      </c>
      <c r="E1049" s="39" t="s">
        <v>133</v>
      </c>
      <c r="F1049" s="39" t="s">
        <v>3277</v>
      </c>
      <c r="G1049" s="39" t="s">
        <v>323</v>
      </c>
      <c r="H1049" s="39" t="s">
        <v>152</v>
      </c>
      <c r="J1049" s="39" t="s">
        <v>124</v>
      </c>
      <c r="K1049" s="39" t="s">
        <v>5557</v>
      </c>
      <c r="L1049" s="39" t="s">
        <v>3278</v>
      </c>
      <c r="M1049" s="166" t="s">
        <v>3279</v>
      </c>
      <c r="N1049" s="39" t="s">
        <v>3257</v>
      </c>
      <c r="O1049" s="39" t="s">
        <v>52</v>
      </c>
      <c r="P1049" s="39" t="s">
        <v>65</v>
      </c>
      <c r="Q1049" s="40">
        <v>5</v>
      </c>
      <c r="R1049" s="40">
        <v>5.5133447053709412</v>
      </c>
    </row>
    <row r="1050" spans="1:18" s="39" customFormat="1" ht="13.45" customHeight="1" x14ac:dyDescent="0.25">
      <c r="A1050" s="39" t="s">
        <v>3280</v>
      </c>
      <c r="B1050" s="39" t="s">
        <v>72</v>
      </c>
      <c r="C1050" s="39" t="s">
        <v>120</v>
      </c>
      <c r="D1050" s="39" t="s">
        <v>160</v>
      </c>
      <c r="E1050" s="39" t="s">
        <v>172</v>
      </c>
      <c r="F1050" s="39" t="s">
        <v>3281</v>
      </c>
      <c r="G1050" s="39" t="s">
        <v>125</v>
      </c>
      <c r="H1050" s="39" t="s">
        <v>860</v>
      </c>
      <c r="J1050" s="39" t="s">
        <v>124</v>
      </c>
      <c r="K1050" s="39" t="s">
        <v>5557</v>
      </c>
      <c r="L1050" s="167" t="s">
        <v>3282</v>
      </c>
      <c r="M1050" s="39" t="s">
        <v>3232</v>
      </c>
      <c r="N1050" s="146" t="s">
        <v>3283</v>
      </c>
      <c r="O1050" s="39" t="s">
        <v>52</v>
      </c>
      <c r="P1050" s="39" t="s">
        <v>65</v>
      </c>
      <c r="Q1050" s="40">
        <v>108</v>
      </c>
      <c r="R1050" s="40">
        <v>119.08824563601233</v>
      </c>
    </row>
    <row r="1051" spans="1:18" s="39" customFormat="1" ht="13.45" customHeight="1" x14ac:dyDescent="0.2">
      <c r="A1051" s="39" t="s">
        <v>3284</v>
      </c>
      <c r="B1051" s="39" t="s">
        <v>72</v>
      </c>
      <c r="C1051" s="39" t="s">
        <v>120</v>
      </c>
      <c r="D1051" s="55" t="s">
        <v>121</v>
      </c>
      <c r="E1051" s="39" t="s">
        <v>122</v>
      </c>
      <c r="F1051" s="39" t="s">
        <v>3285</v>
      </c>
      <c r="G1051" s="39" t="s">
        <v>125</v>
      </c>
      <c r="H1051" s="39" t="s">
        <v>860</v>
      </c>
      <c r="J1051" s="39" t="s">
        <v>124</v>
      </c>
      <c r="K1051" s="39" t="s">
        <v>5557</v>
      </c>
      <c r="L1051" s="39" t="s">
        <v>3286</v>
      </c>
      <c r="M1051" s="160" t="s">
        <v>3287</v>
      </c>
      <c r="O1051" s="39" t="s">
        <v>54</v>
      </c>
      <c r="P1051" s="39" t="s">
        <v>65</v>
      </c>
      <c r="Q1051" s="40">
        <v>80</v>
      </c>
      <c r="R1051" s="40">
        <v>88.21351528593506</v>
      </c>
    </row>
    <row r="1052" spans="1:18" s="39" customFormat="1" ht="13.45" customHeight="1" x14ac:dyDescent="0.2">
      <c r="A1052" s="39" t="s">
        <v>3288</v>
      </c>
      <c r="B1052" s="39" t="s">
        <v>72</v>
      </c>
      <c r="C1052" s="39" t="s">
        <v>120</v>
      </c>
      <c r="D1052" s="39" t="s">
        <v>121</v>
      </c>
      <c r="E1052" s="39" t="s">
        <v>166</v>
      </c>
      <c r="F1052" s="39" t="s">
        <v>2748</v>
      </c>
      <c r="G1052" s="39" t="s">
        <v>125</v>
      </c>
      <c r="H1052" s="39" t="s">
        <v>162</v>
      </c>
      <c r="J1052" s="39" t="s">
        <v>124</v>
      </c>
      <c r="K1052" s="39" t="s">
        <v>5557</v>
      </c>
      <c r="L1052" s="48" t="s">
        <v>3289</v>
      </c>
      <c r="M1052" s="39" t="s">
        <v>3232</v>
      </c>
      <c r="O1052" s="39" t="s">
        <v>52</v>
      </c>
      <c r="P1052" s="39" t="s">
        <v>65</v>
      </c>
      <c r="Q1052" s="40">
        <v>40</v>
      </c>
      <c r="R1052" s="40">
        <v>44.10675764296753</v>
      </c>
    </row>
    <row r="1053" spans="1:18" s="39" customFormat="1" ht="13.45" customHeight="1" x14ac:dyDescent="0.2">
      <c r="A1053" s="39" t="s">
        <v>3290</v>
      </c>
      <c r="B1053" s="39" t="s">
        <v>72</v>
      </c>
      <c r="C1053" s="39" t="s">
        <v>171</v>
      </c>
      <c r="D1053" s="39" t="s">
        <v>137</v>
      </c>
      <c r="E1053" s="39" t="s">
        <v>133</v>
      </c>
      <c r="F1053" s="39">
        <v>0</v>
      </c>
      <c r="G1053" s="39" t="s">
        <v>125</v>
      </c>
      <c r="H1053" s="39" t="s">
        <v>162</v>
      </c>
      <c r="J1053" s="39" t="s">
        <v>124</v>
      </c>
      <c r="K1053" s="39" t="s">
        <v>5557</v>
      </c>
      <c r="L1053" s="48" t="s">
        <v>3291</v>
      </c>
      <c r="M1053" s="39" t="s">
        <v>3232</v>
      </c>
      <c r="O1053" s="39" t="s">
        <v>52</v>
      </c>
      <c r="P1053" s="39" t="s">
        <v>65</v>
      </c>
      <c r="Q1053" s="40"/>
      <c r="R1053" s="40">
        <v>0</v>
      </c>
    </row>
    <row r="1054" spans="1:18" s="39" customFormat="1" ht="13.45" customHeight="1" x14ac:dyDescent="0.2">
      <c r="A1054" s="39" t="s">
        <v>3292</v>
      </c>
      <c r="B1054" s="39" t="s">
        <v>72</v>
      </c>
      <c r="C1054" s="39" t="s">
        <v>171</v>
      </c>
      <c r="D1054" s="39" t="s">
        <v>137</v>
      </c>
      <c r="E1054" s="39" t="s">
        <v>133</v>
      </c>
      <c r="F1054" s="39">
        <v>0</v>
      </c>
      <c r="G1054" s="39" t="s">
        <v>125</v>
      </c>
      <c r="H1054" s="39" t="s">
        <v>162</v>
      </c>
      <c r="J1054" s="39" t="s">
        <v>124</v>
      </c>
      <c r="K1054" s="39" t="s">
        <v>5557</v>
      </c>
      <c r="L1054" s="39" t="s">
        <v>3293</v>
      </c>
      <c r="M1054" s="39" t="s">
        <v>3232</v>
      </c>
      <c r="O1054" s="39" t="s">
        <v>52</v>
      </c>
      <c r="P1054" s="39" t="s">
        <v>65</v>
      </c>
      <c r="Q1054" s="40"/>
      <c r="R1054" s="40">
        <v>0</v>
      </c>
    </row>
    <row r="1055" spans="1:18" s="39" customFormat="1" ht="13.45" customHeight="1" x14ac:dyDescent="0.2">
      <c r="A1055" s="39" t="s">
        <v>3294</v>
      </c>
      <c r="B1055" s="39" t="s">
        <v>72</v>
      </c>
      <c r="C1055" s="39" t="s">
        <v>120</v>
      </c>
      <c r="D1055" s="39" t="s">
        <v>121</v>
      </c>
      <c r="E1055" s="39" t="s">
        <v>151</v>
      </c>
      <c r="F1055" s="39" t="s">
        <v>295</v>
      </c>
      <c r="G1055" s="39" t="s">
        <v>125</v>
      </c>
      <c r="H1055" s="39" t="s">
        <v>162</v>
      </c>
      <c r="J1055" s="39" t="s">
        <v>124</v>
      </c>
      <c r="K1055" s="39" t="s">
        <v>5557</v>
      </c>
      <c r="L1055" s="48" t="s">
        <v>3295</v>
      </c>
      <c r="M1055" s="39" t="s">
        <v>260</v>
      </c>
      <c r="O1055" s="39" t="s">
        <v>55</v>
      </c>
      <c r="P1055" s="39" t="s">
        <v>65</v>
      </c>
      <c r="Q1055" s="161" t="s">
        <v>295</v>
      </c>
      <c r="R1055" s="40" t="s">
        <v>1604</v>
      </c>
    </row>
    <row r="1056" spans="1:18" s="39" customFormat="1" ht="13.45" customHeight="1" x14ac:dyDescent="0.2">
      <c r="A1056" s="75" t="s">
        <v>3296</v>
      </c>
      <c r="B1056" s="75" t="s">
        <v>71</v>
      </c>
      <c r="C1056" s="75" t="s">
        <v>132</v>
      </c>
      <c r="D1056" s="75" t="s">
        <v>121</v>
      </c>
      <c r="E1056" s="75" t="s">
        <v>133</v>
      </c>
      <c r="F1056" s="75"/>
      <c r="G1056" s="75" t="s">
        <v>158</v>
      </c>
      <c r="H1056" s="75"/>
      <c r="I1056" s="75"/>
      <c r="J1056" s="75" t="s">
        <v>157</v>
      </c>
      <c r="K1056" s="75" t="s">
        <v>5557</v>
      </c>
      <c r="L1056" s="75" t="s">
        <v>3297</v>
      </c>
      <c r="M1056" s="75" t="s">
        <v>3298</v>
      </c>
      <c r="N1056" s="75"/>
      <c r="O1056" s="75" t="s">
        <v>55</v>
      </c>
      <c r="P1056" s="75"/>
      <c r="Q1056" s="100" t="str">
        <f>IFERROR(P1056/VLOOKUP(#REF!,#REF!,3,FALSE),"")</f>
        <v/>
      </c>
      <c r="R1056" s="40" t="s">
        <v>1604</v>
      </c>
    </row>
    <row r="1057" spans="1:18" s="39" customFormat="1" ht="13.45" customHeight="1" x14ac:dyDescent="0.2">
      <c r="A1057" s="39" t="s">
        <v>3299</v>
      </c>
      <c r="B1057" s="39" t="s">
        <v>71</v>
      </c>
      <c r="C1057" s="39" t="s">
        <v>280</v>
      </c>
      <c r="D1057" s="39" t="s">
        <v>121</v>
      </c>
      <c r="E1057" s="39" t="s">
        <v>133</v>
      </c>
      <c r="F1057" s="39" t="s">
        <v>3300</v>
      </c>
      <c r="G1057" s="39" t="s">
        <v>158</v>
      </c>
      <c r="J1057" s="39" t="s">
        <v>157</v>
      </c>
      <c r="K1057" s="39" t="s">
        <v>5557</v>
      </c>
      <c r="L1057" s="39" t="s">
        <v>3301</v>
      </c>
      <c r="M1057" s="39" t="s">
        <v>3302</v>
      </c>
      <c r="O1057" s="39" t="s">
        <v>55</v>
      </c>
      <c r="P1057" s="39" t="s">
        <v>3303</v>
      </c>
      <c r="Q1057" s="40">
        <v>1100</v>
      </c>
      <c r="R1057" s="40">
        <v>9.9987662710573915</v>
      </c>
    </row>
    <row r="1058" spans="1:18" s="39" customFormat="1" ht="13.45" customHeight="1" x14ac:dyDescent="0.2">
      <c r="A1058" s="39" t="s">
        <v>3304</v>
      </c>
      <c r="B1058" s="39" t="s">
        <v>71</v>
      </c>
      <c r="C1058" s="39" t="s">
        <v>280</v>
      </c>
      <c r="D1058" s="39" t="s">
        <v>121</v>
      </c>
      <c r="E1058" s="39" t="s">
        <v>133</v>
      </c>
      <c r="F1058" s="39" t="s">
        <v>3305</v>
      </c>
      <c r="G1058" s="39" t="s">
        <v>158</v>
      </c>
      <c r="J1058" s="39" t="s">
        <v>157</v>
      </c>
      <c r="K1058" s="39" t="s">
        <v>5557</v>
      </c>
      <c r="L1058" s="39" t="s">
        <v>3306</v>
      </c>
      <c r="M1058" s="39" t="s">
        <v>3307</v>
      </c>
      <c r="N1058" s="76" t="s">
        <v>3308</v>
      </c>
      <c r="O1058" s="39" t="s">
        <v>55</v>
      </c>
      <c r="Q1058" s="40"/>
      <c r="R1058" s="40" t="s">
        <v>1604</v>
      </c>
    </row>
    <row r="1059" spans="1:18" s="39" customFormat="1" ht="13.45" customHeight="1" x14ac:dyDescent="0.2">
      <c r="A1059" s="39" t="s">
        <v>3309</v>
      </c>
      <c r="B1059" s="39" t="s">
        <v>71</v>
      </c>
      <c r="C1059" s="60" t="s">
        <v>177</v>
      </c>
      <c r="D1059" s="39" t="s">
        <v>121</v>
      </c>
      <c r="E1059" s="39" t="s">
        <v>172</v>
      </c>
      <c r="F1059" s="39" t="s">
        <v>3310</v>
      </c>
      <c r="G1059" s="39" t="s">
        <v>134</v>
      </c>
      <c r="H1059" s="39" t="s">
        <v>125</v>
      </c>
      <c r="J1059" s="39" t="s">
        <v>124</v>
      </c>
      <c r="K1059" s="39" t="s">
        <v>5557</v>
      </c>
      <c r="L1059" s="39" t="s">
        <v>3311</v>
      </c>
      <c r="M1059" s="39" t="s">
        <v>3312</v>
      </c>
      <c r="O1059" s="39" t="s">
        <v>53</v>
      </c>
      <c r="P1059" s="39" t="s">
        <v>3303</v>
      </c>
      <c r="Q1059" s="40">
        <v>250</v>
      </c>
      <c r="R1059" s="40">
        <v>2.2724468797857709</v>
      </c>
    </row>
    <row r="1060" spans="1:18" s="39" customFormat="1" ht="13.45" customHeight="1" x14ac:dyDescent="0.2">
      <c r="A1060" s="39" t="s">
        <v>3313</v>
      </c>
      <c r="B1060" s="39" t="s">
        <v>71</v>
      </c>
      <c r="C1060" s="39" t="s">
        <v>177</v>
      </c>
      <c r="D1060" s="39" t="s">
        <v>121</v>
      </c>
      <c r="E1060" s="39" t="s">
        <v>133</v>
      </c>
      <c r="F1060" s="39" t="s">
        <v>3314</v>
      </c>
      <c r="G1060" s="39" t="s">
        <v>152</v>
      </c>
      <c r="H1060" s="39" t="s">
        <v>323</v>
      </c>
      <c r="I1060" s="39" t="s">
        <v>153</v>
      </c>
      <c r="J1060" s="39" t="s">
        <v>124</v>
      </c>
      <c r="K1060" s="39" t="s">
        <v>5557</v>
      </c>
      <c r="L1060" s="39" t="s">
        <v>3315</v>
      </c>
      <c r="M1060" s="76" t="s">
        <v>3316</v>
      </c>
      <c r="O1060" s="39" t="s">
        <v>52</v>
      </c>
      <c r="P1060" s="39" t="s">
        <v>3303</v>
      </c>
      <c r="Q1060" s="40">
        <v>4500</v>
      </c>
      <c r="R1060" s="40">
        <v>40.904043836143877</v>
      </c>
    </row>
    <row r="1061" spans="1:18" s="39" customFormat="1" ht="13.45" customHeight="1" x14ac:dyDescent="0.2">
      <c r="A1061" s="50" t="s">
        <v>3317</v>
      </c>
      <c r="B1061" s="50" t="s">
        <v>71</v>
      </c>
      <c r="C1061" s="50" t="s">
        <v>177</v>
      </c>
      <c r="D1061" s="50" t="s">
        <v>137</v>
      </c>
      <c r="E1061" s="50" t="s">
        <v>133</v>
      </c>
      <c r="F1061" s="50" t="s">
        <v>3318</v>
      </c>
      <c r="G1061" s="50" t="s">
        <v>125</v>
      </c>
      <c r="H1061" s="50"/>
      <c r="I1061" s="50"/>
      <c r="J1061" s="50" t="s">
        <v>157</v>
      </c>
      <c r="K1061" s="50" t="s">
        <v>5557</v>
      </c>
      <c r="L1061" s="50" t="s">
        <v>3319</v>
      </c>
      <c r="M1061" s="145" t="s">
        <v>3320</v>
      </c>
      <c r="N1061" s="50"/>
      <c r="O1061" s="50" t="s">
        <v>52</v>
      </c>
      <c r="P1061" s="50" t="s">
        <v>3303</v>
      </c>
      <c r="Q1061" s="97">
        <v>3000</v>
      </c>
      <c r="R1061" s="40">
        <v>27.26936255742925</v>
      </c>
    </row>
    <row r="1062" spans="1:18" s="39" customFormat="1" ht="13.45" customHeight="1" x14ac:dyDescent="0.2">
      <c r="A1062" s="39" t="s">
        <v>3321</v>
      </c>
      <c r="B1062" s="39" t="s">
        <v>71</v>
      </c>
      <c r="C1062" s="39" t="s">
        <v>171</v>
      </c>
      <c r="D1062" s="39" t="s">
        <v>137</v>
      </c>
      <c r="E1062" s="39" t="s">
        <v>133</v>
      </c>
      <c r="F1062" s="39" t="s">
        <v>109</v>
      </c>
      <c r="G1062" s="39" t="s">
        <v>125</v>
      </c>
      <c r="H1062" s="39" t="s">
        <v>3322</v>
      </c>
      <c r="L1062" s="39" t="s">
        <v>3323</v>
      </c>
      <c r="M1062" s="39" t="s">
        <v>3324</v>
      </c>
      <c r="O1062" s="39" t="s">
        <v>52</v>
      </c>
      <c r="Q1062" s="40"/>
      <c r="R1062" s="40" t="s">
        <v>1604</v>
      </c>
    </row>
    <row r="1063" spans="1:18" s="39" customFormat="1" ht="13.45" customHeight="1" x14ac:dyDescent="0.2">
      <c r="A1063" s="39" t="s">
        <v>3325</v>
      </c>
      <c r="B1063" s="39" t="s">
        <v>71</v>
      </c>
      <c r="C1063" s="39" t="s">
        <v>132</v>
      </c>
      <c r="D1063" s="39" t="s">
        <v>121</v>
      </c>
      <c r="E1063" s="39" t="s">
        <v>251</v>
      </c>
      <c r="F1063" s="39" t="s">
        <v>109</v>
      </c>
      <c r="G1063" s="39" t="s">
        <v>125</v>
      </c>
      <c r="H1063" s="39" t="s">
        <v>3322</v>
      </c>
      <c r="L1063" s="39" t="s">
        <v>3326</v>
      </c>
      <c r="M1063" s="39" t="s">
        <v>3324</v>
      </c>
      <c r="O1063" s="39" t="s">
        <v>52</v>
      </c>
      <c r="Q1063" s="40"/>
      <c r="R1063" s="40" t="s">
        <v>1604</v>
      </c>
    </row>
    <row r="1064" spans="1:18" s="39" customFormat="1" ht="13.45" customHeight="1" x14ac:dyDescent="0.2">
      <c r="A1064" s="39" t="s">
        <v>3327</v>
      </c>
      <c r="B1064" s="39" t="s">
        <v>71</v>
      </c>
      <c r="C1064" s="39" t="s">
        <v>132</v>
      </c>
      <c r="D1064" s="39" t="s">
        <v>121</v>
      </c>
      <c r="E1064" s="39" t="s">
        <v>251</v>
      </c>
      <c r="F1064" s="39" t="s">
        <v>109</v>
      </c>
      <c r="G1064" s="39" t="s">
        <v>125</v>
      </c>
      <c r="H1064" s="39" t="s">
        <v>3322</v>
      </c>
      <c r="L1064" s="168" t="s">
        <v>3328</v>
      </c>
      <c r="M1064" s="39" t="s">
        <v>3324</v>
      </c>
      <c r="O1064" s="39" t="s">
        <v>52</v>
      </c>
      <c r="Q1064" s="40"/>
      <c r="R1064" s="40" t="s">
        <v>1604</v>
      </c>
    </row>
    <row r="1065" spans="1:18" s="39" customFormat="1" ht="13.45" customHeight="1" x14ac:dyDescent="0.2">
      <c r="A1065" s="75" t="s">
        <v>3329</v>
      </c>
      <c r="B1065" s="75" t="s">
        <v>73</v>
      </c>
      <c r="C1065" s="75" t="s">
        <v>120</v>
      </c>
      <c r="D1065" s="55" t="s">
        <v>121</v>
      </c>
      <c r="E1065" s="75" t="s">
        <v>151</v>
      </c>
      <c r="F1065" s="75" t="s">
        <v>3330</v>
      </c>
      <c r="G1065" s="75" t="s">
        <v>125</v>
      </c>
      <c r="H1065" s="75"/>
      <c r="I1065" s="75"/>
      <c r="J1065" s="75"/>
      <c r="K1065" s="75"/>
      <c r="L1065" s="75" t="s">
        <v>3331</v>
      </c>
      <c r="M1065" s="75" t="s">
        <v>3332</v>
      </c>
      <c r="N1065" s="75"/>
      <c r="O1065" s="75" t="s">
        <v>52</v>
      </c>
      <c r="P1065" s="75" t="s">
        <v>3333</v>
      </c>
      <c r="Q1065" s="100">
        <v>6500</v>
      </c>
      <c r="R1065" s="40">
        <v>1770.4408397025879</v>
      </c>
    </row>
    <row r="1066" spans="1:18" s="39" customFormat="1" ht="13.45" customHeight="1" x14ac:dyDescent="0.2">
      <c r="A1066" s="39" t="s">
        <v>3334</v>
      </c>
      <c r="B1066" s="39" t="s">
        <v>73</v>
      </c>
      <c r="C1066" s="39" t="s">
        <v>120</v>
      </c>
      <c r="D1066" s="55" t="s">
        <v>121</v>
      </c>
      <c r="E1066" s="39" t="s">
        <v>151</v>
      </c>
      <c r="F1066" s="39" t="s">
        <v>3335</v>
      </c>
      <c r="G1066" s="39" t="s">
        <v>125</v>
      </c>
      <c r="L1066" s="39" t="s">
        <v>3336</v>
      </c>
      <c r="M1066" s="39" t="s">
        <v>3332</v>
      </c>
      <c r="O1066" s="39" t="s">
        <v>52</v>
      </c>
      <c r="P1066" s="39" t="s">
        <v>3333</v>
      </c>
      <c r="Q1066" s="40">
        <v>500</v>
      </c>
      <c r="R1066" s="40">
        <v>136.18775690019908</v>
      </c>
    </row>
    <row r="1067" spans="1:18" s="39" customFormat="1" ht="13.45" customHeight="1" x14ac:dyDescent="0.2">
      <c r="A1067" s="39" t="s">
        <v>3337</v>
      </c>
      <c r="B1067" s="39" t="s">
        <v>73</v>
      </c>
      <c r="C1067" s="39" t="s">
        <v>171</v>
      </c>
      <c r="D1067" s="55" t="s">
        <v>121</v>
      </c>
      <c r="E1067" s="39" t="s">
        <v>151</v>
      </c>
      <c r="F1067" s="39" t="s">
        <v>109</v>
      </c>
      <c r="G1067" s="39" t="s">
        <v>125</v>
      </c>
      <c r="L1067" s="39" t="s">
        <v>3338</v>
      </c>
      <c r="M1067" s="39" t="s">
        <v>3332</v>
      </c>
      <c r="O1067" s="39" t="s">
        <v>52</v>
      </c>
      <c r="Q1067" s="40" t="s">
        <v>1604</v>
      </c>
      <c r="R1067" s="40" t="s">
        <v>1604</v>
      </c>
    </row>
    <row r="1068" spans="1:18" s="39" customFormat="1" ht="13.45" customHeight="1" x14ac:dyDescent="0.2">
      <c r="A1068" s="39" t="s">
        <v>3339</v>
      </c>
      <c r="B1068" s="39" t="s">
        <v>73</v>
      </c>
      <c r="C1068" s="39" t="s">
        <v>171</v>
      </c>
      <c r="D1068" s="55" t="s">
        <v>121</v>
      </c>
      <c r="E1068" s="39" t="s">
        <v>151</v>
      </c>
      <c r="F1068" s="39" t="s">
        <v>109</v>
      </c>
      <c r="G1068" s="39" t="s">
        <v>125</v>
      </c>
      <c r="L1068" s="39" t="s">
        <v>3340</v>
      </c>
      <c r="M1068" s="39" t="s">
        <v>3332</v>
      </c>
      <c r="O1068" s="39" t="s">
        <v>52</v>
      </c>
      <c r="Q1068" s="40" t="s">
        <v>1604</v>
      </c>
      <c r="R1068" s="40" t="s">
        <v>1604</v>
      </c>
    </row>
    <row r="1069" spans="1:18" s="39" customFormat="1" ht="13.45" customHeight="1" x14ac:dyDescent="0.2">
      <c r="A1069" s="39" t="s">
        <v>3341</v>
      </c>
      <c r="B1069" s="39" t="s">
        <v>73</v>
      </c>
      <c r="C1069" s="39" t="s">
        <v>120</v>
      </c>
      <c r="D1069" s="55" t="s">
        <v>121</v>
      </c>
      <c r="E1069" s="39" t="s">
        <v>166</v>
      </c>
      <c r="F1069" s="39" t="s">
        <v>3342</v>
      </c>
      <c r="G1069" s="39" t="s">
        <v>125</v>
      </c>
      <c r="H1069" s="39" t="s">
        <v>162</v>
      </c>
      <c r="L1069" s="39" t="s">
        <v>3343</v>
      </c>
      <c r="M1069" s="39" t="s">
        <v>3332</v>
      </c>
      <c r="O1069" s="39" t="s">
        <v>52</v>
      </c>
      <c r="P1069" s="39" t="s">
        <v>3333</v>
      </c>
      <c r="Q1069" s="40">
        <v>300</v>
      </c>
      <c r="R1069" s="40">
        <v>81.71265414011944</v>
      </c>
    </row>
    <row r="1070" spans="1:18" s="39" customFormat="1" ht="13.45" customHeight="1" x14ac:dyDescent="0.2">
      <c r="A1070" s="39" t="s">
        <v>3344</v>
      </c>
      <c r="B1070" s="39" t="s">
        <v>73</v>
      </c>
      <c r="C1070" s="39" t="s">
        <v>280</v>
      </c>
      <c r="D1070" s="55" t="s">
        <v>121</v>
      </c>
      <c r="E1070" s="39" t="s">
        <v>251</v>
      </c>
      <c r="F1070" s="39" t="s">
        <v>3345</v>
      </c>
      <c r="G1070" s="39" t="s">
        <v>125</v>
      </c>
      <c r="H1070" s="39" t="s">
        <v>162</v>
      </c>
      <c r="L1070" s="39" t="s">
        <v>3346</v>
      </c>
      <c r="M1070" s="39" t="s">
        <v>3332</v>
      </c>
      <c r="O1070" s="39" t="s">
        <v>52</v>
      </c>
      <c r="P1070" s="39" t="s">
        <v>3333</v>
      </c>
      <c r="Q1070" s="40">
        <v>180</v>
      </c>
      <c r="R1070" s="40">
        <v>49.027592484071668</v>
      </c>
    </row>
    <row r="1071" spans="1:18" s="39" customFormat="1" ht="13.45" customHeight="1" x14ac:dyDescent="0.2">
      <c r="A1071" s="39" t="s">
        <v>3347</v>
      </c>
      <c r="B1071" s="39" t="s">
        <v>73</v>
      </c>
      <c r="C1071" s="39" t="s">
        <v>177</v>
      </c>
      <c r="D1071" s="55" t="s">
        <v>121</v>
      </c>
      <c r="E1071" s="39" t="s">
        <v>133</v>
      </c>
      <c r="F1071" s="39" t="s">
        <v>3348</v>
      </c>
      <c r="G1071" s="39" t="s">
        <v>158</v>
      </c>
      <c r="L1071" s="39" t="s">
        <v>3349</v>
      </c>
      <c r="M1071" s="39" t="s">
        <v>3332</v>
      </c>
      <c r="O1071" s="39" t="s">
        <v>53</v>
      </c>
      <c r="P1071" s="39" t="s">
        <v>3333</v>
      </c>
      <c r="Q1071" s="40">
        <v>600</v>
      </c>
      <c r="R1071" s="40">
        <v>163.42530828023888</v>
      </c>
    </row>
    <row r="1072" spans="1:18" s="39" customFormat="1" ht="13.45" customHeight="1" x14ac:dyDescent="0.2">
      <c r="A1072" s="39" t="s">
        <v>3350</v>
      </c>
      <c r="B1072" s="39" t="s">
        <v>73</v>
      </c>
      <c r="C1072" s="39" t="s">
        <v>120</v>
      </c>
      <c r="D1072" s="55" t="s">
        <v>121</v>
      </c>
      <c r="E1072" s="39" t="s">
        <v>251</v>
      </c>
      <c r="F1072" s="39" t="s">
        <v>3351</v>
      </c>
      <c r="G1072" s="39" t="s">
        <v>125</v>
      </c>
      <c r="H1072" s="39" t="s">
        <v>162</v>
      </c>
      <c r="L1072" s="39" t="s">
        <v>3352</v>
      </c>
      <c r="M1072" s="39" t="s">
        <v>3332</v>
      </c>
      <c r="O1072" s="39" t="s">
        <v>53</v>
      </c>
      <c r="P1072" s="39" t="s">
        <v>3333</v>
      </c>
      <c r="Q1072" s="40">
        <v>250</v>
      </c>
      <c r="R1072" s="40">
        <v>68.093878450099538</v>
      </c>
    </row>
    <row r="1073" spans="1:18" s="39" customFormat="1" ht="13.45" customHeight="1" x14ac:dyDescent="0.2">
      <c r="A1073" s="50" t="s">
        <v>3353</v>
      </c>
      <c r="B1073" s="50" t="s">
        <v>73</v>
      </c>
      <c r="C1073" s="50" t="s">
        <v>120</v>
      </c>
      <c r="D1073" s="55" t="s">
        <v>121</v>
      </c>
      <c r="E1073" s="50" t="s">
        <v>151</v>
      </c>
      <c r="F1073" s="50" t="s">
        <v>3354</v>
      </c>
      <c r="G1073" s="50" t="s">
        <v>125</v>
      </c>
      <c r="H1073" s="50"/>
      <c r="I1073" s="50"/>
      <c r="J1073" s="50"/>
      <c r="K1073" s="50"/>
      <c r="L1073" s="50" t="s">
        <v>3355</v>
      </c>
      <c r="M1073" s="50" t="s">
        <v>3332</v>
      </c>
      <c r="N1073" s="50"/>
      <c r="O1073" s="50" t="s">
        <v>52</v>
      </c>
      <c r="P1073" s="50" t="s">
        <v>3333</v>
      </c>
      <c r="Q1073" s="97">
        <v>1000</v>
      </c>
      <c r="R1073" s="40">
        <v>272.37551380039815</v>
      </c>
    </row>
    <row r="1074" spans="1:18" s="39" customFormat="1" ht="13.45" customHeight="1" x14ac:dyDescent="0.2">
      <c r="A1074" s="39" t="s">
        <v>3356</v>
      </c>
      <c r="B1074" s="39" t="s">
        <v>73</v>
      </c>
      <c r="C1074" s="39" t="s">
        <v>188</v>
      </c>
      <c r="D1074" s="39" t="s">
        <v>160</v>
      </c>
      <c r="E1074" s="39" t="s">
        <v>133</v>
      </c>
      <c r="F1074" s="39" t="s">
        <v>3357</v>
      </c>
      <c r="G1074" s="39" t="s">
        <v>158</v>
      </c>
      <c r="L1074" s="169" t="s">
        <v>3358</v>
      </c>
      <c r="M1074" s="39" t="s">
        <v>3359</v>
      </c>
      <c r="N1074" s="39" t="s">
        <v>3360</v>
      </c>
      <c r="O1074" s="39" t="s">
        <v>55</v>
      </c>
      <c r="P1074" s="39" t="s">
        <v>3333</v>
      </c>
      <c r="Q1074" s="40">
        <v>120</v>
      </c>
      <c r="R1074" s="40">
        <v>32.685061656047779</v>
      </c>
    </row>
    <row r="1075" spans="1:18" s="39" customFormat="1" ht="13.45" customHeight="1" x14ac:dyDescent="0.2">
      <c r="A1075" s="39" t="s">
        <v>3361</v>
      </c>
      <c r="B1075" s="39" t="s">
        <v>73</v>
      </c>
      <c r="C1075" s="39" t="s">
        <v>188</v>
      </c>
      <c r="D1075" s="39" t="s">
        <v>160</v>
      </c>
      <c r="E1075" s="39" t="s">
        <v>199</v>
      </c>
      <c r="F1075" s="39" t="s">
        <v>3362</v>
      </c>
      <c r="G1075" s="39" t="s">
        <v>152</v>
      </c>
      <c r="L1075" s="39" t="s">
        <v>3363</v>
      </c>
      <c r="M1075" s="39" t="s">
        <v>3359</v>
      </c>
      <c r="N1075" s="39" t="s">
        <v>3364</v>
      </c>
      <c r="O1075" s="39" t="s">
        <v>52</v>
      </c>
      <c r="P1075" s="39" t="s">
        <v>3333</v>
      </c>
      <c r="Q1075" s="40">
        <v>200</v>
      </c>
      <c r="R1075" s="40">
        <v>54.475102760079629</v>
      </c>
    </row>
    <row r="1076" spans="1:18" s="39" customFormat="1" ht="13.45" customHeight="1" x14ac:dyDescent="0.2">
      <c r="A1076" s="39" t="s">
        <v>3365</v>
      </c>
      <c r="B1076" s="39" t="s">
        <v>73</v>
      </c>
      <c r="C1076" s="39" t="s">
        <v>188</v>
      </c>
      <c r="D1076" s="39" t="s">
        <v>160</v>
      </c>
      <c r="E1076" s="39" t="s">
        <v>133</v>
      </c>
      <c r="F1076" s="39" t="s">
        <v>3366</v>
      </c>
      <c r="G1076" s="39" t="s">
        <v>158</v>
      </c>
      <c r="L1076" s="39" t="s">
        <v>3367</v>
      </c>
      <c r="M1076" s="39" t="s">
        <v>3359</v>
      </c>
      <c r="N1076" s="39" t="s">
        <v>3368</v>
      </c>
      <c r="O1076" s="39" t="s">
        <v>55</v>
      </c>
      <c r="P1076" s="39" t="s">
        <v>3333</v>
      </c>
      <c r="Q1076" s="40">
        <v>15</v>
      </c>
      <c r="R1076" s="40">
        <v>4.0856327070059724</v>
      </c>
    </row>
    <row r="1077" spans="1:18" s="39" customFormat="1" ht="13.45" customHeight="1" x14ac:dyDescent="0.2">
      <c r="A1077" s="39" t="s">
        <v>3369</v>
      </c>
      <c r="B1077" s="39" t="s">
        <v>73</v>
      </c>
      <c r="C1077" s="39" t="s">
        <v>171</v>
      </c>
      <c r="D1077" s="55" t="s">
        <v>121</v>
      </c>
      <c r="E1077" s="39" t="s">
        <v>166</v>
      </c>
      <c r="F1077" s="39" t="s">
        <v>3366</v>
      </c>
      <c r="G1077" s="39" t="s">
        <v>158</v>
      </c>
      <c r="L1077" s="39" t="s">
        <v>3370</v>
      </c>
      <c r="M1077" s="39" t="s">
        <v>3359</v>
      </c>
      <c r="N1077" s="39" t="s">
        <v>3371</v>
      </c>
      <c r="O1077" s="39" t="s">
        <v>55</v>
      </c>
      <c r="P1077" s="39" t="s">
        <v>3333</v>
      </c>
      <c r="Q1077" s="40">
        <v>0</v>
      </c>
      <c r="R1077" s="40">
        <v>0</v>
      </c>
    </row>
    <row r="1078" spans="1:18" s="39" customFormat="1" ht="13.45" customHeight="1" x14ac:dyDescent="0.2">
      <c r="A1078" s="39" t="s">
        <v>3372</v>
      </c>
      <c r="B1078" s="39" t="s">
        <v>73</v>
      </c>
      <c r="C1078" s="39" t="s">
        <v>120</v>
      </c>
      <c r="D1078" s="39" t="s">
        <v>137</v>
      </c>
      <c r="E1078" s="39" t="s">
        <v>133</v>
      </c>
      <c r="F1078" s="39" t="s">
        <v>3373</v>
      </c>
      <c r="G1078" s="39" t="s">
        <v>158</v>
      </c>
      <c r="L1078" s="39" t="s">
        <v>3374</v>
      </c>
      <c r="M1078" s="39" t="s">
        <v>3359</v>
      </c>
      <c r="N1078" s="39" t="s">
        <v>3375</v>
      </c>
      <c r="O1078" s="39" t="s">
        <v>55</v>
      </c>
      <c r="P1078" s="39" t="s">
        <v>3333</v>
      </c>
      <c r="Q1078" s="40">
        <v>7000</v>
      </c>
      <c r="R1078" s="40">
        <v>1906.6285966027872</v>
      </c>
    </row>
    <row r="1079" spans="1:18" s="39" customFormat="1" ht="13.45" customHeight="1" x14ac:dyDescent="0.2">
      <c r="A1079" s="39" t="s">
        <v>3376</v>
      </c>
      <c r="B1079" s="39" t="s">
        <v>73</v>
      </c>
      <c r="C1079" s="39" t="s">
        <v>120</v>
      </c>
      <c r="D1079" s="39" t="s">
        <v>137</v>
      </c>
      <c r="E1079" s="39" t="s">
        <v>133</v>
      </c>
      <c r="F1079" s="39" t="s">
        <v>3377</v>
      </c>
      <c r="G1079" s="39" t="s">
        <v>158</v>
      </c>
      <c r="L1079" s="39" t="s">
        <v>3378</v>
      </c>
      <c r="M1079" s="39" t="s">
        <v>3359</v>
      </c>
      <c r="N1079" s="39" t="s">
        <v>3379</v>
      </c>
      <c r="O1079" s="39" t="s">
        <v>55</v>
      </c>
      <c r="P1079" s="39" t="s">
        <v>3333</v>
      </c>
      <c r="Q1079" s="40">
        <v>6000</v>
      </c>
      <c r="R1079" s="40">
        <v>1634.2530828023889</v>
      </c>
    </row>
    <row r="1080" spans="1:18" s="39" customFormat="1" ht="13.45" customHeight="1" x14ac:dyDescent="0.2">
      <c r="A1080" s="39" t="s">
        <v>3380</v>
      </c>
      <c r="B1080" s="39" t="s">
        <v>73</v>
      </c>
      <c r="C1080" s="39" t="s">
        <v>188</v>
      </c>
      <c r="D1080" s="55" t="s">
        <v>121</v>
      </c>
      <c r="E1080" s="39" t="s">
        <v>147</v>
      </c>
      <c r="F1080" s="39" t="s">
        <v>3357</v>
      </c>
      <c r="G1080" s="39" t="s">
        <v>158</v>
      </c>
      <c r="L1080" s="39" t="s">
        <v>3381</v>
      </c>
      <c r="M1080" s="39" t="s">
        <v>3359</v>
      </c>
      <c r="N1080" s="39" t="s">
        <v>3382</v>
      </c>
      <c r="O1080" s="39" t="s">
        <v>55</v>
      </c>
      <c r="P1080" s="39" t="s">
        <v>3333</v>
      </c>
      <c r="Q1080" s="40">
        <v>135</v>
      </c>
      <c r="R1080" s="40">
        <v>36.770694363053749</v>
      </c>
    </row>
    <row r="1081" spans="1:18" s="39" customFormat="1" ht="13.45" customHeight="1" x14ac:dyDescent="0.2">
      <c r="A1081" s="39" t="s">
        <v>3383</v>
      </c>
      <c r="B1081" s="39" t="s">
        <v>73</v>
      </c>
      <c r="C1081" s="39" t="s">
        <v>188</v>
      </c>
      <c r="D1081" s="55" t="s">
        <v>121</v>
      </c>
      <c r="E1081" s="39" t="s">
        <v>133</v>
      </c>
      <c r="F1081" s="39" t="s">
        <v>3384</v>
      </c>
      <c r="G1081" s="39" t="s">
        <v>158</v>
      </c>
      <c r="L1081" s="39" t="s">
        <v>3385</v>
      </c>
      <c r="M1081" s="39" t="s">
        <v>3359</v>
      </c>
      <c r="N1081" s="39" t="s">
        <v>3386</v>
      </c>
      <c r="O1081" s="39" t="s">
        <v>55</v>
      </c>
      <c r="P1081" s="39" t="s">
        <v>3333</v>
      </c>
      <c r="Q1081" s="40">
        <v>300</v>
      </c>
      <c r="R1081" s="40">
        <v>81.71265414011944</v>
      </c>
    </row>
    <row r="1082" spans="1:18" s="39" customFormat="1" ht="13.45" customHeight="1" x14ac:dyDescent="0.2">
      <c r="A1082" s="39" t="s">
        <v>3387</v>
      </c>
      <c r="B1082" s="39" t="s">
        <v>73</v>
      </c>
      <c r="C1082" s="39" t="s">
        <v>188</v>
      </c>
      <c r="D1082" s="39" t="s">
        <v>137</v>
      </c>
      <c r="E1082" s="39" t="s">
        <v>133</v>
      </c>
      <c r="F1082" s="39" t="s">
        <v>3366</v>
      </c>
      <c r="G1082" s="39" t="s">
        <v>158</v>
      </c>
      <c r="L1082" s="39" t="s">
        <v>3388</v>
      </c>
      <c r="M1082" s="39" t="s">
        <v>3359</v>
      </c>
      <c r="N1082" s="39" t="s">
        <v>3389</v>
      </c>
      <c r="O1082" s="39" t="s">
        <v>55</v>
      </c>
      <c r="P1082" s="39" t="s">
        <v>3333</v>
      </c>
      <c r="Q1082" s="40">
        <v>0</v>
      </c>
      <c r="R1082" s="40">
        <v>0</v>
      </c>
    </row>
    <row r="1083" spans="1:18" s="39" customFormat="1" ht="13.45" customHeight="1" x14ac:dyDescent="0.2">
      <c r="A1083" s="39" t="s">
        <v>3390</v>
      </c>
      <c r="B1083" s="39" t="s">
        <v>73</v>
      </c>
      <c r="C1083" s="39" t="s">
        <v>188</v>
      </c>
      <c r="D1083" s="55" t="s">
        <v>121</v>
      </c>
      <c r="E1083" s="39" t="s">
        <v>133</v>
      </c>
      <c r="F1083" s="39" t="s">
        <v>3384</v>
      </c>
      <c r="G1083" s="39" t="s">
        <v>158</v>
      </c>
      <c r="L1083" s="39" t="s">
        <v>3391</v>
      </c>
      <c r="M1083" s="39" t="s">
        <v>3359</v>
      </c>
      <c r="N1083" s="39" t="s">
        <v>3392</v>
      </c>
      <c r="O1083" s="39" t="s">
        <v>55</v>
      </c>
      <c r="P1083" s="39" t="s">
        <v>3333</v>
      </c>
      <c r="Q1083" s="40">
        <v>300</v>
      </c>
      <c r="R1083" s="40">
        <v>81.71265414011944</v>
      </c>
    </row>
    <row r="1084" spans="1:18" s="39" customFormat="1" ht="13.45" customHeight="1" x14ac:dyDescent="0.2">
      <c r="A1084" s="39" t="s">
        <v>3393</v>
      </c>
      <c r="B1084" s="39" t="s">
        <v>73</v>
      </c>
      <c r="C1084" s="39" t="s">
        <v>188</v>
      </c>
      <c r="D1084" s="39" t="s">
        <v>137</v>
      </c>
      <c r="E1084" s="39" t="s">
        <v>133</v>
      </c>
      <c r="F1084" s="39" t="s">
        <v>3377</v>
      </c>
      <c r="G1084" s="39" t="s">
        <v>158</v>
      </c>
      <c r="L1084" s="39" t="s">
        <v>3394</v>
      </c>
      <c r="M1084" s="39" t="s">
        <v>3359</v>
      </c>
      <c r="N1084" s="39" t="s">
        <v>3375</v>
      </c>
      <c r="O1084" s="39" t="s">
        <v>55</v>
      </c>
      <c r="P1084" s="39" t="s">
        <v>3333</v>
      </c>
      <c r="Q1084" s="40">
        <v>6000</v>
      </c>
      <c r="R1084" s="40">
        <v>1634.2530828023889</v>
      </c>
    </row>
    <row r="1085" spans="1:18" s="39" customFormat="1" ht="13.45" customHeight="1" x14ac:dyDescent="0.2">
      <c r="A1085" s="39" t="s">
        <v>3395</v>
      </c>
      <c r="B1085" s="39" t="s">
        <v>73</v>
      </c>
      <c r="C1085" s="39" t="s">
        <v>120</v>
      </c>
      <c r="E1085" s="39" t="s">
        <v>133</v>
      </c>
      <c r="F1085" s="39" t="s">
        <v>3396</v>
      </c>
      <c r="G1085" s="39" t="s">
        <v>158</v>
      </c>
      <c r="L1085" s="39" t="s">
        <v>3397</v>
      </c>
      <c r="M1085" s="39" t="s">
        <v>3359</v>
      </c>
      <c r="N1085" s="39" t="s">
        <v>3375</v>
      </c>
      <c r="O1085" s="39" t="s">
        <v>55</v>
      </c>
      <c r="P1085" s="39" t="s">
        <v>3333</v>
      </c>
      <c r="Q1085" s="40">
        <v>700</v>
      </c>
      <c r="R1085" s="40">
        <v>190.66285966027871</v>
      </c>
    </row>
    <row r="1086" spans="1:18" s="39" customFormat="1" ht="13.45" customHeight="1" x14ac:dyDescent="0.2">
      <c r="A1086" s="39" t="s">
        <v>3398</v>
      </c>
      <c r="B1086" s="39" t="s">
        <v>73</v>
      </c>
      <c r="C1086" s="39" t="s">
        <v>188</v>
      </c>
      <c r="D1086" s="39" t="s">
        <v>137</v>
      </c>
      <c r="E1086" s="39" t="s">
        <v>133</v>
      </c>
      <c r="F1086" s="39" t="s">
        <v>3366</v>
      </c>
      <c r="G1086" s="39" t="s">
        <v>158</v>
      </c>
      <c r="L1086" s="39" t="s">
        <v>3399</v>
      </c>
      <c r="M1086" s="39" t="s">
        <v>3359</v>
      </c>
      <c r="N1086" s="39" t="s">
        <v>3400</v>
      </c>
      <c r="O1086" s="39" t="s">
        <v>55</v>
      </c>
      <c r="P1086" s="39" t="s">
        <v>3333</v>
      </c>
      <c r="Q1086" s="40">
        <v>0</v>
      </c>
      <c r="R1086" s="40">
        <v>0</v>
      </c>
    </row>
    <row r="1087" spans="1:18" s="39" customFormat="1" ht="13.45" customHeight="1" x14ac:dyDescent="0.2">
      <c r="A1087" s="39" t="s">
        <v>3401</v>
      </c>
      <c r="B1087" s="39" t="s">
        <v>73</v>
      </c>
      <c r="C1087" s="39" t="s">
        <v>188</v>
      </c>
      <c r="D1087" s="39" t="s">
        <v>137</v>
      </c>
      <c r="E1087" s="39" t="s">
        <v>133</v>
      </c>
      <c r="F1087" s="39" t="s">
        <v>3402</v>
      </c>
      <c r="G1087" s="39" t="s">
        <v>158</v>
      </c>
      <c r="L1087" s="39" t="s">
        <v>3403</v>
      </c>
      <c r="M1087" s="39" t="s">
        <v>3359</v>
      </c>
      <c r="N1087" s="39" t="s">
        <v>3382</v>
      </c>
      <c r="O1087" s="39" t="s">
        <v>55</v>
      </c>
      <c r="P1087" s="39" t="s">
        <v>3333</v>
      </c>
      <c r="Q1087" s="40">
        <v>255</v>
      </c>
      <c r="R1087" s="40">
        <v>69.455756019101528</v>
      </c>
    </row>
    <row r="1088" spans="1:18" s="39" customFormat="1" ht="13.45" customHeight="1" x14ac:dyDescent="0.2">
      <c r="A1088" s="39" t="s">
        <v>3404</v>
      </c>
      <c r="B1088" s="39" t="s">
        <v>73</v>
      </c>
      <c r="C1088" s="39" t="s">
        <v>188</v>
      </c>
      <c r="D1088" s="39" t="s">
        <v>137</v>
      </c>
      <c r="E1088" s="39" t="s">
        <v>133</v>
      </c>
      <c r="F1088" s="39" t="s">
        <v>3366</v>
      </c>
      <c r="G1088" s="39" t="s">
        <v>158</v>
      </c>
      <c r="L1088" s="39" t="s">
        <v>3405</v>
      </c>
      <c r="M1088" s="39" t="s">
        <v>3359</v>
      </c>
      <c r="N1088" s="39" t="s">
        <v>3406</v>
      </c>
      <c r="O1088" s="39" t="s">
        <v>55</v>
      </c>
      <c r="P1088" s="39" t="s">
        <v>3333</v>
      </c>
      <c r="Q1088" s="40">
        <v>0</v>
      </c>
      <c r="R1088" s="40">
        <v>0</v>
      </c>
    </row>
    <row r="1089" spans="1:18" s="39" customFormat="1" ht="13.45" customHeight="1" x14ac:dyDescent="0.2">
      <c r="A1089" s="39" t="s">
        <v>3407</v>
      </c>
      <c r="B1089" s="39" t="s">
        <v>73</v>
      </c>
      <c r="C1089" s="39" t="s">
        <v>188</v>
      </c>
      <c r="D1089" s="39" t="s">
        <v>137</v>
      </c>
      <c r="E1089" s="39" t="s">
        <v>133</v>
      </c>
      <c r="F1089" s="39" t="s">
        <v>3366</v>
      </c>
      <c r="G1089" s="39" t="s">
        <v>158</v>
      </c>
      <c r="L1089" s="39" t="s">
        <v>3408</v>
      </c>
      <c r="M1089" s="39" t="s">
        <v>3359</v>
      </c>
      <c r="N1089" s="39" t="s">
        <v>3409</v>
      </c>
      <c r="O1089" s="39" t="s">
        <v>55</v>
      </c>
      <c r="P1089" s="39" t="s">
        <v>3333</v>
      </c>
      <c r="Q1089" s="40">
        <v>0</v>
      </c>
      <c r="R1089" s="40">
        <v>0</v>
      </c>
    </row>
    <row r="1090" spans="1:18" s="39" customFormat="1" ht="13.45" customHeight="1" x14ac:dyDescent="0.2">
      <c r="A1090" s="39" t="s">
        <v>3410</v>
      </c>
      <c r="B1090" s="39" t="s">
        <v>73</v>
      </c>
      <c r="C1090" s="39" t="s">
        <v>188</v>
      </c>
      <c r="D1090" s="39" t="s">
        <v>137</v>
      </c>
      <c r="E1090" s="39" t="s">
        <v>133</v>
      </c>
      <c r="F1090" s="39" t="s">
        <v>3411</v>
      </c>
      <c r="G1090" s="39" t="s">
        <v>158</v>
      </c>
      <c r="L1090" s="39" t="s">
        <v>3412</v>
      </c>
      <c r="M1090" s="39" t="s">
        <v>3359</v>
      </c>
      <c r="N1090" s="39" t="s">
        <v>3413</v>
      </c>
      <c r="O1090" s="39" t="s">
        <v>55</v>
      </c>
      <c r="P1090" s="39" t="s">
        <v>3333</v>
      </c>
      <c r="Q1090" s="40">
        <v>10000</v>
      </c>
      <c r="R1090" s="40">
        <v>2723.7551380039818</v>
      </c>
    </row>
    <row r="1091" spans="1:18" s="39" customFormat="1" ht="13.45" customHeight="1" x14ac:dyDescent="0.2">
      <c r="A1091" s="39" t="s">
        <v>3414</v>
      </c>
      <c r="B1091" s="39" t="s">
        <v>73</v>
      </c>
      <c r="C1091" s="39" t="s">
        <v>188</v>
      </c>
      <c r="D1091" s="39" t="s">
        <v>137</v>
      </c>
      <c r="E1091" s="39" t="s">
        <v>133</v>
      </c>
      <c r="F1091" s="39" t="s">
        <v>3366</v>
      </c>
      <c r="G1091" s="39" t="s">
        <v>158</v>
      </c>
      <c r="L1091" s="39" t="s">
        <v>3415</v>
      </c>
      <c r="M1091" s="39" t="s">
        <v>3359</v>
      </c>
      <c r="N1091" s="39" t="s">
        <v>3416</v>
      </c>
      <c r="O1091" s="39" t="s">
        <v>55</v>
      </c>
      <c r="P1091" s="39" t="s">
        <v>3333</v>
      </c>
      <c r="Q1091" s="40">
        <v>0</v>
      </c>
      <c r="R1091" s="40">
        <v>0</v>
      </c>
    </row>
    <row r="1092" spans="1:18" s="39" customFormat="1" ht="13.45" customHeight="1" x14ac:dyDescent="0.2">
      <c r="A1092" s="39" t="s">
        <v>3417</v>
      </c>
      <c r="B1092" s="39" t="s">
        <v>73</v>
      </c>
      <c r="C1092" s="39" t="s">
        <v>188</v>
      </c>
      <c r="D1092" s="39" t="s">
        <v>137</v>
      </c>
      <c r="E1092" s="39" t="s">
        <v>133</v>
      </c>
      <c r="F1092" s="39" t="s">
        <v>3418</v>
      </c>
      <c r="G1092" s="39" t="s">
        <v>158</v>
      </c>
      <c r="L1092" s="39" t="s">
        <v>3419</v>
      </c>
      <c r="M1092" s="39" t="s">
        <v>3359</v>
      </c>
      <c r="N1092" s="39" t="s">
        <v>3420</v>
      </c>
      <c r="O1092" s="39" t="s">
        <v>55</v>
      </c>
      <c r="P1092" s="39" t="s">
        <v>3333</v>
      </c>
      <c r="Q1092" s="40">
        <v>2000</v>
      </c>
      <c r="R1092" s="40">
        <v>544.75102760079631</v>
      </c>
    </row>
    <row r="1093" spans="1:18" s="39" customFormat="1" ht="13.45" customHeight="1" x14ac:dyDescent="0.2">
      <c r="A1093" s="39" t="s">
        <v>3421</v>
      </c>
      <c r="B1093" s="39" t="s">
        <v>73</v>
      </c>
      <c r="C1093" s="39" t="s">
        <v>188</v>
      </c>
      <c r="D1093" s="55" t="s">
        <v>121</v>
      </c>
      <c r="E1093" s="39" t="s">
        <v>133</v>
      </c>
      <c r="F1093" s="39" t="s">
        <v>3362</v>
      </c>
      <c r="G1093" s="39" t="s">
        <v>158</v>
      </c>
      <c r="L1093" s="39" t="s">
        <v>3422</v>
      </c>
      <c r="M1093" s="39" t="s">
        <v>3359</v>
      </c>
      <c r="N1093" s="39" t="s">
        <v>3423</v>
      </c>
      <c r="O1093" s="39" t="s">
        <v>55</v>
      </c>
      <c r="P1093" s="39" t="s">
        <v>3333</v>
      </c>
      <c r="Q1093" s="40">
        <v>200</v>
      </c>
      <c r="R1093" s="40">
        <v>54.475102760079629</v>
      </c>
    </row>
    <row r="1094" spans="1:18" s="39" customFormat="1" ht="13.45" customHeight="1" x14ac:dyDescent="0.2">
      <c r="A1094" s="39" t="s">
        <v>3424</v>
      </c>
      <c r="B1094" s="39" t="s">
        <v>73</v>
      </c>
      <c r="C1094" s="39" t="s">
        <v>188</v>
      </c>
      <c r="D1094" s="55" t="s">
        <v>121</v>
      </c>
      <c r="E1094" s="39" t="s">
        <v>133</v>
      </c>
      <c r="F1094" s="39" t="s">
        <v>3425</v>
      </c>
      <c r="G1094" s="39" t="s">
        <v>158</v>
      </c>
      <c r="L1094" s="39" t="s">
        <v>3426</v>
      </c>
      <c r="M1094" s="39" t="s">
        <v>3359</v>
      </c>
      <c r="N1094" s="39" t="s">
        <v>3427</v>
      </c>
      <c r="O1094" s="39" t="s">
        <v>55</v>
      </c>
      <c r="P1094" s="39" t="s">
        <v>3333</v>
      </c>
      <c r="Q1094" s="40">
        <v>40</v>
      </c>
      <c r="R1094" s="40">
        <v>10.895020552015927</v>
      </c>
    </row>
    <row r="1095" spans="1:18" s="39" customFormat="1" ht="13.45" customHeight="1" x14ac:dyDescent="0.2">
      <c r="A1095" s="39" t="s">
        <v>3428</v>
      </c>
      <c r="B1095" s="39" t="s">
        <v>73</v>
      </c>
      <c r="C1095" s="39" t="s">
        <v>120</v>
      </c>
      <c r="D1095" s="39" t="s">
        <v>137</v>
      </c>
      <c r="E1095" s="39" t="s">
        <v>133</v>
      </c>
      <c r="F1095" s="39" t="s">
        <v>3366</v>
      </c>
      <c r="G1095" s="39" t="s">
        <v>158</v>
      </c>
      <c r="L1095" s="39" t="s">
        <v>3429</v>
      </c>
      <c r="M1095" s="39" t="s">
        <v>3359</v>
      </c>
      <c r="N1095" s="39" t="s">
        <v>3430</v>
      </c>
      <c r="O1095" s="39" t="s">
        <v>55</v>
      </c>
      <c r="P1095" s="39" t="s">
        <v>3333</v>
      </c>
      <c r="Q1095" s="40">
        <v>0</v>
      </c>
      <c r="R1095" s="40">
        <v>0</v>
      </c>
    </row>
    <row r="1096" spans="1:18" s="39" customFormat="1" ht="13.45" customHeight="1" x14ac:dyDescent="0.2">
      <c r="A1096" s="39" t="s">
        <v>3431</v>
      </c>
      <c r="B1096" s="39" t="s">
        <v>73</v>
      </c>
      <c r="C1096" s="39" t="s">
        <v>188</v>
      </c>
      <c r="D1096" s="39" t="s">
        <v>137</v>
      </c>
      <c r="E1096" s="39" t="s">
        <v>133</v>
      </c>
      <c r="F1096" s="39" t="s">
        <v>3425</v>
      </c>
      <c r="G1096" s="39" t="s">
        <v>158</v>
      </c>
      <c r="L1096" s="39" t="s">
        <v>3432</v>
      </c>
      <c r="M1096" s="39" t="s">
        <v>3359</v>
      </c>
      <c r="N1096" s="39" t="s">
        <v>3433</v>
      </c>
      <c r="O1096" s="39" t="s">
        <v>55</v>
      </c>
      <c r="P1096" s="39" t="s">
        <v>3333</v>
      </c>
      <c r="Q1096" s="40">
        <v>30</v>
      </c>
      <c r="R1096" s="40">
        <v>8.1712654140119447</v>
      </c>
    </row>
    <row r="1097" spans="1:18" s="39" customFormat="1" ht="13.45" customHeight="1" x14ac:dyDescent="0.2">
      <c r="A1097" s="39" t="s">
        <v>3434</v>
      </c>
      <c r="B1097" s="39" t="s">
        <v>73</v>
      </c>
      <c r="C1097" s="39" t="s">
        <v>177</v>
      </c>
      <c r="D1097" s="39" t="s">
        <v>137</v>
      </c>
      <c r="E1097" s="39" t="s">
        <v>133</v>
      </c>
      <c r="F1097" s="39" t="s">
        <v>3366</v>
      </c>
      <c r="G1097" s="39" t="s">
        <v>158</v>
      </c>
      <c r="L1097" s="39" t="s">
        <v>3435</v>
      </c>
      <c r="M1097" s="39" t="s">
        <v>3359</v>
      </c>
      <c r="N1097" s="39" t="s">
        <v>3368</v>
      </c>
      <c r="O1097" s="39" t="s">
        <v>55</v>
      </c>
      <c r="P1097" s="39" t="s">
        <v>3333</v>
      </c>
      <c r="Q1097" s="40">
        <v>4</v>
      </c>
      <c r="R1097" s="40">
        <v>1.0895020552015926</v>
      </c>
    </row>
    <row r="1098" spans="1:18" s="39" customFormat="1" ht="13.45" customHeight="1" x14ac:dyDescent="0.2">
      <c r="A1098" s="39" t="s">
        <v>3436</v>
      </c>
      <c r="B1098" s="39" t="s">
        <v>73</v>
      </c>
      <c r="C1098" s="39" t="s">
        <v>188</v>
      </c>
      <c r="D1098" s="39" t="s">
        <v>137</v>
      </c>
      <c r="E1098" s="39" t="s">
        <v>133</v>
      </c>
      <c r="F1098" s="39" t="s">
        <v>3396</v>
      </c>
      <c r="G1098" s="39" t="s">
        <v>158</v>
      </c>
      <c r="L1098" s="39" t="s">
        <v>3437</v>
      </c>
      <c r="M1098" s="39" t="s">
        <v>3359</v>
      </c>
      <c r="N1098" s="39" t="s">
        <v>3438</v>
      </c>
      <c r="O1098" s="39" t="s">
        <v>55</v>
      </c>
      <c r="P1098" s="39" t="s">
        <v>3333</v>
      </c>
      <c r="Q1098" s="40">
        <v>700</v>
      </c>
      <c r="R1098" s="40">
        <v>190.66285966027871</v>
      </c>
    </row>
    <row r="1099" spans="1:18" s="39" customFormat="1" ht="13.45" customHeight="1" x14ac:dyDescent="0.2">
      <c r="A1099" s="39" t="s">
        <v>3439</v>
      </c>
      <c r="B1099" s="39" t="s">
        <v>73</v>
      </c>
      <c r="C1099" s="39" t="s">
        <v>188</v>
      </c>
      <c r="D1099" s="39" t="s">
        <v>137</v>
      </c>
      <c r="E1099" s="39" t="s">
        <v>133</v>
      </c>
      <c r="F1099" s="39" t="s">
        <v>3440</v>
      </c>
      <c r="G1099" s="39" t="s">
        <v>158</v>
      </c>
      <c r="L1099" s="39" t="s">
        <v>3441</v>
      </c>
      <c r="M1099" s="39" t="s">
        <v>3359</v>
      </c>
      <c r="N1099" s="39" t="s">
        <v>3375</v>
      </c>
      <c r="O1099" s="39" t="s">
        <v>55</v>
      </c>
      <c r="P1099" s="39" t="s">
        <v>3333</v>
      </c>
      <c r="Q1099" s="40">
        <v>1598</v>
      </c>
      <c r="R1099" s="40">
        <v>435.25607105303624</v>
      </c>
    </row>
    <row r="1100" spans="1:18" s="39" customFormat="1" ht="13.45" customHeight="1" x14ac:dyDescent="0.2">
      <c r="A1100" s="39" t="s">
        <v>3442</v>
      </c>
      <c r="B1100" s="39" t="s">
        <v>73</v>
      </c>
      <c r="C1100" s="39" t="s">
        <v>188</v>
      </c>
      <c r="D1100" s="39" t="s">
        <v>137</v>
      </c>
      <c r="E1100" s="39" t="s">
        <v>133</v>
      </c>
      <c r="F1100" s="39" t="s">
        <v>3443</v>
      </c>
      <c r="G1100" s="39" t="s">
        <v>158</v>
      </c>
      <c r="L1100" s="39" t="s">
        <v>3444</v>
      </c>
      <c r="M1100" s="39" t="s">
        <v>3359</v>
      </c>
      <c r="N1100" s="39" t="s">
        <v>3375</v>
      </c>
      <c r="O1100" s="39" t="s">
        <v>55</v>
      </c>
      <c r="P1100" s="39" t="s">
        <v>3333</v>
      </c>
      <c r="Q1100" s="40">
        <v>2600</v>
      </c>
      <c r="R1100" s="40">
        <v>708.17633588103524</v>
      </c>
    </row>
    <row r="1101" spans="1:18" s="39" customFormat="1" ht="13.45" customHeight="1" x14ac:dyDescent="0.2">
      <c r="A1101" s="39" t="s">
        <v>3445</v>
      </c>
      <c r="B1101" s="39" t="s">
        <v>73</v>
      </c>
      <c r="C1101" s="39" t="s">
        <v>120</v>
      </c>
      <c r="D1101" s="39" t="s">
        <v>137</v>
      </c>
      <c r="E1101" s="39" t="s">
        <v>133</v>
      </c>
      <c r="F1101" s="39" t="s">
        <v>3366</v>
      </c>
      <c r="G1101" s="39" t="s">
        <v>158</v>
      </c>
      <c r="L1101" s="39" t="s">
        <v>3446</v>
      </c>
      <c r="M1101" s="39" t="s">
        <v>3359</v>
      </c>
      <c r="N1101" s="39" t="s">
        <v>3375</v>
      </c>
      <c r="O1101" s="39" t="s">
        <v>55</v>
      </c>
      <c r="P1101" s="39" t="s">
        <v>3333</v>
      </c>
      <c r="Q1101" s="40">
        <v>4</v>
      </c>
      <c r="R1101" s="40">
        <v>1.0895020552015926</v>
      </c>
    </row>
    <row r="1102" spans="1:18" s="39" customFormat="1" ht="13.45" customHeight="1" x14ac:dyDescent="0.2">
      <c r="A1102" s="39" t="s">
        <v>3447</v>
      </c>
      <c r="B1102" s="39" t="s">
        <v>73</v>
      </c>
      <c r="C1102" s="39" t="s">
        <v>188</v>
      </c>
      <c r="D1102" s="39" t="s">
        <v>137</v>
      </c>
      <c r="E1102" s="39" t="s">
        <v>133</v>
      </c>
      <c r="F1102" s="39" t="s">
        <v>3448</v>
      </c>
      <c r="G1102" s="39" t="s">
        <v>158</v>
      </c>
      <c r="L1102" s="39" t="s">
        <v>3449</v>
      </c>
      <c r="M1102" s="39" t="s">
        <v>3359</v>
      </c>
      <c r="N1102" s="39" t="s">
        <v>3375</v>
      </c>
      <c r="O1102" s="39" t="s">
        <v>55</v>
      </c>
      <c r="P1102" s="39" t="s">
        <v>3333</v>
      </c>
      <c r="Q1102" s="40">
        <v>14000</v>
      </c>
      <c r="R1102" s="40">
        <v>3813.2571932055744</v>
      </c>
    </row>
    <row r="1103" spans="1:18" s="39" customFormat="1" ht="13.45" customHeight="1" x14ac:dyDescent="0.2">
      <c r="A1103" s="39" t="s">
        <v>3450</v>
      </c>
      <c r="B1103" s="39" t="s">
        <v>73</v>
      </c>
      <c r="C1103" s="39" t="s">
        <v>188</v>
      </c>
      <c r="D1103" s="39" t="s">
        <v>137</v>
      </c>
      <c r="E1103" s="39" t="s">
        <v>133</v>
      </c>
      <c r="F1103" s="39" t="s">
        <v>3440</v>
      </c>
      <c r="G1103" s="39" t="s">
        <v>158</v>
      </c>
      <c r="L1103" s="39" t="s">
        <v>3451</v>
      </c>
      <c r="M1103" s="39" t="s">
        <v>3359</v>
      </c>
      <c r="N1103" s="39" t="s">
        <v>3375</v>
      </c>
      <c r="O1103" s="39" t="s">
        <v>55</v>
      </c>
      <c r="P1103" s="39" t="s">
        <v>3333</v>
      </c>
      <c r="Q1103" s="40">
        <v>1598</v>
      </c>
      <c r="R1103" s="40">
        <v>435.25607105303624</v>
      </c>
    </row>
    <row r="1104" spans="1:18" s="39" customFormat="1" ht="13.45" customHeight="1" x14ac:dyDescent="0.2">
      <c r="A1104" s="39" t="s">
        <v>3452</v>
      </c>
      <c r="B1104" s="39" t="s">
        <v>73</v>
      </c>
      <c r="C1104" s="39" t="s">
        <v>188</v>
      </c>
      <c r="D1104" s="39" t="s">
        <v>137</v>
      </c>
      <c r="E1104" s="39" t="s">
        <v>133</v>
      </c>
      <c r="F1104" s="39" t="s">
        <v>3366</v>
      </c>
      <c r="G1104" s="39" t="s">
        <v>158</v>
      </c>
      <c r="L1104" s="39" t="s">
        <v>3453</v>
      </c>
      <c r="M1104" s="39" t="s">
        <v>3359</v>
      </c>
      <c r="N1104" s="39" t="s">
        <v>3454</v>
      </c>
      <c r="O1104" s="39" t="s">
        <v>55</v>
      </c>
      <c r="P1104" s="39" t="s">
        <v>3333</v>
      </c>
      <c r="Q1104" s="40">
        <v>0</v>
      </c>
      <c r="R1104" s="40">
        <v>0</v>
      </c>
    </row>
    <row r="1105" spans="1:18" s="39" customFormat="1" ht="13.45" customHeight="1" x14ac:dyDescent="0.2">
      <c r="A1105" s="39" t="s">
        <v>3455</v>
      </c>
      <c r="B1105" s="39" t="s">
        <v>73</v>
      </c>
      <c r="C1105" s="39" t="s">
        <v>188</v>
      </c>
      <c r="D1105" s="39" t="s">
        <v>137</v>
      </c>
      <c r="E1105" s="39" t="s">
        <v>133</v>
      </c>
      <c r="F1105" s="39" t="s">
        <v>3366</v>
      </c>
      <c r="G1105" s="39" t="s">
        <v>158</v>
      </c>
      <c r="L1105" s="39" t="s">
        <v>3456</v>
      </c>
      <c r="M1105" s="39" t="s">
        <v>3359</v>
      </c>
      <c r="N1105" s="39" t="s">
        <v>3457</v>
      </c>
      <c r="O1105" s="39" t="s">
        <v>55</v>
      </c>
      <c r="P1105" s="39" t="s">
        <v>3333</v>
      </c>
      <c r="Q1105" s="40">
        <v>0</v>
      </c>
      <c r="R1105" s="40">
        <v>0</v>
      </c>
    </row>
    <row r="1106" spans="1:18" s="39" customFormat="1" ht="13.45" customHeight="1" x14ac:dyDescent="0.2">
      <c r="A1106" s="39" t="s">
        <v>3458</v>
      </c>
      <c r="B1106" s="39" t="s">
        <v>73</v>
      </c>
      <c r="C1106" s="39" t="s">
        <v>188</v>
      </c>
      <c r="D1106" s="39" t="s">
        <v>137</v>
      </c>
      <c r="E1106" s="39" t="s">
        <v>133</v>
      </c>
      <c r="F1106" s="39" t="s">
        <v>3459</v>
      </c>
      <c r="G1106" s="39" t="s">
        <v>158</v>
      </c>
      <c r="L1106" s="39" t="s">
        <v>3460</v>
      </c>
      <c r="M1106" s="39" t="s">
        <v>3359</v>
      </c>
      <c r="N1106" s="39" t="s">
        <v>3461</v>
      </c>
      <c r="O1106" s="39" t="s">
        <v>55</v>
      </c>
      <c r="P1106" s="39" t="s">
        <v>3333</v>
      </c>
      <c r="Q1106" s="40">
        <v>6500</v>
      </c>
      <c r="R1106" s="40">
        <v>1770.4408397025879</v>
      </c>
    </row>
    <row r="1107" spans="1:18" s="39" customFormat="1" ht="13.45" customHeight="1" x14ac:dyDescent="0.2">
      <c r="A1107" s="39" t="s">
        <v>3462</v>
      </c>
      <c r="B1107" s="39" t="s">
        <v>73</v>
      </c>
      <c r="C1107" s="39" t="s">
        <v>188</v>
      </c>
      <c r="D1107" s="39" t="s">
        <v>137</v>
      </c>
      <c r="E1107" s="39" t="s">
        <v>133</v>
      </c>
      <c r="F1107" s="39" t="s">
        <v>3366</v>
      </c>
      <c r="G1107" s="39" t="s">
        <v>158</v>
      </c>
      <c r="L1107" s="39" t="s">
        <v>3463</v>
      </c>
      <c r="M1107" s="39" t="s">
        <v>3359</v>
      </c>
      <c r="N1107" s="39" t="s">
        <v>3454</v>
      </c>
      <c r="O1107" s="39" t="s">
        <v>55</v>
      </c>
      <c r="P1107" s="39" t="s">
        <v>3333</v>
      </c>
      <c r="Q1107" s="40">
        <v>0</v>
      </c>
      <c r="R1107" s="40">
        <v>0</v>
      </c>
    </row>
    <row r="1108" spans="1:18" s="39" customFormat="1" ht="13.45" customHeight="1" x14ac:dyDescent="0.2">
      <c r="A1108" s="39" t="s">
        <v>3464</v>
      </c>
      <c r="B1108" s="39" t="s">
        <v>73</v>
      </c>
      <c r="C1108" s="39" t="s">
        <v>188</v>
      </c>
      <c r="D1108" s="39" t="s">
        <v>137</v>
      </c>
      <c r="E1108" s="39" t="s">
        <v>133</v>
      </c>
      <c r="F1108" s="39" t="s">
        <v>3465</v>
      </c>
      <c r="G1108" s="39" t="s">
        <v>158</v>
      </c>
      <c r="L1108" s="39" t="s">
        <v>3466</v>
      </c>
      <c r="M1108" s="39" t="s">
        <v>3359</v>
      </c>
      <c r="N1108" s="39" t="s">
        <v>3467</v>
      </c>
      <c r="O1108" s="39" t="s">
        <v>55</v>
      </c>
      <c r="P1108" s="39" t="s">
        <v>3333</v>
      </c>
      <c r="Q1108" s="40">
        <v>500</v>
      </c>
      <c r="R1108" s="40">
        <v>136.18775690019908</v>
      </c>
    </row>
    <row r="1109" spans="1:18" s="39" customFormat="1" ht="13.45" customHeight="1" x14ac:dyDescent="0.2">
      <c r="A1109" s="39" t="s">
        <v>3468</v>
      </c>
      <c r="B1109" s="39" t="s">
        <v>73</v>
      </c>
      <c r="C1109" s="39" t="s">
        <v>188</v>
      </c>
      <c r="D1109" s="39" t="s">
        <v>137</v>
      </c>
      <c r="E1109" s="39" t="s">
        <v>133</v>
      </c>
      <c r="F1109" s="39" t="s">
        <v>3366</v>
      </c>
      <c r="G1109" s="39" t="s">
        <v>158</v>
      </c>
      <c r="L1109" s="39" t="s">
        <v>3469</v>
      </c>
      <c r="M1109" s="39" t="s">
        <v>3359</v>
      </c>
      <c r="N1109" s="39" t="s">
        <v>3470</v>
      </c>
      <c r="O1109" s="39" t="s">
        <v>55</v>
      </c>
      <c r="P1109" s="39" t="s">
        <v>3333</v>
      </c>
      <c r="Q1109" s="40">
        <v>0</v>
      </c>
      <c r="R1109" s="40">
        <v>0</v>
      </c>
    </row>
    <row r="1110" spans="1:18" s="39" customFormat="1" ht="13.45" customHeight="1" x14ac:dyDescent="0.2">
      <c r="A1110" s="39" t="s">
        <v>3471</v>
      </c>
      <c r="B1110" s="39" t="s">
        <v>73</v>
      </c>
      <c r="C1110" s="39" t="s">
        <v>188</v>
      </c>
      <c r="D1110" s="39" t="s">
        <v>137</v>
      </c>
      <c r="E1110" s="39" t="s">
        <v>133</v>
      </c>
      <c r="F1110" s="39" t="s">
        <v>3366</v>
      </c>
      <c r="G1110" s="39" t="s">
        <v>158</v>
      </c>
      <c r="L1110" s="39" t="s">
        <v>3472</v>
      </c>
      <c r="M1110" s="39" t="s">
        <v>3359</v>
      </c>
      <c r="N1110" s="39" t="s">
        <v>3473</v>
      </c>
      <c r="O1110" s="39" t="s">
        <v>55</v>
      </c>
      <c r="P1110" s="39" t="s">
        <v>3333</v>
      </c>
      <c r="Q1110" s="40">
        <v>0</v>
      </c>
      <c r="R1110" s="40">
        <v>0</v>
      </c>
    </row>
    <row r="1111" spans="1:18" s="39" customFormat="1" ht="13.45" customHeight="1" x14ac:dyDescent="0.2">
      <c r="A1111" s="39" t="s">
        <v>3474</v>
      </c>
      <c r="B1111" s="39" t="s">
        <v>73</v>
      </c>
      <c r="C1111" s="39" t="s">
        <v>188</v>
      </c>
      <c r="D1111" s="39" t="s">
        <v>137</v>
      </c>
      <c r="E1111" s="39" t="s">
        <v>133</v>
      </c>
      <c r="F1111" s="39" t="s">
        <v>3373</v>
      </c>
      <c r="G1111" s="39" t="s">
        <v>158</v>
      </c>
      <c r="L1111" s="39" t="s">
        <v>3475</v>
      </c>
      <c r="M1111" s="39" t="s">
        <v>3359</v>
      </c>
      <c r="N1111" s="39" t="s">
        <v>3476</v>
      </c>
      <c r="O1111" s="39" t="s">
        <v>55</v>
      </c>
      <c r="P1111" s="39" t="s">
        <v>3333</v>
      </c>
      <c r="Q1111" s="40">
        <v>7000</v>
      </c>
      <c r="R1111" s="40">
        <v>1906.6285966027872</v>
      </c>
    </row>
    <row r="1112" spans="1:18" s="39" customFormat="1" ht="13.45" customHeight="1" x14ac:dyDescent="0.2">
      <c r="A1112" s="39" t="s">
        <v>3477</v>
      </c>
      <c r="B1112" s="39" t="s">
        <v>73</v>
      </c>
      <c r="C1112" s="39" t="s">
        <v>188</v>
      </c>
      <c r="D1112" s="39" t="s">
        <v>137</v>
      </c>
      <c r="E1112" s="39" t="s">
        <v>133</v>
      </c>
      <c r="F1112" s="39" t="s">
        <v>3478</v>
      </c>
      <c r="G1112" s="39" t="s">
        <v>158</v>
      </c>
      <c r="L1112" s="39" t="s">
        <v>3479</v>
      </c>
      <c r="M1112" s="39" t="s">
        <v>3359</v>
      </c>
      <c r="N1112" s="39" t="s">
        <v>3375</v>
      </c>
      <c r="O1112" s="39" t="s">
        <v>55</v>
      </c>
      <c r="P1112" s="39" t="s">
        <v>3333</v>
      </c>
      <c r="Q1112" s="40">
        <v>21600</v>
      </c>
      <c r="R1112" s="40">
        <v>5883.3110980886004</v>
      </c>
    </row>
    <row r="1113" spans="1:18" s="39" customFormat="1" ht="13.45" customHeight="1" x14ac:dyDescent="0.2">
      <c r="A1113" s="39" t="s">
        <v>3480</v>
      </c>
      <c r="B1113" s="39" t="s">
        <v>73</v>
      </c>
      <c r="C1113" s="39" t="s">
        <v>188</v>
      </c>
      <c r="D1113" s="39" t="s">
        <v>137</v>
      </c>
      <c r="E1113" s="39" t="s">
        <v>133</v>
      </c>
      <c r="F1113" s="39" t="s">
        <v>3481</v>
      </c>
      <c r="G1113" s="39" t="s">
        <v>158</v>
      </c>
      <c r="L1113" s="39" t="s">
        <v>3482</v>
      </c>
      <c r="M1113" s="39" t="s">
        <v>3359</v>
      </c>
      <c r="N1113" s="39" t="s">
        <v>3382</v>
      </c>
      <c r="O1113" s="39" t="s">
        <v>55</v>
      </c>
      <c r="P1113" s="39" t="s">
        <v>3333</v>
      </c>
      <c r="Q1113" s="40">
        <v>310</v>
      </c>
      <c r="R1113" s="40">
        <v>84.436409278123435</v>
      </c>
    </row>
    <row r="1114" spans="1:18" s="39" customFormat="1" ht="13.45" customHeight="1" x14ac:dyDescent="0.2">
      <c r="A1114" s="39" t="s">
        <v>3483</v>
      </c>
      <c r="B1114" s="39" t="s">
        <v>73</v>
      </c>
      <c r="C1114" s="39" t="s">
        <v>188</v>
      </c>
      <c r="D1114" s="39" t="s">
        <v>137</v>
      </c>
      <c r="E1114" s="39" t="s">
        <v>133</v>
      </c>
      <c r="F1114" s="39" t="s">
        <v>3484</v>
      </c>
      <c r="G1114" s="39" t="s">
        <v>158</v>
      </c>
      <c r="L1114" s="39" t="s">
        <v>3485</v>
      </c>
      <c r="M1114" s="39" t="s">
        <v>3359</v>
      </c>
      <c r="N1114" s="39" t="s">
        <v>3375</v>
      </c>
      <c r="O1114" s="39" t="s">
        <v>55</v>
      </c>
      <c r="P1114" s="39" t="s">
        <v>3333</v>
      </c>
      <c r="Q1114" s="40">
        <v>11000</v>
      </c>
      <c r="R1114" s="40">
        <v>2996.1306518043798</v>
      </c>
    </row>
    <row r="1115" spans="1:18" s="39" customFormat="1" ht="13.45" customHeight="1" x14ac:dyDescent="0.2">
      <c r="A1115" s="39" t="s">
        <v>3486</v>
      </c>
      <c r="B1115" s="39" t="s">
        <v>73</v>
      </c>
      <c r="C1115" s="39" t="s">
        <v>188</v>
      </c>
      <c r="D1115" s="39" t="s">
        <v>137</v>
      </c>
      <c r="E1115" s="39" t="s">
        <v>133</v>
      </c>
      <c r="F1115" s="39" t="s">
        <v>3366</v>
      </c>
      <c r="G1115" s="39" t="s">
        <v>158</v>
      </c>
      <c r="L1115" s="39" t="s">
        <v>3487</v>
      </c>
      <c r="M1115" s="39" t="s">
        <v>3359</v>
      </c>
      <c r="N1115" s="39" t="s">
        <v>3368</v>
      </c>
      <c r="O1115" s="39" t="s">
        <v>55</v>
      </c>
      <c r="P1115" s="39" t="s">
        <v>3333</v>
      </c>
      <c r="Q1115" s="40">
        <v>3</v>
      </c>
      <c r="R1115" s="40">
        <v>0.81712654140119445</v>
      </c>
    </row>
    <row r="1116" spans="1:18" s="39" customFormat="1" ht="13.45" customHeight="1" x14ac:dyDescent="0.2">
      <c r="A1116" s="39" t="s">
        <v>3488</v>
      </c>
      <c r="B1116" s="39" t="s">
        <v>73</v>
      </c>
      <c r="C1116" s="39" t="s">
        <v>188</v>
      </c>
      <c r="D1116" s="39" t="s">
        <v>137</v>
      </c>
      <c r="E1116" s="39" t="s">
        <v>133</v>
      </c>
      <c r="F1116" s="39" t="s">
        <v>3489</v>
      </c>
      <c r="G1116" s="39" t="s">
        <v>158</v>
      </c>
      <c r="L1116" s="39" t="s">
        <v>3490</v>
      </c>
      <c r="M1116" s="39" t="s">
        <v>3359</v>
      </c>
      <c r="N1116" s="39" t="s">
        <v>3491</v>
      </c>
      <c r="O1116" s="39" t="s">
        <v>55</v>
      </c>
      <c r="P1116" s="39" t="s">
        <v>3333</v>
      </c>
      <c r="Q1116" s="40">
        <v>1349</v>
      </c>
      <c r="R1116" s="40">
        <v>367.43456811673713</v>
      </c>
    </row>
    <row r="1117" spans="1:18" s="39" customFormat="1" ht="13.45" customHeight="1" x14ac:dyDescent="0.2">
      <c r="A1117" s="39" t="s">
        <v>3492</v>
      </c>
      <c r="B1117" s="39" t="s">
        <v>73</v>
      </c>
      <c r="C1117" s="39" t="s">
        <v>188</v>
      </c>
      <c r="D1117" s="39" t="s">
        <v>137</v>
      </c>
      <c r="E1117" s="39" t="s">
        <v>133</v>
      </c>
      <c r="F1117" s="39" t="s">
        <v>3362</v>
      </c>
      <c r="G1117" s="39" t="s">
        <v>158</v>
      </c>
      <c r="L1117" s="39" t="s">
        <v>3493</v>
      </c>
      <c r="M1117" s="39" t="s">
        <v>3359</v>
      </c>
      <c r="N1117" s="39" t="s">
        <v>3491</v>
      </c>
      <c r="O1117" s="39" t="s">
        <v>55</v>
      </c>
      <c r="P1117" s="39" t="s">
        <v>3333</v>
      </c>
      <c r="Q1117" s="40">
        <v>185</v>
      </c>
      <c r="R1117" s="40">
        <v>50.389470053073659</v>
      </c>
    </row>
    <row r="1118" spans="1:18" s="39" customFormat="1" ht="13.45" customHeight="1" x14ac:dyDescent="0.2">
      <c r="A1118" s="39" t="s">
        <v>3494</v>
      </c>
      <c r="B1118" s="39" t="s">
        <v>73</v>
      </c>
      <c r="C1118" s="39" t="s">
        <v>188</v>
      </c>
      <c r="D1118" s="39" t="s">
        <v>137</v>
      </c>
      <c r="E1118" s="39" t="s">
        <v>133</v>
      </c>
      <c r="F1118" s="39" t="s">
        <v>3495</v>
      </c>
      <c r="G1118" s="39" t="s">
        <v>158</v>
      </c>
      <c r="L1118" s="39" t="s">
        <v>3496</v>
      </c>
      <c r="M1118" s="39" t="s">
        <v>3359</v>
      </c>
      <c r="N1118" s="39" t="s">
        <v>3491</v>
      </c>
      <c r="O1118" s="39" t="s">
        <v>55</v>
      </c>
      <c r="P1118" s="39" t="s">
        <v>3333</v>
      </c>
      <c r="Q1118" s="40">
        <v>82</v>
      </c>
      <c r="R1118" s="40">
        <v>22.33479213163265</v>
      </c>
    </row>
    <row r="1119" spans="1:18" s="39" customFormat="1" ht="13.45" customHeight="1" x14ac:dyDescent="0.2">
      <c r="A1119" s="39" t="s">
        <v>3497</v>
      </c>
      <c r="B1119" s="39" t="s">
        <v>73</v>
      </c>
      <c r="C1119" s="39" t="s">
        <v>188</v>
      </c>
      <c r="D1119" s="39" t="s">
        <v>137</v>
      </c>
      <c r="E1119" s="39" t="s">
        <v>133</v>
      </c>
      <c r="F1119" s="39" t="s">
        <v>3498</v>
      </c>
      <c r="G1119" s="39" t="s">
        <v>158</v>
      </c>
      <c r="L1119" s="39" t="s">
        <v>3499</v>
      </c>
      <c r="M1119" s="39" t="s">
        <v>3359</v>
      </c>
      <c r="N1119" s="39" t="s">
        <v>3500</v>
      </c>
      <c r="O1119" s="39" t="s">
        <v>55</v>
      </c>
      <c r="P1119" s="39" t="s">
        <v>3333</v>
      </c>
      <c r="Q1119" s="40">
        <v>1500</v>
      </c>
      <c r="R1119" s="40">
        <v>408.56327070059723</v>
      </c>
    </row>
    <row r="1120" spans="1:18" s="39" customFormat="1" ht="13.45" customHeight="1" x14ac:dyDescent="0.2">
      <c r="A1120" s="39" t="s">
        <v>3501</v>
      </c>
      <c r="B1120" s="39" t="s">
        <v>73</v>
      </c>
      <c r="C1120" s="39" t="s">
        <v>188</v>
      </c>
      <c r="D1120" s="39" t="s">
        <v>137</v>
      </c>
      <c r="E1120" s="39" t="s">
        <v>133</v>
      </c>
      <c r="F1120" s="39" t="s">
        <v>3502</v>
      </c>
      <c r="G1120" s="39" t="s">
        <v>158</v>
      </c>
      <c r="L1120" s="39" t="s">
        <v>3503</v>
      </c>
      <c r="M1120" s="39" t="s">
        <v>3359</v>
      </c>
      <c r="N1120" s="39" t="s">
        <v>3504</v>
      </c>
      <c r="O1120" s="39" t="s">
        <v>55</v>
      </c>
      <c r="P1120" s="39" t="s">
        <v>3333</v>
      </c>
      <c r="Q1120" s="40">
        <v>237</v>
      </c>
      <c r="R1120" s="40">
        <v>64.552996770694364</v>
      </c>
    </row>
    <row r="1121" spans="1:18" s="39" customFormat="1" ht="13.45" customHeight="1" x14ac:dyDescent="0.2">
      <c r="A1121" s="39" t="s">
        <v>3505</v>
      </c>
      <c r="B1121" s="39" t="s">
        <v>73</v>
      </c>
      <c r="C1121" s="39" t="s">
        <v>188</v>
      </c>
      <c r="D1121" s="39" t="s">
        <v>137</v>
      </c>
      <c r="E1121" s="39" t="s">
        <v>133</v>
      </c>
      <c r="F1121" s="39" t="s">
        <v>3402</v>
      </c>
      <c r="G1121" s="39" t="s">
        <v>158</v>
      </c>
      <c r="L1121" s="39" t="s">
        <v>3506</v>
      </c>
      <c r="M1121" s="39" t="s">
        <v>3359</v>
      </c>
      <c r="N1121" s="39" t="s">
        <v>3491</v>
      </c>
      <c r="O1121" s="39" t="s">
        <v>55</v>
      </c>
      <c r="P1121" s="39" t="s">
        <v>3333</v>
      </c>
      <c r="Q1121" s="40">
        <v>264</v>
      </c>
      <c r="R1121" s="40">
        <v>71.907135643305111</v>
      </c>
    </row>
    <row r="1122" spans="1:18" s="39" customFormat="1" ht="13.45" customHeight="1" x14ac:dyDescent="0.2">
      <c r="A1122" s="39" t="s">
        <v>3507</v>
      </c>
      <c r="B1122" s="39" t="s">
        <v>73</v>
      </c>
      <c r="C1122" s="39" t="s">
        <v>188</v>
      </c>
      <c r="D1122" s="39" t="s">
        <v>137</v>
      </c>
      <c r="E1122" s="39" t="s">
        <v>133</v>
      </c>
      <c r="F1122" s="39" t="s">
        <v>3495</v>
      </c>
      <c r="G1122" s="39" t="s">
        <v>158</v>
      </c>
      <c r="L1122" s="39" t="s">
        <v>3508</v>
      </c>
      <c r="M1122" s="39" t="s">
        <v>3359</v>
      </c>
      <c r="N1122" s="39" t="s">
        <v>3491</v>
      </c>
      <c r="O1122" s="39" t="s">
        <v>55</v>
      </c>
      <c r="P1122" s="39" t="s">
        <v>3333</v>
      </c>
      <c r="Q1122" s="40">
        <v>93</v>
      </c>
      <c r="R1122" s="40">
        <v>25.330922783437028</v>
      </c>
    </row>
    <row r="1123" spans="1:18" s="39" customFormat="1" ht="13.45" customHeight="1" x14ac:dyDescent="0.2">
      <c r="A1123" s="39" t="s">
        <v>3509</v>
      </c>
      <c r="B1123" s="39" t="s">
        <v>73</v>
      </c>
      <c r="C1123" s="39" t="s">
        <v>188</v>
      </c>
      <c r="D1123" s="39" t="s">
        <v>137</v>
      </c>
      <c r="E1123" s="39" t="s">
        <v>133</v>
      </c>
      <c r="F1123" s="39" t="s">
        <v>3366</v>
      </c>
      <c r="G1123" s="39" t="s">
        <v>158</v>
      </c>
      <c r="L1123" s="39" t="s">
        <v>3510</v>
      </c>
      <c r="M1123" s="39" t="s">
        <v>3359</v>
      </c>
      <c r="N1123" s="39" t="s">
        <v>3511</v>
      </c>
      <c r="O1123" s="39" t="s">
        <v>55</v>
      </c>
      <c r="P1123" s="39" t="s">
        <v>3333</v>
      </c>
      <c r="Q1123" s="40">
        <v>0</v>
      </c>
      <c r="R1123" s="40">
        <v>0</v>
      </c>
    </row>
    <row r="1124" spans="1:18" s="39" customFormat="1" ht="13.45" customHeight="1" x14ac:dyDescent="0.2">
      <c r="A1124" s="39" t="s">
        <v>3512</v>
      </c>
      <c r="B1124" s="39" t="s">
        <v>73</v>
      </c>
      <c r="C1124" s="39" t="s">
        <v>188</v>
      </c>
      <c r="D1124" s="39" t="s">
        <v>137</v>
      </c>
      <c r="E1124" s="39" t="s">
        <v>133</v>
      </c>
      <c r="F1124" s="39" t="s">
        <v>3513</v>
      </c>
      <c r="G1124" s="39" t="s">
        <v>158</v>
      </c>
      <c r="L1124" s="39" t="s">
        <v>3514</v>
      </c>
      <c r="M1124" s="39" t="s">
        <v>3359</v>
      </c>
      <c r="N1124" s="39" t="s">
        <v>3375</v>
      </c>
      <c r="O1124" s="39" t="s">
        <v>55</v>
      </c>
      <c r="P1124" s="39" t="s">
        <v>3333</v>
      </c>
      <c r="Q1124" s="40">
        <v>3000</v>
      </c>
      <c r="R1124" s="40">
        <v>817.12654140119446</v>
      </c>
    </row>
    <row r="1125" spans="1:18" s="39" customFormat="1" ht="13.45" customHeight="1" x14ac:dyDescent="0.2">
      <c r="A1125" s="39" t="s">
        <v>3515</v>
      </c>
      <c r="B1125" s="39" t="s">
        <v>73</v>
      </c>
      <c r="C1125" s="39" t="s">
        <v>188</v>
      </c>
      <c r="D1125" s="39" t="s">
        <v>137</v>
      </c>
      <c r="E1125" s="39" t="s">
        <v>133</v>
      </c>
      <c r="F1125" s="39" t="s">
        <v>3516</v>
      </c>
      <c r="G1125" s="39" t="s">
        <v>158</v>
      </c>
      <c r="L1125" s="39" t="s">
        <v>3517</v>
      </c>
      <c r="M1125" s="39" t="s">
        <v>3359</v>
      </c>
      <c r="N1125" s="39" t="s">
        <v>3457</v>
      </c>
      <c r="O1125" s="39" t="s">
        <v>55</v>
      </c>
      <c r="P1125" s="39" t="s">
        <v>3333</v>
      </c>
      <c r="Q1125" s="40">
        <v>1450</v>
      </c>
      <c r="R1125" s="40">
        <v>394.94449501057733</v>
      </c>
    </row>
    <row r="1126" spans="1:18" s="39" customFormat="1" ht="13.45" customHeight="1" x14ac:dyDescent="0.2">
      <c r="A1126" s="39" t="s">
        <v>3518</v>
      </c>
      <c r="B1126" s="39" t="s">
        <v>73</v>
      </c>
      <c r="C1126" s="39" t="s">
        <v>188</v>
      </c>
      <c r="D1126" s="39" t="s">
        <v>137</v>
      </c>
      <c r="E1126" s="39" t="s">
        <v>133</v>
      </c>
      <c r="F1126" s="39" t="s">
        <v>3366</v>
      </c>
      <c r="G1126" s="39" t="s">
        <v>158</v>
      </c>
      <c r="L1126" s="39" t="s">
        <v>3519</v>
      </c>
      <c r="M1126" s="39" t="s">
        <v>3359</v>
      </c>
      <c r="N1126" s="39" t="s">
        <v>3520</v>
      </c>
      <c r="O1126" s="39" t="s">
        <v>55</v>
      </c>
      <c r="P1126" s="39" t="s">
        <v>3333</v>
      </c>
      <c r="Q1126" s="40">
        <v>0</v>
      </c>
      <c r="R1126" s="40">
        <v>0</v>
      </c>
    </row>
    <row r="1127" spans="1:18" s="39" customFormat="1" ht="13.45" customHeight="1" x14ac:dyDescent="0.2">
      <c r="A1127" s="39" t="s">
        <v>3521</v>
      </c>
      <c r="B1127" s="39" t="s">
        <v>73</v>
      </c>
      <c r="C1127" s="39" t="s">
        <v>188</v>
      </c>
      <c r="D1127" s="39" t="s">
        <v>137</v>
      </c>
      <c r="E1127" s="39" t="s">
        <v>133</v>
      </c>
      <c r="F1127" s="39" t="s">
        <v>3366</v>
      </c>
      <c r="G1127" s="39" t="s">
        <v>158</v>
      </c>
      <c r="L1127" s="39" t="s">
        <v>3522</v>
      </c>
      <c r="M1127" s="39" t="s">
        <v>3359</v>
      </c>
      <c r="N1127" s="39" t="s">
        <v>3523</v>
      </c>
      <c r="O1127" s="39" t="s">
        <v>55</v>
      </c>
      <c r="P1127" s="39" t="s">
        <v>3333</v>
      </c>
      <c r="Q1127" s="40">
        <v>0</v>
      </c>
      <c r="R1127" s="40">
        <v>0</v>
      </c>
    </row>
    <row r="1128" spans="1:18" s="39" customFormat="1" ht="13.45" customHeight="1" x14ac:dyDescent="0.2">
      <c r="A1128" s="39" t="s">
        <v>3524</v>
      </c>
      <c r="B1128" s="39" t="s">
        <v>73</v>
      </c>
      <c r="C1128" s="39" t="s">
        <v>188</v>
      </c>
      <c r="D1128" s="39" t="s">
        <v>137</v>
      </c>
      <c r="E1128" s="39" t="s">
        <v>133</v>
      </c>
      <c r="F1128" s="39" t="s">
        <v>3525</v>
      </c>
      <c r="G1128" s="39" t="s">
        <v>158</v>
      </c>
      <c r="L1128" s="39" t="s">
        <v>3526</v>
      </c>
      <c r="M1128" s="39" t="s">
        <v>3359</v>
      </c>
      <c r="N1128" s="39" t="s">
        <v>3527</v>
      </c>
      <c r="O1128" s="39" t="s">
        <v>55</v>
      </c>
      <c r="P1128" s="39" t="s">
        <v>3333</v>
      </c>
      <c r="Q1128" s="40">
        <v>1000</v>
      </c>
      <c r="R1128" s="40">
        <v>272.37551380039815</v>
      </c>
    </row>
    <row r="1129" spans="1:18" s="39" customFormat="1" ht="13.45" customHeight="1" x14ac:dyDescent="0.2">
      <c r="A1129" s="39" t="s">
        <v>3528</v>
      </c>
      <c r="B1129" s="39" t="s">
        <v>73</v>
      </c>
      <c r="C1129" s="39" t="s">
        <v>188</v>
      </c>
      <c r="D1129" s="39" t="s">
        <v>137</v>
      </c>
      <c r="E1129" s="39" t="s">
        <v>133</v>
      </c>
      <c r="F1129" s="39" t="s">
        <v>3529</v>
      </c>
      <c r="G1129" s="39" t="s">
        <v>158</v>
      </c>
      <c r="L1129" s="39" t="s">
        <v>3530</v>
      </c>
      <c r="M1129" s="39" t="s">
        <v>3359</v>
      </c>
      <c r="N1129" s="39" t="s">
        <v>3375</v>
      </c>
      <c r="O1129" s="39" t="s">
        <v>55</v>
      </c>
      <c r="P1129" s="39" t="s">
        <v>3333</v>
      </c>
      <c r="Q1129" s="40">
        <v>2700</v>
      </c>
      <c r="R1129" s="40">
        <v>735.41388726107505</v>
      </c>
    </row>
    <row r="1130" spans="1:18" s="39" customFormat="1" ht="13.45" customHeight="1" x14ac:dyDescent="0.2">
      <c r="A1130" s="39" t="s">
        <v>3531</v>
      </c>
      <c r="B1130" s="39" t="s">
        <v>73</v>
      </c>
      <c r="C1130" s="39" t="s">
        <v>188</v>
      </c>
      <c r="D1130" s="39" t="s">
        <v>137</v>
      </c>
      <c r="E1130" s="39" t="s">
        <v>133</v>
      </c>
      <c r="F1130" s="39" t="s">
        <v>3532</v>
      </c>
      <c r="G1130" s="39" t="s">
        <v>158</v>
      </c>
      <c r="L1130" s="39" t="s">
        <v>3533</v>
      </c>
      <c r="M1130" s="39" t="s">
        <v>3359</v>
      </c>
      <c r="N1130" s="39" t="s">
        <v>3534</v>
      </c>
      <c r="O1130" s="39" t="s">
        <v>55</v>
      </c>
      <c r="P1130" s="39" t="s">
        <v>3333</v>
      </c>
      <c r="Q1130" s="40">
        <v>2800</v>
      </c>
      <c r="R1130" s="40">
        <v>762.65143864111485</v>
      </c>
    </row>
    <row r="1131" spans="1:18" s="39" customFormat="1" ht="13.45" customHeight="1" x14ac:dyDescent="0.2">
      <c r="A1131" s="39" t="s">
        <v>3535</v>
      </c>
      <c r="B1131" s="39" t="s">
        <v>73</v>
      </c>
      <c r="C1131" s="39" t="s">
        <v>226</v>
      </c>
      <c r="D1131" s="39" t="s">
        <v>137</v>
      </c>
      <c r="E1131" s="39" t="s">
        <v>133</v>
      </c>
      <c r="F1131" s="39" t="s">
        <v>3362</v>
      </c>
      <c r="G1131" s="39" t="s">
        <v>158</v>
      </c>
      <c r="L1131" s="39" t="s">
        <v>3536</v>
      </c>
      <c r="M1131" s="39" t="s">
        <v>3359</v>
      </c>
      <c r="N1131" s="39" t="s">
        <v>3375</v>
      </c>
      <c r="O1131" s="39" t="s">
        <v>55</v>
      </c>
      <c r="P1131" s="39" t="s">
        <v>3333</v>
      </c>
      <c r="Q1131" s="40">
        <v>200</v>
      </c>
      <c r="R1131" s="40">
        <v>54.475102760079629</v>
      </c>
    </row>
    <row r="1132" spans="1:18" s="39" customFormat="1" ht="13.45" customHeight="1" x14ac:dyDescent="0.2">
      <c r="A1132" s="39" t="s">
        <v>3537</v>
      </c>
      <c r="B1132" s="39" t="s">
        <v>73</v>
      </c>
      <c r="C1132" s="39" t="s">
        <v>226</v>
      </c>
      <c r="D1132" s="39" t="s">
        <v>137</v>
      </c>
      <c r="E1132" s="39" t="s">
        <v>133</v>
      </c>
      <c r="F1132" s="39" t="s">
        <v>3538</v>
      </c>
      <c r="G1132" s="39" t="s">
        <v>158</v>
      </c>
      <c r="L1132" s="39" t="s">
        <v>3539</v>
      </c>
      <c r="M1132" s="39" t="s">
        <v>3359</v>
      </c>
      <c r="N1132" s="39" t="s">
        <v>3540</v>
      </c>
      <c r="O1132" s="39" t="s">
        <v>55</v>
      </c>
      <c r="P1132" s="39" t="s">
        <v>3333</v>
      </c>
      <c r="Q1132" s="40">
        <v>4750</v>
      </c>
      <c r="R1132" s="40">
        <v>1293.7836905518911</v>
      </c>
    </row>
    <row r="1133" spans="1:18" s="39" customFormat="1" ht="13.45" customHeight="1" x14ac:dyDescent="0.2">
      <c r="A1133" s="39" t="s">
        <v>3541</v>
      </c>
      <c r="B1133" s="39" t="s">
        <v>73</v>
      </c>
      <c r="C1133" s="39" t="s">
        <v>226</v>
      </c>
      <c r="D1133" s="39" t="s">
        <v>137</v>
      </c>
      <c r="E1133" s="39" t="s">
        <v>147</v>
      </c>
      <c r="F1133" s="39" t="s">
        <v>3366</v>
      </c>
      <c r="G1133" s="39" t="s">
        <v>158</v>
      </c>
      <c r="L1133" s="39" t="s">
        <v>3542</v>
      </c>
      <c r="M1133" s="39" t="s">
        <v>3359</v>
      </c>
      <c r="N1133" s="39" t="s">
        <v>3543</v>
      </c>
      <c r="O1133" s="39" t="s">
        <v>55</v>
      </c>
      <c r="P1133" s="39" t="s">
        <v>3333</v>
      </c>
      <c r="Q1133" s="40">
        <v>0</v>
      </c>
      <c r="R1133" s="40">
        <v>0</v>
      </c>
    </row>
    <row r="1134" spans="1:18" s="39" customFormat="1" ht="13.45" customHeight="1" x14ac:dyDescent="0.2">
      <c r="A1134" s="39" t="s">
        <v>3544</v>
      </c>
      <c r="B1134" s="39" t="s">
        <v>73</v>
      </c>
      <c r="C1134" s="39" t="s">
        <v>226</v>
      </c>
      <c r="D1134" s="39" t="s">
        <v>137</v>
      </c>
      <c r="E1134" s="39" t="s">
        <v>133</v>
      </c>
      <c r="F1134" s="39" t="s">
        <v>3495</v>
      </c>
      <c r="G1134" s="39" t="s">
        <v>158</v>
      </c>
      <c r="L1134" s="39" t="s">
        <v>3545</v>
      </c>
      <c r="M1134" s="39" t="s">
        <v>3359</v>
      </c>
      <c r="N1134" s="39" t="s">
        <v>3546</v>
      </c>
      <c r="O1134" s="39" t="s">
        <v>55</v>
      </c>
      <c r="P1134" s="39" t="s">
        <v>3333</v>
      </c>
      <c r="Q1134" s="40">
        <v>100</v>
      </c>
      <c r="R1134" s="40">
        <v>27.237551380039815</v>
      </c>
    </row>
    <row r="1135" spans="1:18" s="39" customFormat="1" ht="13.45" customHeight="1" x14ac:dyDescent="0.2">
      <c r="A1135" s="39" t="s">
        <v>3547</v>
      </c>
      <c r="B1135" s="39" t="s">
        <v>73</v>
      </c>
      <c r="C1135" s="39" t="s">
        <v>188</v>
      </c>
      <c r="D1135" s="55" t="s">
        <v>121</v>
      </c>
      <c r="E1135" s="39" t="s">
        <v>251</v>
      </c>
      <c r="F1135" s="39" t="s">
        <v>3418</v>
      </c>
      <c r="G1135" s="39" t="s">
        <v>125</v>
      </c>
      <c r="H1135" s="39" t="s">
        <v>162</v>
      </c>
      <c r="L1135" s="39" t="s">
        <v>3548</v>
      </c>
      <c r="M1135" s="39" t="s">
        <v>3359</v>
      </c>
      <c r="N1135" s="39" t="s">
        <v>3438</v>
      </c>
      <c r="O1135" s="39" t="s">
        <v>55</v>
      </c>
      <c r="P1135" s="39" t="s">
        <v>3333</v>
      </c>
      <c r="Q1135" s="40">
        <v>2000</v>
      </c>
      <c r="R1135" s="40">
        <v>544.75102760079631</v>
      </c>
    </row>
    <row r="1136" spans="1:18" s="39" customFormat="1" ht="13.45" customHeight="1" x14ac:dyDescent="0.2">
      <c r="A1136" s="75" t="s">
        <v>3549</v>
      </c>
      <c r="B1136" s="75" t="s">
        <v>74</v>
      </c>
      <c r="C1136" s="75" t="s">
        <v>132</v>
      </c>
      <c r="D1136" s="75" t="s">
        <v>121</v>
      </c>
      <c r="E1136" s="75" t="s">
        <v>251</v>
      </c>
      <c r="F1136" s="75" t="s">
        <v>3550</v>
      </c>
      <c r="G1136" s="75" t="s">
        <v>125</v>
      </c>
      <c r="H1136" s="75" t="s">
        <v>162</v>
      </c>
      <c r="I1136" s="75"/>
      <c r="J1136" s="75"/>
      <c r="K1136" s="75"/>
      <c r="L1136" s="75" t="s">
        <v>3551</v>
      </c>
      <c r="M1136" s="75" t="s">
        <v>3552</v>
      </c>
      <c r="N1136" s="75"/>
      <c r="O1136" s="75" t="s">
        <v>52</v>
      </c>
      <c r="P1136" s="75" t="s">
        <v>65</v>
      </c>
      <c r="Q1136" s="100">
        <v>300</v>
      </c>
      <c r="R1136" s="40">
        <v>330.80068232225648</v>
      </c>
    </row>
    <row r="1137" spans="1:18" s="39" customFormat="1" ht="13.45" customHeight="1" x14ac:dyDescent="0.2">
      <c r="A1137" s="39" t="s">
        <v>3553</v>
      </c>
      <c r="B1137" s="39" t="s">
        <v>74</v>
      </c>
      <c r="C1137" s="39" t="s">
        <v>132</v>
      </c>
      <c r="D1137" s="39" t="s">
        <v>121</v>
      </c>
      <c r="E1137" s="39" t="s">
        <v>166</v>
      </c>
      <c r="F1137" s="39" t="s">
        <v>3554</v>
      </c>
      <c r="G1137" s="39" t="s">
        <v>125</v>
      </c>
      <c r="L1137" s="39" t="s">
        <v>3555</v>
      </c>
      <c r="M1137" s="39" t="s">
        <v>3556</v>
      </c>
      <c r="O1137" s="39" t="s">
        <v>52</v>
      </c>
      <c r="P1137" s="39" t="s">
        <v>65</v>
      </c>
      <c r="Q1137" s="40"/>
      <c r="R1137" s="40">
        <v>0</v>
      </c>
    </row>
    <row r="1138" spans="1:18" s="39" customFormat="1" ht="13.45" customHeight="1" x14ac:dyDescent="0.2">
      <c r="A1138" s="39" t="s">
        <v>3557</v>
      </c>
      <c r="B1138" s="39" t="s">
        <v>74</v>
      </c>
      <c r="C1138" s="39" t="s">
        <v>132</v>
      </c>
      <c r="D1138" s="39" t="s">
        <v>137</v>
      </c>
      <c r="E1138" s="39" t="s">
        <v>151</v>
      </c>
      <c r="F1138" s="39" t="s">
        <v>3558</v>
      </c>
      <c r="G1138" s="39" t="s">
        <v>125</v>
      </c>
      <c r="L1138" s="39" t="s">
        <v>3559</v>
      </c>
      <c r="M1138" s="39" t="s">
        <v>3560</v>
      </c>
      <c r="O1138" s="39" t="s">
        <v>54</v>
      </c>
      <c r="Q1138" s="40" t="s">
        <v>1604</v>
      </c>
      <c r="R1138" s="40" t="s">
        <v>1604</v>
      </c>
    </row>
    <row r="1139" spans="1:18" s="39" customFormat="1" ht="13.45" customHeight="1" x14ac:dyDescent="0.2">
      <c r="A1139" s="39" t="s">
        <v>3561</v>
      </c>
      <c r="B1139" s="39" t="s">
        <v>74</v>
      </c>
      <c r="C1139" s="39" t="s">
        <v>132</v>
      </c>
      <c r="D1139" s="39" t="s">
        <v>121</v>
      </c>
      <c r="E1139" s="39" t="s">
        <v>133</v>
      </c>
      <c r="F1139" s="39" t="s">
        <v>3562</v>
      </c>
      <c r="G1139" s="39" t="s">
        <v>134</v>
      </c>
      <c r="L1139" s="39" t="s">
        <v>3563</v>
      </c>
      <c r="M1139" s="39" t="s">
        <v>3564</v>
      </c>
      <c r="O1139" s="39" t="s">
        <v>52</v>
      </c>
      <c r="P1139" s="39" t="s">
        <v>65</v>
      </c>
      <c r="Q1139" s="40">
        <v>40</v>
      </c>
      <c r="R1139" s="40">
        <v>44.10675764296753</v>
      </c>
    </row>
    <row r="1140" spans="1:18" s="39" customFormat="1" ht="13.45" customHeight="1" x14ac:dyDescent="0.2">
      <c r="A1140" s="39" t="s">
        <v>3565</v>
      </c>
      <c r="B1140" s="39" t="s">
        <v>74</v>
      </c>
      <c r="C1140" s="39" t="s">
        <v>132</v>
      </c>
      <c r="D1140" s="39" t="s">
        <v>121</v>
      </c>
      <c r="E1140" s="39" t="s">
        <v>251</v>
      </c>
      <c r="F1140" s="39" t="s">
        <v>3566</v>
      </c>
      <c r="G1140" s="39" t="s">
        <v>125</v>
      </c>
      <c r="H1140" s="39" t="s">
        <v>162</v>
      </c>
      <c r="L1140" s="39" t="s">
        <v>3567</v>
      </c>
      <c r="M1140" s="39" t="s">
        <v>3568</v>
      </c>
      <c r="O1140" s="39" t="s">
        <v>52</v>
      </c>
      <c r="P1140" s="39" t="s">
        <v>65</v>
      </c>
      <c r="Q1140" s="40">
        <v>50</v>
      </c>
      <c r="R1140" s="40">
        <v>55.133447053709418</v>
      </c>
    </row>
    <row r="1141" spans="1:18" s="39" customFormat="1" ht="13.45" customHeight="1" x14ac:dyDescent="0.2">
      <c r="A1141" s="39" t="s">
        <v>3569</v>
      </c>
      <c r="B1141" s="39" t="s">
        <v>74</v>
      </c>
      <c r="C1141" s="39" t="s">
        <v>171</v>
      </c>
      <c r="D1141" s="39" t="s">
        <v>160</v>
      </c>
      <c r="E1141" s="39" t="s">
        <v>251</v>
      </c>
      <c r="F1141" s="39" t="s">
        <v>3558</v>
      </c>
      <c r="G1141" s="39" t="s">
        <v>125</v>
      </c>
      <c r="H1141" s="39" t="s">
        <v>162</v>
      </c>
      <c r="L1141" s="39" t="s">
        <v>3570</v>
      </c>
      <c r="M1141" s="39" t="s">
        <v>3568</v>
      </c>
      <c r="O1141" s="39" t="s">
        <v>52</v>
      </c>
      <c r="Q1141" s="40" t="s">
        <v>1604</v>
      </c>
      <c r="R1141" s="40" t="s">
        <v>1604</v>
      </c>
    </row>
    <row r="1142" spans="1:18" s="39" customFormat="1" ht="13.45" customHeight="1" x14ac:dyDescent="0.2">
      <c r="A1142" s="39" t="s">
        <v>3571</v>
      </c>
      <c r="B1142" s="39" t="s">
        <v>74</v>
      </c>
      <c r="C1142" s="39" t="s">
        <v>280</v>
      </c>
      <c r="D1142" s="39" t="s">
        <v>121</v>
      </c>
      <c r="E1142" s="39" t="s">
        <v>151</v>
      </c>
      <c r="F1142" s="39" t="s">
        <v>3572</v>
      </c>
      <c r="G1142" s="39" t="s">
        <v>125</v>
      </c>
      <c r="L1142" s="39" t="s">
        <v>3573</v>
      </c>
      <c r="M1142" s="39" t="s">
        <v>3574</v>
      </c>
      <c r="O1142" s="39" t="s">
        <v>52</v>
      </c>
      <c r="P1142" s="39" t="s">
        <v>65</v>
      </c>
      <c r="Q1142" s="40">
        <v>100</v>
      </c>
      <c r="R1142" s="40">
        <v>110.26689410741884</v>
      </c>
    </row>
    <row r="1143" spans="1:18" s="39" customFormat="1" ht="13.45" customHeight="1" x14ac:dyDescent="0.2">
      <c r="A1143" s="39" t="s">
        <v>3575</v>
      </c>
      <c r="B1143" s="39" t="s">
        <v>74</v>
      </c>
      <c r="C1143" s="39" t="s">
        <v>132</v>
      </c>
      <c r="D1143" s="39" t="s">
        <v>121</v>
      </c>
      <c r="E1143" s="39" t="s">
        <v>251</v>
      </c>
      <c r="F1143" s="39" t="s">
        <v>3576</v>
      </c>
      <c r="G1143" s="39" t="s">
        <v>125</v>
      </c>
      <c r="H1143" s="39" t="s">
        <v>162</v>
      </c>
      <c r="L1143" s="39" t="s">
        <v>3577</v>
      </c>
      <c r="M1143" s="39" t="s">
        <v>3578</v>
      </c>
      <c r="O1143" s="39" t="s">
        <v>55</v>
      </c>
      <c r="P1143" s="39" t="s">
        <v>65</v>
      </c>
      <c r="Q1143" s="40">
        <v>500</v>
      </c>
      <c r="R1143" s="40">
        <v>551.33447053709415</v>
      </c>
    </row>
    <row r="1144" spans="1:18" s="39" customFormat="1" ht="13.45" customHeight="1" x14ac:dyDescent="0.2">
      <c r="A1144" s="39" t="s">
        <v>3579</v>
      </c>
      <c r="B1144" s="39" t="s">
        <v>74</v>
      </c>
      <c r="C1144" s="39" t="s">
        <v>132</v>
      </c>
      <c r="D1144" s="39" t="s">
        <v>121</v>
      </c>
      <c r="E1144" s="39" t="s">
        <v>251</v>
      </c>
      <c r="F1144" s="39" t="s">
        <v>3558</v>
      </c>
      <c r="G1144" s="39" t="s">
        <v>162</v>
      </c>
      <c r="H1144" s="39" t="s">
        <v>125</v>
      </c>
      <c r="L1144" s="39" t="s">
        <v>3580</v>
      </c>
      <c r="M1144" s="39" t="s">
        <v>3581</v>
      </c>
      <c r="O1144" s="39" t="s">
        <v>54</v>
      </c>
      <c r="Q1144" s="40" t="s">
        <v>1604</v>
      </c>
      <c r="R1144" s="40" t="s">
        <v>1604</v>
      </c>
    </row>
    <row r="1145" spans="1:18" s="39" customFormat="1" ht="13.45" customHeight="1" x14ac:dyDescent="0.2">
      <c r="A1145" s="39" t="s">
        <v>3582</v>
      </c>
      <c r="B1145" s="39" t="s">
        <v>74</v>
      </c>
      <c r="C1145" s="39" t="s">
        <v>132</v>
      </c>
      <c r="D1145" s="39" t="s">
        <v>121</v>
      </c>
      <c r="E1145" s="39" t="s">
        <v>251</v>
      </c>
      <c r="F1145" s="39" t="s">
        <v>3576</v>
      </c>
      <c r="G1145" s="39" t="s">
        <v>125</v>
      </c>
      <c r="H1145" s="39" t="s">
        <v>162</v>
      </c>
      <c r="L1145" s="39" t="s">
        <v>3583</v>
      </c>
      <c r="M1145" s="39" t="s">
        <v>3584</v>
      </c>
      <c r="N1145" s="39" t="s">
        <v>3585</v>
      </c>
      <c r="O1145" s="39" t="s">
        <v>52</v>
      </c>
      <c r="P1145" s="39" t="s">
        <v>65</v>
      </c>
      <c r="Q1145" s="40">
        <v>500</v>
      </c>
      <c r="R1145" s="40">
        <v>551.33447053709415</v>
      </c>
    </row>
    <row r="1146" spans="1:18" s="39" customFormat="1" ht="13.45" customHeight="1" x14ac:dyDescent="0.2">
      <c r="A1146" s="39" t="s">
        <v>3586</v>
      </c>
      <c r="B1146" s="39" t="s">
        <v>74</v>
      </c>
      <c r="C1146" s="39" t="s">
        <v>120</v>
      </c>
      <c r="D1146" s="39" t="s">
        <v>121</v>
      </c>
      <c r="E1146" s="39" t="s">
        <v>166</v>
      </c>
      <c r="F1146" s="39" t="s">
        <v>3576</v>
      </c>
      <c r="G1146" s="39" t="s">
        <v>125</v>
      </c>
      <c r="H1146" s="39" t="s">
        <v>162</v>
      </c>
      <c r="L1146" s="39" t="s">
        <v>3587</v>
      </c>
      <c r="M1146" s="39" t="s">
        <v>3588</v>
      </c>
      <c r="N1146" s="39" t="s">
        <v>3589</v>
      </c>
      <c r="O1146" s="39" t="s">
        <v>52</v>
      </c>
      <c r="P1146" s="39" t="s">
        <v>65</v>
      </c>
      <c r="Q1146" s="40">
        <v>500</v>
      </c>
      <c r="R1146" s="40">
        <v>551.33447053709415</v>
      </c>
    </row>
    <row r="1147" spans="1:18" s="39" customFormat="1" ht="13.45" customHeight="1" x14ac:dyDescent="0.2">
      <c r="A1147" s="39" t="s">
        <v>3590</v>
      </c>
      <c r="B1147" s="59" t="str">
        <f>LEFT(A1147,3)</f>
        <v>ITA</v>
      </c>
      <c r="C1147" s="104" t="s">
        <v>177</v>
      </c>
      <c r="D1147" s="39" t="s">
        <v>121</v>
      </c>
      <c r="E1147" s="104" t="s">
        <v>122</v>
      </c>
      <c r="F1147" s="104" t="s">
        <v>3591</v>
      </c>
      <c r="G1147" s="104" t="s">
        <v>125</v>
      </c>
      <c r="H1147" s="104"/>
      <c r="I1147" s="104"/>
      <c r="J1147" s="104"/>
      <c r="K1147" s="104"/>
      <c r="L1147" s="104" t="s">
        <v>3592</v>
      </c>
      <c r="M1147" s="104" t="s">
        <v>3593</v>
      </c>
      <c r="N1147" s="104" t="s">
        <v>3594</v>
      </c>
      <c r="O1147" s="39" t="s">
        <v>54</v>
      </c>
      <c r="P1147" s="54" t="s">
        <v>65</v>
      </c>
      <c r="Q1147" s="161">
        <v>3000</v>
      </c>
      <c r="R1147" s="40">
        <v>3308.0068232225649</v>
      </c>
    </row>
    <row r="1148" spans="1:18" s="39" customFormat="1" ht="13.45" customHeight="1" x14ac:dyDescent="0.2">
      <c r="A1148" s="39" t="s">
        <v>3595</v>
      </c>
      <c r="B1148" s="39" t="s">
        <v>74</v>
      </c>
      <c r="C1148" s="39" t="s">
        <v>132</v>
      </c>
      <c r="D1148" s="39" t="s">
        <v>121</v>
      </c>
      <c r="E1148" s="39" t="s">
        <v>251</v>
      </c>
      <c r="G1148" s="39" t="s">
        <v>125</v>
      </c>
      <c r="H1148" s="39" t="s">
        <v>162</v>
      </c>
      <c r="L1148" s="39" t="s">
        <v>3596</v>
      </c>
      <c r="M1148" s="39" t="s">
        <v>3597</v>
      </c>
      <c r="O1148" s="39" t="s">
        <v>53</v>
      </c>
      <c r="Q1148" s="40" t="s">
        <v>1604</v>
      </c>
      <c r="R1148" s="40" t="s">
        <v>1604</v>
      </c>
    </row>
    <row r="1149" spans="1:18" s="39" customFormat="1" ht="13.45" customHeight="1" x14ac:dyDescent="0.2">
      <c r="A1149" s="39" t="s">
        <v>3598</v>
      </c>
      <c r="B1149" s="39" t="s">
        <v>74</v>
      </c>
      <c r="C1149" s="39" t="s">
        <v>177</v>
      </c>
      <c r="D1149" s="39" t="s">
        <v>121</v>
      </c>
      <c r="E1149" s="39" t="s">
        <v>122</v>
      </c>
      <c r="F1149" s="39" t="s">
        <v>3550</v>
      </c>
      <c r="G1149" s="39" t="s">
        <v>125</v>
      </c>
      <c r="L1149" s="39" t="s">
        <v>3599</v>
      </c>
      <c r="M1149" s="39" t="s">
        <v>3600</v>
      </c>
      <c r="O1149" s="39" t="s">
        <v>54</v>
      </c>
      <c r="P1149" s="39" t="s">
        <v>65</v>
      </c>
      <c r="Q1149" s="40">
        <v>300</v>
      </c>
      <c r="R1149" s="40">
        <v>330.80068232225648</v>
      </c>
    </row>
    <row r="1150" spans="1:18" s="39" customFormat="1" ht="13.45" customHeight="1" x14ac:dyDescent="0.2">
      <c r="A1150" s="39" t="s">
        <v>3601</v>
      </c>
      <c r="B1150" s="39" t="s">
        <v>74</v>
      </c>
      <c r="C1150" s="39" t="s">
        <v>120</v>
      </c>
      <c r="D1150" s="39" t="s">
        <v>121</v>
      </c>
      <c r="E1150" s="39" t="s">
        <v>199</v>
      </c>
      <c r="F1150" s="39" t="s">
        <v>3602</v>
      </c>
      <c r="G1150" s="39" t="s">
        <v>152</v>
      </c>
      <c r="H1150" s="39" t="s">
        <v>323</v>
      </c>
      <c r="J1150" s="39" t="s">
        <v>124</v>
      </c>
      <c r="K1150" s="39" t="s">
        <v>5557</v>
      </c>
      <c r="L1150" s="39" t="s">
        <v>3603</v>
      </c>
      <c r="M1150" s="39" t="s">
        <v>3604</v>
      </c>
      <c r="O1150" s="39" t="s">
        <v>52</v>
      </c>
      <c r="P1150" s="39" t="s">
        <v>65</v>
      </c>
      <c r="Q1150" s="40">
        <v>1500</v>
      </c>
      <c r="R1150" s="40">
        <v>1654.0034116112824</v>
      </c>
    </row>
    <row r="1151" spans="1:18" s="39" customFormat="1" ht="13.45" customHeight="1" x14ac:dyDescent="0.2">
      <c r="A1151" s="39" t="s">
        <v>3605</v>
      </c>
      <c r="B1151" s="39" t="s">
        <v>74</v>
      </c>
      <c r="C1151" s="39" t="s">
        <v>120</v>
      </c>
      <c r="D1151" s="39" t="s">
        <v>121</v>
      </c>
      <c r="E1151" s="39" t="s">
        <v>199</v>
      </c>
      <c r="F1151" s="39" t="s">
        <v>3606</v>
      </c>
      <c r="G1151" s="39" t="s">
        <v>152</v>
      </c>
      <c r="H1151" s="39" t="s">
        <v>323</v>
      </c>
      <c r="J1151" s="39" t="s">
        <v>124</v>
      </c>
      <c r="K1151" s="39" t="s">
        <v>5557</v>
      </c>
      <c r="L1151" s="39" t="s">
        <v>3607</v>
      </c>
      <c r="M1151" s="39" t="s">
        <v>3604</v>
      </c>
      <c r="O1151" s="39" t="s">
        <v>52</v>
      </c>
      <c r="P1151" s="39" t="s">
        <v>65</v>
      </c>
      <c r="Q1151" s="40">
        <v>600</v>
      </c>
      <c r="R1151" s="40">
        <v>661.60136464451296</v>
      </c>
    </row>
    <row r="1152" spans="1:18" s="39" customFormat="1" ht="13.45" customHeight="1" x14ac:dyDescent="0.2">
      <c r="A1152" s="39" t="s">
        <v>3608</v>
      </c>
      <c r="B1152" s="39" t="s">
        <v>74</v>
      </c>
      <c r="C1152" s="39" t="s">
        <v>120</v>
      </c>
      <c r="D1152" s="39" t="s">
        <v>137</v>
      </c>
      <c r="E1152" s="39" t="s">
        <v>133</v>
      </c>
      <c r="F1152" s="39" t="s">
        <v>3609</v>
      </c>
      <c r="G1152" s="39" t="s">
        <v>152</v>
      </c>
      <c r="H1152" s="39" t="s">
        <v>158</v>
      </c>
      <c r="J1152" s="39" t="s">
        <v>124</v>
      </c>
      <c r="K1152" s="39" t="s">
        <v>5557</v>
      </c>
      <c r="L1152" s="39" t="s">
        <v>3610</v>
      </c>
      <c r="M1152" s="39" t="s">
        <v>3604</v>
      </c>
      <c r="O1152" s="39" t="s">
        <v>53</v>
      </c>
      <c r="P1152" s="39" t="s">
        <v>65</v>
      </c>
      <c r="Q1152" s="40">
        <v>2000</v>
      </c>
      <c r="R1152" s="40">
        <v>2205.3378821483766</v>
      </c>
    </row>
    <row r="1153" spans="1:18" s="39" customFormat="1" ht="13.45" customHeight="1" x14ac:dyDescent="0.2">
      <c r="A1153" s="39" t="s">
        <v>3611</v>
      </c>
      <c r="B1153" s="39" t="s">
        <v>74</v>
      </c>
      <c r="C1153" s="39" t="s">
        <v>120</v>
      </c>
      <c r="D1153" s="39" t="s">
        <v>121</v>
      </c>
      <c r="E1153" s="39" t="s">
        <v>151</v>
      </c>
      <c r="F1153" s="39" t="s">
        <v>3602</v>
      </c>
      <c r="G1153" s="39" t="s">
        <v>125</v>
      </c>
      <c r="H1153" s="39" t="s">
        <v>158</v>
      </c>
      <c r="J1153" s="39" t="s">
        <v>124</v>
      </c>
      <c r="K1153" s="39" t="s">
        <v>5557</v>
      </c>
      <c r="L1153" s="54" t="s">
        <v>3612</v>
      </c>
      <c r="M1153" s="39" t="s">
        <v>3604</v>
      </c>
      <c r="O1153" s="39" t="s">
        <v>52</v>
      </c>
      <c r="P1153" s="39" t="s">
        <v>65</v>
      </c>
      <c r="Q1153" s="40">
        <v>1500</v>
      </c>
      <c r="R1153" s="40">
        <v>1654.0034116112824</v>
      </c>
    </row>
    <row r="1154" spans="1:18" s="39" customFormat="1" ht="13.45" customHeight="1" x14ac:dyDescent="0.2">
      <c r="A1154" s="39" t="s">
        <v>3613</v>
      </c>
      <c r="B1154" s="39" t="s">
        <v>74</v>
      </c>
      <c r="C1154" s="39" t="s">
        <v>120</v>
      </c>
      <c r="D1154" s="39" t="s">
        <v>121</v>
      </c>
      <c r="E1154" s="39" t="s">
        <v>172</v>
      </c>
      <c r="F1154" s="39" t="s">
        <v>3614</v>
      </c>
      <c r="G1154" s="39" t="s">
        <v>125</v>
      </c>
      <c r="H1154" s="39" t="s">
        <v>162</v>
      </c>
      <c r="I1154" s="39" t="s">
        <v>134</v>
      </c>
      <c r="J1154" s="39" t="s">
        <v>124</v>
      </c>
      <c r="K1154" s="39" t="s">
        <v>5557</v>
      </c>
      <c r="L1154" s="39" t="s">
        <v>3615</v>
      </c>
      <c r="M1154" s="39" t="s">
        <v>3604</v>
      </c>
      <c r="O1154" s="39" t="s">
        <v>52</v>
      </c>
      <c r="P1154" s="39" t="s">
        <v>65</v>
      </c>
      <c r="Q1154" s="40">
        <v>500</v>
      </c>
      <c r="R1154" s="40">
        <v>551.33447053709415</v>
      </c>
    </row>
    <row r="1155" spans="1:18" s="39" customFormat="1" ht="13.45" customHeight="1" x14ac:dyDescent="0.2">
      <c r="A1155" s="39" t="s">
        <v>3616</v>
      </c>
      <c r="B1155" s="39" t="s">
        <v>74</v>
      </c>
      <c r="C1155" s="39" t="s">
        <v>120</v>
      </c>
      <c r="D1155" s="39" t="s">
        <v>137</v>
      </c>
      <c r="E1155" s="39" t="s">
        <v>133</v>
      </c>
      <c r="F1155" s="39" t="s">
        <v>3617</v>
      </c>
      <c r="G1155" s="39" t="s">
        <v>125</v>
      </c>
      <c r="H1155" s="39" t="s">
        <v>153</v>
      </c>
      <c r="I1155" s="39" t="s">
        <v>158</v>
      </c>
      <c r="J1155" s="39" t="s">
        <v>124</v>
      </c>
      <c r="K1155" s="39" t="s">
        <v>5557</v>
      </c>
      <c r="L1155" s="39" t="s">
        <v>3618</v>
      </c>
      <c r="M1155" s="39" t="s">
        <v>3604</v>
      </c>
      <c r="O1155" s="39" t="s">
        <v>52</v>
      </c>
      <c r="P1155" s="39" t="s">
        <v>65</v>
      </c>
      <c r="Q1155" s="40">
        <v>200</v>
      </c>
      <c r="R1155" s="40">
        <v>220.53378821483767</v>
      </c>
    </row>
    <row r="1156" spans="1:18" s="39" customFormat="1" ht="13.45" customHeight="1" x14ac:dyDescent="0.2">
      <c r="A1156" s="39" t="s">
        <v>3619</v>
      </c>
      <c r="B1156" s="39" t="s">
        <v>74</v>
      </c>
      <c r="C1156" s="39" t="s">
        <v>120</v>
      </c>
      <c r="D1156" s="39" t="s">
        <v>137</v>
      </c>
      <c r="E1156" s="39" t="s">
        <v>133</v>
      </c>
      <c r="F1156" s="39" t="s">
        <v>3620</v>
      </c>
      <c r="G1156" s="39" t="s">
        <v>125</v>
      </c>
      <c r="H1156" s="39" t="s">
        <v>134</v>
      </c>
      <c r="I1156" s="39" t="s">
        <v>153</v>
      </c>
      <c r="J1156" s="39" t="s">
        <v>124</v>
      </c>
      <c r="K1156" s="39" t="s">
        <v>5557</v>
      </c>
      <c r="L1156" s="39" t="s">
        <v>3621</v>
      </c>
      <c r="M1156" s="39" t="s">
        <v>3604</v>
      </c>
      <c r="O1156" s="39" t="s">
        <v>52</v>
      </c>
      <c r="P1156" s="39" t="s">
        <v>65</v>
      </c>
      <c r="Q1156" s="40">
        <v>140</v>
      </c>
      <c r="R1156" s="40">
        <v>154.37365175038636</v>
      </c>
    </row>
    <row r="1157" spans="1:18" s="39" customFormat="1" ht="13.45" customHeight="1" x14ac:dyDescent="0.2">
      <c r="A1157" s="39" t="s">
        <v>3622</v>
      </c>
      <c r="B1157" s="39" t="s">
        <v>74</v>
      </c>
      <c r="C1157" s="39" t="s">
        <v>177</v>
      </c>
      <c r="D1157" s="39" t="s">
        <v>137</v>
      </c>
      <c r="E1157" s="39" t="s">
        <v>133</v>
      </c>
      <c r="F1157" s="39" t="s">
        <v>3623</v>
      </c>
      <c r="G1157" s="39" t="s">
        <v>125</v>
      </c>
      <c r="H1157" s="39" t="s">
        <v>152</v>
      </c>
      <c r="I1157" s="39" t="s">
        <v>158</v>
      </c>
      <c r="J1157" s="39" t="s">
        <v>124</v>
      </c>
      <c r="K1157" s="39" t="s">
        <v>5557</v>
      </c>
      <c r="L1157" s="39" t="s">
        <v>3624</v>
      </c>
      <c r="M1157" s="39" t="s">
        <v>3604</v>
      </c>
      <c r="O1157" s="39" t="s">
        <v>52</v>
      </c>
      <c r="P1157" s="39" t="s">
        <v>65</v>
      </c>
      <c r="Q1157" s="40">
        <v>30</v>
      </c>
      <c r="R1157" s="40">
        <v>33.080068232225649</v>
      </c>
    </row>
    <row r="1158" spans="1:18" s="39" customFormat="1" ht="13.45" customHeight="1" x14ac:dyDescent="0.2">
      <c r="A1158" s="39" t="s">
        <v>3625</v>
      </c>
      <c r="B1158" s="39" t="s">
        <v>74</v>
      </c>
      <c r="C1158" s="39" t="s">
        <v>120</v>
      </c>
      <c r="D1158" s="39" t="s">
        <v>121</v>
      </c>
      <c r="E1158" s="39" t="s">
        <v>172</v>
      </c>
      <c r="F1158" s="39" t="s">
        <v>3626</v>
      </c>
      <c r="G1158" s="39" t="s">
        <v>125</v>
      </c>
      <c r="H1158" s="39" t="s">
        <v>153</v>
      </c>
      <c r="I1158" s="39" t="s">
        <v>208</v>
      </c>
      <c r="J1158" s="39" t="s">
        <v>124</v>
      </c>
      <c r="K1158" s="39" t="s">
        <v>5557</v>
      </c>
      <c r="L1158" s="39" t="s">
        <v>3627</v>
      </c>
      <c r="M1158" s="39" t="s">
        <v>3604</v>
      </c>
      <c r="O1158" s="39" t="s">
        <v>52</v>
      </c>
      <c r="P1158" s="39" t="s">
        <v>65</v>
      </c>
      <c r="Q1158" s="40">
        <v>1100</v>
      </c>
      <c r="R1158" s="40">
        <v>1212.9358351816072</v>
      </c>
    </row>
    <row r="1159" spans="1:18" s="39" customFormat="1" ht="13.45" customHeight="1" x14ac:dyDescent="0.2">
      <c r="A1159" s="39" t="s">
        <v>3628</v>
      </c>
      <c r="B1159" s="39" t="s">
        <v>74</v>
      </c>
      <c r="C1159" s="39" t="s">
        <v>120</v>
      </c>
      <c r="D1159" s="39" t="s">
        <v>121</v>
      </c>
      <c r="E1159" s="39" t="s">
        <v>151</v>
      </c>
      <c r="F1159" s="39" t="s">
        <v>3629</v>
      </c>
      <c r="G1159" s="39" t="s">
        <v>125</v>
      </c>
      <c r="J1159" s="39" t="s">
        <v>124</v>
      </c>
      <c r="K1159" s="39" t="s">
        <v>5557</v>
      </c>
      <c r="L1159" s="39" t="s">
        <v>3630</v>
      </c>
      <c r="M1159" s="39" t="s">
        <v>3604</v>
      </c>
      <c r="O1159" s="39" t="s">
        <v>52</v>
      </c>
      <c r="P1159" s="39" t="s">
        <v>65</v>
      </c>
      <c r="Q1159" s="40">
        <v>2200</v>
      </c>
      <c r="R1159" s="40">
        <v>2425.8716703632144</v>
      </c>
    </row>
    <row r="1160" spans="1:18" s="39" customFormat="1" ht="13.45" customHeight="1" x14ac:dyDescent="0.2">
      <c r="A1160" s="39" t="s">
        <v>3631</v>
      </c>
      <c r="B1160" s="39" t="s">
        <v>74</v>
      </c>
      <c r="C1160" s="39" t="s">
        <v>280</v>
      </c>
      <c r="D1160" s="39" t="s">
        <v>121</v>
      </c>
      <c r="E1160" s="39" t="s">
        <v>151</v>
      </c>
      <c r="F1160" s="39" t="s">
        <v>3632</v>
      </c>
      <c r="G1160" s="39" t="s">
        <v>125</v>
      </c>
      <c r="J1160" s="39" t="s">
        <v>124</v>
      </c>
      <c r="K1160" s="39" t="s">
        <v>5557</v>
      </c>
      <c r="L1160" s="39" t="s">
        <v>3633</v>
      </c>
      <c r="M1160" s="39" t="s">
        <v>3604</v>
      </c>
      <c r="O1160" s="39" t="s">
        <v>52</v>
      </c>
      <c r="P1160" s="39" t="s">
        <v>65</v>
      </c>
      <c r="Q1160" s="40">
        <v>680</v>
      </c>
      <c r="R1160" s="40">
        <v>749.814879930448</v>
      </c>
    </row>
    <row r="1161" spans="1:18" s="39" customFormat="1" ht="13.45" customHeight="1" x14ac:dyDescent="0.2">
      <c r="A1161" s="39" t="s">
        <v>3634</v>
      </c>
      <c r="B1161" s="39" t="s">
        <v>74</v>
      </c>
      <c r="C1161" s="39" t="s">
        <v>120</v>
      </c>
      <c r="D1161" s="39" t="s">
        <v>121</v>
      </c>
      <c r="E1161" s="39" t="s">
        <v>151</v>
      </c>
      <c r="F1161" s="39" t="s">
        <v>3635</v>
      </c>
      <c r="G1161" s="39" t="s">
        <v>125</v>
      </c>
      <c r="J1161" s="39" t="s">
        <v>124</v>
      </c>
      <c r="K1161" s="39" t="s">
        <v>5557</v>
      </c>
      <c r="L1161" s="39" t="s">
        <v>3636</v>
      </c>
      <c r="M1161" s="39" t="s">
        <v>3604</v>
      </c>
      <c r="O1161" s="39" t="s">
        <v>52</v>
      </c>
      <c r="P1161" s="39" t="s">
        <v>65</v>
      </c>
      <c r="Q1161" s="40">
        <v>1920</v>
      </c>
      <c r="R1161" s="40">
        <v>2117.1243668624415</v>
      </c>
    </row>
    <row r="1162" spans="1:18" s="39" customFormat="1" ht="13.45" customHeight="1" x14ac:dyDescent="0.2">
      <c r="A1162" s="39" t="s">
        <v>3637</v>
      </c>
      <c r="B1162" s="39" t="s">
        <v>74</v>
      </c>
      <c r="C1162" s="39" t="s">
        <v>171</v>
      </c>
      <c r="D1162" s="39" t="s">
        <v>121</v>
      </c>
      <c r="E1162" s="39" t="s">
        <v>151</v>
      </c>
      <c r="F1162" s="39" t="s">
        <v>1398</v>
      </c>
      <c r="G1162" s="39" t="s">
        <v>125</v>
      </c>
      <c r="J1162" s="39" t="s">
        <v>124</v>
      </c>
      <c r="K1162" s="39" t="s">
        <v>5557</v>
      </c>
      <c r="L1162" s="39" t="s">
        <v>3638</v>
      </c>
      <c r="M1162" s="39" t="s">
        <v>3604</v>
      </c>
      <c r="O1162" s="39" t="s">
        <v>52</v>
      </c>
      <c r="P1162" s="39" t="s">
        <v>65</v>
      </c>
      <c r="Q1162" s="40"/>
      <c r="R1162" s="40">
        <v>0</v>
      </c>
    </row>
    <row r="1163" spans="1:18" s="39" customFormat="1" ht="13.45" customHeight="1" x14ac:dyDescent="0.2">
      <c r="A1163" s="39" t="s">
        <v>3639</v>
      </c>
      <c r="B1163" s="39" t="s">
        <v>74</v>
      </c>
      <c r="C1163" s="39" t="s">
        <v>171</v>
      </c>
      <c r="D1163" s="39" t="s">
        <v>121</v>
      </c>
      <c r="E1163" s="39" t="s">
        <v>151</v>
      </c>
      <c r="F1163" s="39" t="s">
        <v>1398</v>
      </c>
      <c r="G1163" s="39" t="s">
        <v>125</v>
      </c>
      <c r="J1163" s="39" t="s">
        <v>124</v>
      </c>
      <c r="K1163" s="39" t="s">
        <v>5557</v>
      </c>
      <c r="L1163" s="39" t="s">
        <v>3640</v>
      </c>
      <c r="M1163" s="39" t="s">
        <v>3604</v>
      </c>
      <c r="O1163" s="39" t="s">
        <v>52</v>
      </c>
      <c r="P1163" s="39" t="s">
        <v>65</v>
      </c>
      <c r="Q1163" s="40"/>
      <c r="R1163" s="40">
        <v>0</v>
      </c>
    </row>
    <row r="1164" spans="1:18" s="39" customFormat="1" ht="13.45" customHeight="1" x14ac:dyDescent="0.2">
      <c r="A1164" s="39" t="s">
        <v>3641</v>
      </c>
      <c r="B1164" s="39" t="s">
        <v>74</v>
      </c>
      <c r="C1164" s="39" t="s">
        <v>120</v>
      </c>
      <c r="D1164" s="39" t="s">
        <v>121</v>
      </c>
      <c r="E1164" s="39" t="s">
        <v>151</v>
      </c>
      <c r="F1164" s="39" t="s">
        <v>3642</v>
      </c>
      <c r="G1164" s="39" t="s">
        <v>125</v>
      </c>
      <c r="J1164" s="39" t="s">
        <v>124</v>
      </c>
      <c r="K1164" s="39" t="s">
        <v>5557</v>
      </c>
      <c r="L1164" s="39" t="s">
        <v>3643</v>
      </c>
      <c r="M1164" s="39" t="s">
        <v>3604</v>
      </c>
      <c r="O1164" s="39" t="s">
        <v>52</v>
      </c>
      <c r="P1164" s="39" t="s">
        <v>65</v>
      </c>
      <c r="Q1164" s="40">
        <v>3610</v>
      </c>
      <c r="R1164" s="40">
        <v>3980.6348772778197</v>
      </c>
    </row>
    <row r="1165" spans="1:18" s="39" customFormat="1" ht="13.45" customHeight="1" x14ac:dyDescent="0.2">
      <c r="A1165" s="39" t="s">
        <v>3644</v>
      </c>
      <c r="B1165" s="39" t="s">
        <v>74</v>
      </c>
      <c r="C1165" s="39" t="s">
        <v>120</v>
      </c>
      <c r="D1165" s="39" t="s">
        <v>121</v>
      </c>
      <c r="E1165" s="39" t="s">
        <v>151</v>
      </c>
      <c r="F1165" s="39" t="s">
        <v>3614</v>
      </c>
      <c r="G1165" s="39" t="s">
        <v>125</v>
      </c>
      <c r="H1165" s="39" t="s">
        <v>208</v>
      </c>
      <c r="J1165" s="39" t="s">
        <v>124</v>
      </c>
      <c r="K1165" s="39" t="s">
        <v>5557</v>
      </c>
      <c r="L1165" s="39" t="s">
        <v>3645</v>
      </c>
      <c r="M1165" s="39" t="s">
        <v>3604</v>
      </c>
      <c r="O1165" s="39" t="s">
        <v>52</v>
      </c>
      <c r="P1165" s="39" t="s">
        <v>65</v>
      </c>
      <c r="Q1165" s="40">
        <v>500</v>
      </c>
      <c r="R1165" s="40">
        <v>551.33447053709415</v>
      </c>
    </row>
    <row r="1166" spans="1:18" s="39" customFormat="1" ht="13.45" customHeight="1" x14ac:dyDescent="0.2">
      <c r="A1166" s="39" t="s">
        <v>3646</v>
      </c>
      <c r="B1166" s="39" t="s">
        <v>74</v>
      </c>
      <c r="C1166" s="39" t="s">
        <v>280</v>
      </c>
      <c r="D1166" s="39" t="s">
        <v>121</v>
      </c>
      <c r="E1166" s="39" t="s">
        <v>147</v>
      </c>
      <c r="F1166" s="39" t="s">
        <v>3614</v>
      </c>
      <c r="G1166" s="39" t="s">
        <v>125</v>
      </c>
      <c r="J1166" s="39" t="s">
        <v>124</v>
      </c>
      <c r="K1166" s="39" t="s">
        <v>5557</v>
      </c>
      <c r="L1166" s="39" t="s">
        <v>3647</v>
      </c>
      <c r="M1166" s="39" t="s">
        <v>3604</v>
      </c>
      <c r="O1166" s="39" t="s">
        <v>52</v>
      </c>
      <c r="P1166" s="39" t="s">
        <v>65</v>
      </c>
      <c r="Q1166" s="40">
        <v>500</v>
      </c>
      <c r="R1166" s="40">
        <v>551.33447053709415</v>
      </c>
    </row>
    <row r="1167" spans="1:18" s="39" customFormat="1" ht="13.45" customHeight="1" x14ac:dyDescent="0.2">
      <c r="A1167" s="39" t="s">
        <v>3648</v>
      </c>
      <c r="B1167" s="39" t="s">
        <v>74</v>
      </c>
      <c r="C1167" s="39" t="s">
        <v>280</v>
      </c>
      <c r="D1167" s="39" t="s">
        <v>121</v>
      </c>
      <c r="E1167" s="39" t="s">
        <v>147</v>
      </c>
      <c r="F1167" s="39" t="s">
        <v>3649</v>
      </c>
      <c r="G1167" s="39" t="s">
        <v>125</v>
      </c>
      <c r="H1167" s="39" t="s">
        <v>162</v>
      </c>
      <c r="J1167" s="39" t="s">
        <v>124</v>
      </c>
      <c r="K1167" s="39" t="s">
        <v>5557</v>
      </c>
      <c r="L1167" s="39" t="s">
        <v>3650</v>
      </c>
      <c r="M1167" s="39" t="s">
        <v>3604</v>
      </c>
      <c r="O1167" s="39" t="s">
        <v>52</v>
      </c>
      <c r="P1167" s="39" t="s">
        <v>65</v>
      </c>
      <c r="Q1167" s="40">
        <v>2000</v>
      </c>
      <c r="R1167" s="40">
        <v>2205.3378821483766</v>
      </c>
    </row>
    <row r="1168" spans="1:18" s="39" customFormat="1" ht="13.45" customHeight="1" x14ac:dyDescent="0.2">
      <c r="A1168" s="39" t="s">
        <v>3651</v>
      </c>
      <c r="B1168" s="39" t="s">
        <v>74</v>
      </c>
      <c r="C1168" s="39" t="s">
        <v>120</v>
      </c>
      <c r="D1168" s="39" t="s">
        <v>121</v>
      </c>
      <c r="E1168" s="39" t="s">
        <v>251</v>
      </c>
      <c r="F1168" s="39" t="s">
        <v>3652</v>
      </c>
      <c r="G1168" s="39" t="s">
        <v>125</v>
      </c>
      <c r="H1168" s="39" t="s">
        <v>162</v>
      </c>
      <c r="J1168" s="39" t="s">
        <v>124</v>
      </c>
      <c r="K1168" s="39" t="s">
        <v>5557</v>
      </c>
      <c r="L1168" s="39" t="s">
        <v>3653</v>
      </c>
      <c r="M1168" s="39" t="s">
        <v>3604</v>
      </c>
      <c r="O1168" s="39" t="s">
        <v>52</v>
      </c>
      <c r="P1168" s="39" t="s">
        <v>65</v>
      </c>
      <c r="Q1168" s="40">
        <v>230</v>
      </c>
      <c r="R1168" s="40">
        <v>253.61385644706331</v>
      </c>
    </row>
    <row r="1169" spans="1:18" s="39" customFormat="1" ht="13.45" customHeight="1" x14ac:dyDescent="0.2">
      <c r="A1169" s="39" t="s">
        <v>3654</v>
      </c>
      <c r="B1169" s="39" t="s">
        <v>74</v>
      </c>
      <c r="C1169" s="39" t="s">
        <v>120</v>
      </c>
      <c r="D1169" s="39" t="s">
        <v>121</v>
      </c>
      <c r="E1169" s="39" t="s">
        <v>251</v>
      </c>
      <c r="F1169" s="39" t="s">
        <v>3655</v>
      </c>
      <c r="G1169" s="39" t="s">
        <v>125</v>
      </c>
      <c r="J1169" s="39" t="s">
        <v>124</v>
      </c>
      <c r="K1169" s="39" t="s">
        <v>5557</v>
      </c>
      <c r="L1169" s="39" t="s">
        <v>3656</v>
      </c>
      <c r="M1169" s="39" t="s">
        <v>3604</v>
      </c>
      <c r="O1169" s="39" t="s">
        <v>52</v>
      </c>
      <c r="P1169" s="39" t="s">
        <v>65</v>
      </c>
      <c r="Q1169" s="40">
        <v>300</v>
      </c>
      <c r="R1169" s="40">
        <v>330.80068232225648</v>
      </c>
    </row>
    <row r="1170" spans="1:18" s="39" customFormat="1" ht="13.45" customHeight="1" x14ac:dyDescent="0.2">
      <c r="A1170" s="39" t="s">
        <v>3657</v>
      </c>
      <c r="B1170" s="39" t="s">
        <v>74</v>
      </c>
      <c r="C1170" s="39" t="s">
        <v>280</v>
      </c>
      <c r="D1170" s="39" t="s">
        <v>121</v>
      </c>
      <c r="E1170" s="39" t="s">
        <v>151</v>
      </c>
      <c r="F1170" s="39" t="s">
        <v>3658</v>
      </c>
      <c r="G1170" s="39" t="s">
        <v>125</v>
      </c>
      <c r="J1170" s="39" t="s">
        <v>124</v>
      </c>
      <c r="K1170" s="39" t="s">
        <v>5557</v>
      </c>
      <c r="L1170" s="39" t="s">
        <v>3659</v>
      </c>
      <c r="M1170" s="39" t="s">
        <v>3604</v>
      </c>
      <c r="O1170" s="39" t="s">
        <v>52</v>
      </c>
      <c r="P1170" s="39" t="s">
        <v>65</v>
      </c>
      <c r="Q1170" s="40">
        <v>160</v>
      </c>
      <c r="R1170" s="40">
        <v>176.42703057187012</v>
      </c>
    </row>
    <row r="1171" spans="1:18" s="39" customFormat="1" ht="13.45" customHeight="1" x14ac:dyDescent="0.2">
      <c r="A1171" s="39" t="s">
        <v>3660</v>
      </c>
      <c r="B1171" s="39" t="s">
        <v>74</v>
      </c>
      <c r="C1171" s="39" t="s">
        <v>171</v>
      </c>
      <c r="D1171" s="39" t="s">
        <v>121</v>
      </c>
      <c r="E1171" s="39" t="s">
        <v>151</v>
      </c>
      <c r="F1171" s="39" t="s">
        <v>1623</v>
      </c>
      <c r="G1171" s="39" t="s">
        <v>125</v>
      </c>
      <c r="J1171" s="39" t="s">
        <v>124</v>
      </c>
      <c r="K1171" s="39" t="s">
        <v>5557</v>
      </c>
      <c r="L1171" s="39" t="s">
        <v>3661</v>
      </c>
      <c r="M1171" s="39" t="s">
        <v>3604</v>
      </c>
      <c r="O1171" s="39" t="s">
        <v>52</v>
      </c>
      <c r="P1171" s="39" t="s">
        <v>65</v>
      </c>
      <c r="Q1171" s="40"/>
      <c r="R1171" s="40">
        <v>0</v>
      </c>
    </row>
    <row r="1172" spans="1:18" s="39" customFormat="1" ht="13.45" customHeight="1" x14ac:dyDescent="0.2">
      <c r="A1172" s="39" t="s">
        <v>3662</v>
      </c>
      <c r="B1172" s="39" t="s">
        <v>74</v>
      </c>
      <c r="C1172" s="39" t="s">
        <v>171</v>
      </c>
      <c r="D1172" s="39" t="s">
        <v>121</v>
      </c>
      <c r="E1172" s="39" t="s">
        <v>151</v>
      </c>
      <c r="F1172" s="39" t="s">
        <v>1623</v>
      </c>
      <c r="G1172" s="39" t="s">
        <v>125</v>
      </c>
      <c r="J1172" s="39" t="s">
        <v>124</v>
      </c>
      <c r="K1172" s="39" t="s">
        <v>5557</v>
      </c>
      <c r="L1172" s="39" t="s">
        <v>3663</v>
      </c>
      <c r="M1172" s="39" t="s">
        <v>3604</v>
      </c>
      <c r="O1172" s="39" t="s">
        <v>52</v>
      </c>
      <c r="P1172" s="39" t="s">
        <v>65</v>
      </c>
      <c r="Q1172" s="40"/>
      <c r="R1172" s="40">
        <v>0</v>
      </c>
    </row>
    <row r="1173" spans="1:18" s="39" customFormat="1" ht="13.45" customHeight="1" x14ac:dyDescent="0.2">
      <c r="A1173" s="39" t="s">
        <v>3664</v>
      </c>
      <c r="B1173" s="39" t="s">
        <v>74</v>
      </c>
      <c r="C1173" s="39" t="s">
        <v>120</v>
      </c>
      <c r="D1173" s="39" t="s">
        <v>121</v>
      </c>
      <c r="E1173" s="39" t="s">
        <v>251</v>
      </c>
      <c r="F1173" s="39" t="s">
        <v>3606</v>
      </c>
      <c r="G1173" s="39" t="s">
        <v>125</v>
      </c>
      <c r="H1173" s="39" t="s">
        <v>162</v>
      </c>
      <c r="J1173" s="39" t="s">
        <v>124</v>
      </c>
      <c r="K1173" s="39" t="s">
        <v>5557</v>
      </c>
      <c r="L1173" s="39" t="s">
        <v>3665</v>
      </c>
      <c r="M1173" s="39" t="s">
        <v>3604</v>
      </c>
      <c r="O1173" s="39" t="s">
        <v>52</v>
      </c>
      <c r="P1173" s="39" t="s">
        <v>65</v>
      </c>
      <c r="Q1173" s="40">
        <v>600</v>
      </c>
      <c r="R1173" s="40">
        <v>661.60136464451296</v>
      </c>
    </row>
    <row r="1174" spans="1:18" s="39" customFormat="1" ht="13.45" customHeight="1" x14ac:dyDescent="0.2">
      <c r="A1174" s="39" t="s">
        <v>3666</v>
      </c>
      <c r="B1174" s="39" t="s">
        <v>74</v>
      </c>
      <c r="C1174" s="39" t="s">
        <v>120</v>
      </c>
      <c r="D1174" s="39" t="s">
        <v>121</v>
      </c>
      <c r="E1174" s="39" t="s">
        <v>251</v>
      </c>
      <c r="F1174" s="39" t="s">
        <v>3667</v>
      </c>
      <c r="G1174" s="39" t="s">
        <v>125</v>
      </c>
      <c r="H1174" s="39" t="s">
        <v>162</v>
      </c>
      <c r="J1174" s="39" t="s">
        <v>124</v>
      </c>
      <c r="K1174" s="39" t="s">
        <v>5557</v>
      </c>
      <c r="L1174" s="39" t="s">
        <v>3668</v>
      </c>
      <c r="M1174" s="39" t="s">
        <v>3604</v>
      </c>
      <c r="O1174" s="39" t="s">
        <v>52</v>
      </c>
      <c r="P1174" s="39" t="s">
        <v>65</v>
      </c>
      <c r="Q1174" s="40">
        <v>3600</v>
      </c>
      <c r="R1174" s="40">
        <v>3969.608187867078</v>
      </c>
    </row>
    <row r="1175" spans="1:18" s="39" customFormat="1" ht="13.45" customHeight="1" x14ac:dyDescent="0.2">
      <c r="A1175" s="39" t="s">
        <v>3669</v>
      </c>
      <c r="B1175" s="39" t="s">
        <v>74</v>
      </c>
      <c r="C1175" s="39" t="s">
        <v>120</v>
      </c>
      <c r="D1175" s="39" t="s">
        <v>121</v>
      </c>
      <c r="E1175" s="39" t="s">
        <v>251</v>
      </c>
      <c r="F1175" s="39" t="s">
        <v>3670</v>
      </c>
      <c r="G1175" s="39" t="s">
        <v>125</v>
      </c>
      <c r="H1175" s="39" t="s">
        <v>162</v>
      </c>
      <c r="J1175" s="39" t="s">
        <v>124</v>
      </c>
      <c r="K1175" s="39" t="s">
        <v>5557</v>
      </c>
      <c r="L1175" s="39" t="s">
        <v>3671</v>
      </c>
      <c r="M1175" s="39" t="s">
        <v>3604</v>
      </c>
      <c r="O1175" s="39" t="s">
        <v>52</v>
      </c>
      <c r="P1175" s="39" t="s">
        <v>65</v>
      </c>
      <c r="Q1175" s="40">
        <v>740</v>
      </c>
      <c r="R1175" s="40">
        <v>815.97501639489928</v>
      </c>
    </row>
    <row r="1176" spans="1:18" s="39" customFormat="1" ht="13.45" customHeight="1" x14ac:dyDescent="0.2">
      <c r="A1176" s="39" t="s">
        <v>3672</v>
      </c>
      <c r="B1176" s="39" t="s">
        <v>74</v>
      </c>
      <c r="C1176" s="39" t="s">
        <v>120</v>
      </c>
      <c r="D1176" s="39" t="s">
        <v>121</v>
      </c>
      <c r="E1176" s="39" t="s">
        <v>251</v>
      </c>
      <c r="F1176" s="39" t="s">
        <v>3673</v>
      </c>
      <c r="G1176" s="39" t="s">
        <v>125</v>
      </c>
      <c r="H1176" s="39" t="s">
        <v>162</v>
      </c>
      <c r="J1176" s="39" t="s">
        <v>124</v>
      </c>
      <c r="K1176" s="39" t="s">
        <v>5557</v>
      </c>
      <c r="L1176" s="39" t="s">
        <v>3674</v>
      </c>
      <c r="M1176" s="39" t="s">
        <v>3604</v>
      </c>
      <c r="O1176" s="39" t="s">
        <v>52</v>
      </c>
      <c r="P1176" s="39" t="s">
        <v>65</v>
      </c>
      <c r="Q1176" s="40">
        <v>4240</v>
      </c>
      <c r="R1176" s="40">
        <v>4675.3163101545579</v>
      </c>
    </row>
    <row r="1177" spans="1:18" s="39" customFormat="1" ht="13.45" customHeight="1" x14ac:dyDescent="0.2">
      <c r="A1177" s="39" t="s">
        <v>3675</v>
      </c>
      <c r="B1177" s="39" t="s">
        <v>74</v>
      </c>
      <c r="C1177" s="39" t="s">
        <v>171</v>
      </c>
      <c r="D1177" s="39" t="s">
        <v>121</v>
      </c>
      <c r="E1177" s="39" t="s">
        <v>251</v>
      </c>
      <c r="F1177" s="39" t="s">
        <v>1623</v>
      </c>
      <c r="G1177" s="39" t="s">
        <v>125</v>
      </c>
      <c r="H1177" s="39" t="s">
        <v>162</v>
      </c>
      <c r="J1177" s="39" t="s">
        <v>124</v>
      </c>
      <c r="K1177" s="39" t="s">
        <v>5557</v>
      </c>
      <c r="L1177" s="39" t="s">
        <v>3676</v>
      </c>
      <c r="M1177" s="39" t="s">
        <v>3604</v>
      </c>
      <c r="O1177" s="39" t="s">
        <v>52</v>
      </c>
      <c r="P1177" s="39" t="s">
        <v>65</v>
      </c>
      <c r="Q1177" s="40"/>
      <c r="R1177" s="40">
        <v>0</v>
      </c>
    </row>
    <row r="1178" spans="1:18" s="39" customFormat="1" ht="13.45" customHeight="1" x14ac:dyDescent="0.2">
      <c r="A1178" s="39" t="s">
        <v>3677</v>
      </c>
      <c r="B1178" s="39" t="s">
        <v>74</v>
      </c>
      <c r="C1178" s="39" t="s">
        <v>120</v>
      </c>
      <c r="D1178" s="39" t="s">
        <v>121</v>
      </c>
      <c r="E1178" s="39" t="s">
        <v>151</v>
      </c>
      <c r="F1178" s="39" t="s">
        <v>3678</v>
      </c>
      <c r="G1178" s="39" t="s">
        <v>125</v>
      </c>
      <c r="H1178" s="39" t="s">
        <v>162</v>
      </c>
      <c r="J1178" s="39" t="s">
        <v>124</v>
      </c>
      <c r="K1178" s="39" t="s">
        <v>5557</v>
      </c>
      <c r="L1178" s="39" t="s">
        <v>3679</v>
      </c>
      <c r="M1178" s="39" t="s">
        <v>3604</v>
      </c>
      <c r="O1178" s="39" t="s">
        <v>52</v>
      </c>
      <c r="P1178" s="39" t="s">
        <v>65</v>
      </c>
      <c r="Q1178" s="40">
        <v>1000</v>
      </c>
      <c r="R1178" s="40">
        <v>1102.6689410741883</v>
      </c>
    </row>
    <row r="1179" spans="1:18" s="39" customFormat="1" ht="13.45" customHeight="1" x14ac:dyDescent="0.2">
      <c r="A1179" s="39" t="s">
        <v>3680</v>
      </c>
      <c r="B1179" s="39" t="s">
        <v>74</v>
      </c>
      <c r="C1179" s="39" t="s">
        <v>120</v>
      </c>
      <c r="D1179" s="39" t="s">
        <v>121</v>
      </c>
      <c r="E1179" s="39" t="s">
        <v>151</v>
      </c>
      <c r="F1179" s="39" t="s">
        <v>3681</v>
      </c>
      <c r="G1179" s="39" t="s">
        <v>125</v>
      </c>
      <c r="H1179" s="39" t="s">
        <v>162</v>
      </c>
      <c r="J1179" s="39" t="s">
        <v>124</v>
      </c>
      <c r="K1179" s="39" t="s">
        <v>5557</v>
      </c>
      <c r="L1179" s="39" t="s">
        <v>3682</v>
      </c>
      <c r="M1179" s="39" t="s">
        <v>3604</v>
      </c>
      <c r="O1179" s="39" t="s">
        <v>52</v>
      </c>
      <c r="P1179" s="39" t="s">
        <v>65</v>
      </c>
      <c r="Q1179" s="40">
        <v>450</v>
      </c>
      <c r="R1179" s="40">
        <v>496.20102348338474</v>
      </c>
    </row>
    <row r="1180" spans="1:18" s="39" customFormat="1" ht="13.45" customHeight="1" x14ac:dyDescent="0.2">
      <c r="A1180" s="39" t="s">
        <v>3683</v>
      </c>
      <c r="B1180" s="39" t="s">
        <v>74</v>
      </c>
      <c r="C1180" s="39" t="s">
        <v>120</v>
      </c>
      <c r="D1180" s="39" t="s">
        <v>121</v>
      </c>
      <c r="E1180" s="39" t="s">
        <v>251</v>
      </c>
      <c r="F1180" s="39" t="s">
        <v>3655</v>
      </c>
      <c r="G1180" s="39" t="s">
        <v>125</v>
      </c>
      <c r="H1180" s="39" t="s">
        <v>162</v>
      </c>
      <c r="J1180" s="39" t="s">
        <v>124</v>
      </c>
      <c r="K1180" s="39" t="s">
        <v>5557</v>
      </c>
      <c r="L1180" s="39" t="s">
        <v>3684</v>
      </c>
      <c r="M1180" s="39" t="s">
        <v>3604</v>
      </c>
      <c r="O1180" s="39" t="s">
        <v>52</v>
      </c>
      <c r="P1180" s="39" t="s">
        <v>65</v>
      </c>
      <c r="Q1180" s="40">
        <v>300</v>
      </c>
      <c r="R1180" s="40">
        <v>330.80068232225648</v>
      </c>
    </row>
    <row r="1181" spans="1:18" s="39" customFormat="1" ht="13.45" customHeight="1" x14ac:dyDescent="0.2">
      <c r="A1181" s="39" t="s">
        <v>3685</v>
      </c>
      <c r="B1181" s="39" t="s">
        <v>74</v>
      </c>
      <c r="C1181" s="39" t="s">
        <v>280</v>
      </c>
      <c r="D1181" s="39" t="s">
        <v>121</v>
      </c>
      <c r="E1181" s="39" t="s">
        <v>133</v>
      </c>
      <c r="F1181" s="39" t="s">
        <v>3686</v>
      </c>
      <c r="G1181" s="39" t="s">
        <v>125</v>
      </c>
      <c r="H1181" s="39" t="s">
        <v>162</v>
      </c>
      <c r="I1181" s="39" t="s">
        <v>158</v>
      </c>
      <c r="J1181" s="39" t="s">
        <v>124</v>
      </c>
      <c r="K1181" s="39" t="s">
        <v>5557</v>
      </c>
      <c r="L1181" s="39" t="s">
        <v>3687</v>
      </c>
      <c r="M1181" s="39" t="s">
        <v>3604</v>
      </c>
      <c r="O1181" s="39" t="s">
        <v>52</v>
      </c>
      <c r="P1181" s="39" t="s">
        <v>65</v>
      </c>
      <c r="Q1181" s="40">
        <v>250</v>
      </c>
      <c r="R1181" s="40">
        <v>275.66723526854707</v>
      </c>
    </row>
    <row r="1182" spans="1:18" s="39" customFormat="1" ht="13.45" customHeight="1" x14ac:dyDescent="0.2">
      <c r="A1182" s="39" t="s">
        <v>3688</v>
      </c>
      <c r="B1182" s="39" t="s">
        <v>74</v>
      </c>
      <c r="C1182" s="39" t="s">
        <v>120</v>
      </c>
      <c r="D1182" s="39" t="s">
        <v>121</v>
      </c>
      <c r="E1182" s="39" t="s">
        <v>166</v>
      </c>
      <c r="F1182" s="39" t="s">
        <v>3689</v>
      </c>
      <c r="G1182" s="39" t="s">
        <v>125</v>
      </c>
      <c r="H1182" s="39" t="s">
        <v>162</v>
      </c>
      <c r="J1182" s="39" t="s">
        <v>124</v>
      </c>
      <c r="K1182" s="39" t="s">
        <v>5557</v>
      </c>
      <c r="L1182" s="39" t="s">
        <v>3690</v>
      </c>
      <c r="M1182" s="39" t="s">
        <v>3604</v>
      </c>
      <c r="O1182" s="39" t="s">
        <v>52</v>
      </c>
      <c r="P1182" s="39" t="s">
        <v>65</v>
      </c>
      <c r="Q1182" s="40">
        <v>320</v>
      </c>
      <c r="R1182" s="40">
        <v>352.85406114374024</v>
      </c>
    </row>
    <row r="1183" spans="1:18" s="39" customFormat="1" ht="13.45" customHeight="1" x14ac:dyDescent="0.2">
      <c r="A1183" s="39" t="s">
        <v>3691</v>
      </c>
      <c r="B1183" s="39" t="s">
        <v>74</v>
      </c>
      <c r="C1183" s="39" t="s">
        <v>120</v>
      </c>
      <c r="D1183" s="39" t="s">
        <v>121</v>
      </c>
      <c r="E1183" s="39" t="s">
        <v>166</v>
      </c>
      <c r="F1183" s="39" t="s">
        <v>3692</v>
      </c>
      <c r="G1183" s="39" t="s">
        <v>125</v>
      </c>
      <c r="H1183" s="39" t="s">
        <v>162</v>
      </c>
      <c r="J1183" s="39" t="s">
        <v>124</v>
      </c>
      <c r="K1183" s="39" t="s">
        <v>5557</v>
      </c>
      <c r="L1183" s="39" t="s">
        <v>3693</v>
      </c>
      <c r="M1183" s="39" t="s">
        <v>3604</v>
      </c>
      <c r="O1183" s="39" t="s">
        <v>52</v>
      </c>
      <c r="P1183" s="39" t="s">
        <v>65</v>
      </c>
      <c r="Q1183" s="40">
        <v>410</v>
      </c>
      <c r="R1183" s="40">
        <v>452.09426584041722</v>
      </c>
    </row>
    <row r="1184" spans="1:18" s="39" customFormat="1" ht="13.45" customHeight="1" x14ac:dyDescent="0.2">
      <c r="A1184" s="39" t="s">
        <v>3694</v>
      </c>
      <c r="B1184" s="39" t="s">
        <v>74</v>
      </c>
      <c r="C1184" s="39" t="s">
        <v>171</v>
      </c>
      <c r="D1184" s="39" t="s">
        <v>121</v>
      </c>
      <c r="E1184" s="39" t="s">
        <v>166</v>
      </c>
      <c r="F1184" s="39" t="s">
        <v>1623</v>
      </c>
      <c r="G1184" s="39" t="s">
        <v>125</v>
      </c>
      <c r="H1184" s="39" t="s">
        <v>162</v>
      </c>
      <c r="J1184" s="39" t="s">
        <v>124</v>
      </c>
      <c r="K1184" s="39" t="s">
        <v>5557</v>
      </c>
      <c r="L1184" s="39" t="s">
        <v>3695</v>
      </c>
      <c r="M1184" s="39" t="s">
        <v>3604</v>
      </c>
      <c r="O1184" s="39" t="s">
        <v>52</v>
      </c>
      <c r="P1184" s="39" t="s">
        <v>65</v>
      </c>
      <c r="Q1184" s="40"/>
      <c r="R1184" s="40">
        <v>0</v>
      </c>
    </row>
    <row r="1185" spans="1:18" s="39" customFormat="1" ht="13.45" customHeight="1" x14ac:dyDescent="0.2">
      <c r="A1185" s="39" t="s">
        <v>3696</v>
      </c>
      <c r="B1185" s="39" t="s">
        <v>74</v>
      </c>
      <c r="C1185" s="39" t="s">
        <v>120</v>
      </c>
      <c r="D1185" s="39" t="s">
        <v>121</v>
      </c>
      <c r="E1185" s="39" t="s">
        <v>166</v>
      </c>
      <c r="F1185" s="39" t="s">
        <v>3697</v>
      </c>
      <c r="G1185" s="39" t="s">
        <v>125</v>
      </c>
      <c r="H1185" s="39" t="s">
        <v>162</v>
      </c>
      <c r="J1185" s="39" t="s">
        <v>124</v>
      </c>
      <c r="K1185" s="39" t="s">
        <v>5557</v>
      </c>
      <c r="L1185" s="39" t="s">
        <v>3698</v>
      </c>
      <c r="M1185" s="39" t="s">
        <v>3604</v>
      </c>
      <c r="O1185" s="39" t="s">
        <v>52</v>
      </c>
      <c r="P1185" s="39" t="s">
        <v>65</v>
      </c>
      <c r="Q1185" s="40">
        <v>18670</v>
      </c>
      <c r="R1185" s="40">
        <v>20586.829129855094</v>
      </c>
    </row>
    <row r="1186" spans="1:18" s="39" customFormat="1" ht="13.45" customHeight="1" x14ac:dyDescent="0.2">
      <c r="A1186" s="39" t="s">
        <v>3699</v>
      </c>
      <c r="B1186" s="39" t="s">
        <v>74</v>
      </c>
      <c r="C1186" s="39" t="s">
        <v>120</v>
      </c>
      <c r="D1186" s="39" t="s">
        <v>121</v>
      </c>
      <c r="E1186" s="39" t="s">
        <v>166</v>
      </c>
      <c r="F1186" s="39" t="s">
        <v>3617</v>
      </c>
      <c r="G1186" s="39" t="s">
        <v>125</v>
      </c>
      <c r="H1186" s="39" t="s">
        <v>162</v>
      </c>
      <c r="J1186" s="39" t="s">
        <v>124</v>
      </c>
      <c r="K1186" s="39" t="s">
        <v>5557</v>
      </c>
      <c r="L1186" s="39" t="s">
        <v>3700</v>
      </c>
      <c r="M1186" s="39" t="s">
        <v>3604</v>
      </c>
      <c r="O1186" s="39" t="s">
        <v>52</v>
      </c>
      <c r="P1186" s="39" t="s">
        <v>65</v>
      </c>
      <c r="Q1186" s="40">
        <v>200</v>
      </c>
      <c r="R1186" s="40">
        <v>220.53378821483767</v>
      </c>
    </row>
    <row r="1187" spans="1:18" s="39" customFormat="1" ht="13.45" customHeight="1" x14ac:dyDescent="0.2">
      <c r="A1187" s="39" t="s">
        <v>3701</v>
      </c>
      <c r="B1187" s="39" t="s">
        <v>74</v>
      </c>
      <c r="C1187" s="39" t="s">
        <v>120</v>
      </c>
      <c r="D1187" s="39" t="s">
        <v>137</v>
      </c>
      <c r="E1187" s="39" t="s">
        <v>133</v>
      </c>
      <c r="F1187" s="39" t="s">
        <v>3614</v>
      </c>
      <c r="G1187" s="39" t="s">
        <v>125</v>
      </c>
      <c r="H1187" s="39" t="s">
        <v>208</v>
      </c>
      <c r="J1187" s="39" t="s">
        <v>124</v>
      </c>
      <c r="K1187" s="39" t="s">
        <v>5557</v>
      </c>
      <c r="L1187" s="39" t="s">
        <v>3702</v>
      </c>
      <c r="M1187" s="39" t="s">
        <v>3604</v>
      </c>
      <c r="O1187" s="39" t="s">
        <v>52</v>
      </c>
      <c r="P1187" s="39" t="s">
        <v>65</v>
      </c>
      <c r="Q1187" s="40">
        <v>500</v>
      </c>
      <c r="R1187" s="40">
        <v>551.33447053709415</v>
      </c>
    </row>
    <row r="1188" spans="1:18" s="39" customFormat="1" ht="13.45" customHeight="1" x14ac:dyDescent="0.2">
      <c r="A1188" s="39" t="s">
        <v>3703</v>
      </c>
      <c r="B1188" s="39" t="s">
        <v>74</v>
      </c>
      <c r="C1188" s="39" t="s">
        <v>120</v>
      </c>
      <c r="D1188" s="39" t="s">
        <v>137</v>
      </c>
      <c r="E1188" s="39" t="s">
        <v>133</v>
      </c>
      <c r="F1188" s="39" t="s">
        <v>3704</v>
      </c>
      <c r="G1188" s="39" t="s">
        <v>125</v>
      </c>
      <c r="H1188" s="39" t="s">
        <v>208</v>
      </c>
      <c r="J1188" s="39" t="s">
        <v>124</v>
      </c>
      <c r="K1188" s="39" t="s">
        <v>5557</v>
      </c>
      <c r="L1188" s="39" t="s">
        <v>3705</v>
      </c>
      <c r="M1188" s="39" t="s">
        <v>3604</v>
      </c>
      <c r="O1188" s="39" t="s">
        <v>52</v>
      </c>
      <c r="P1188" s="39" t="s">
        <v>65</v>
      </c>
      <c r="Q1188" s="40">
        <v>2490</v>
      </c>
      <c r="R1188" s="40">
        <v>2745.645663274729</v>
      </c>
    </row>
    <row r="1189" spans="1:18" s="39" customFormat="1" ht="13.45" customHeight="1" x14ac:dyDescent="0.2">
      <c r="A1189" s="39" t="s">
        <v>3706</v>
      </c>
      <c r="B1189" s="39" t="s">
        <v>74</v>
      </c>
      <c r="C1189" s="39" t="s">
        <v>120</v>
      </c>
      <c r="D1189" s="39" t="s">
        <v>137</v>
      </c>
      <c r="E1189" s="39" t="s">
        <v>133</v>
      </c>
      <c r="F1189" s="39" t="s">
        <v>3707</v>
      </c>
      <c r="G1189" s="39" t="s">
        <v>125</v>
      </c>
      <c r="H1189" s="39" t="s">
        <v>208</v>
      </c>
      <c r="J1189" s="39" t="s">
        <v>124</v>
      </c>
      <c r="K1189" s="39" t="s">
        <v>5557</v>
      </c>
      <c r="L1189" s="39" t="s">
        <v>3708</v>
      </c>
      <c r="M1189" s="39" t="s">
        <v>3604</v>
      </c>
      <c r="O1189" s="39" t="s">
        <v>52</v>
      </c>
      <c r="P1189" s="39" t="s">
        <v>65</v>
      </c>
      <c r="Q1189" s="40">
        <v>6000</v>
      </c>
      <c r="R1189" s="40">
        <v>6616.0136464451298</v>
      </c>
    </row>
    <row r="1190" spans="1:18" s="39" customFormat="1" ht="13.45" customHeight="1" x14ac:dyDescent="0.2">
      <c r="A1190" s="39" t="s">
        <v>3709</v>
      </c>
      <c r="B1190" s="39" t="s">
        <v>74</v>
      </c>
      <c r="C1190" s="39" t="s">
        <v>171</v>
      </c>
      <c r="D1190" s="39" t="s">
        <v>137</v>
      </c>
      <c r="E1190" s="39" t="s">
        <v>133</v>
      </c>
      <c r="F1190" s="39" t="s">
        <v>1623</v>
      </c>
      <c r="G1190" s="39" t="s">
        <v>125</v>
      </c>
      <c r="H1190" s="39" t="s">
        <v>208</v>
      </c>
      <c r="J1190" s="39" t="s">
        <v>124</v>
      </c>
      <c r="K1190" s="39" t="s">
        <v>5557</v>
      </c>
      <c r="L1190" s="39" t="s">
        <v>3710</v>
      </c>
      <c r="M1190" s="39" t="s">
        <v>3604</v>
      </c>
      <c r="O1190" s="39" t="s">
        <v>52</v>
      </c>
      <c r="P1190" s="39" t="s">
        <v>65</v>
      </c>
      <c r="Q1190" s="40"/>
      <c r="R1190" s="40">
        <v>0</v>
      </c>
    </row>
    <row r="1191" spans="1:18" s="39" customFormat="1" ht="13.45" customHeight="1" x14ac:dyDescent="0.2">
      <c r="A1191" s="39" t="s">
        <v>3711</v>
      </c>
      <c r="B1191" s="39" t="s">
        <v>74</v>
      </c>
      <c r="C1191" s="39" t="s">
        <v>120</v>
      </c>
      <c r="D1191" s="39" t="s">
        <v>137</v>
      </c>
      <c r="E1191" s="39" t="s">
        <v>133</v>
      </c>
      <c r="F1191" s="39" t="s">
        <v>3712</v>
      </c>
      <c r="G1191" s="39" t="s">
        <v>125</v>
      </c>
      <c r="H1191" s="39" t="s">
        <v>208</v>
      </c>
      <c r="I1191" s="39" t="s">
        <v>134</v>
      </c>
      <c r="J1191" s="39" t="s">
        <v>124</v>
      </c>
      <c r="K1191" s="39" t="s">
        <v>5557</v>
      </c>
      <c r="L1191" s="39" t="s">
        <v>3713</v>
      </c>
      <c r="M1191" s="39" t="s">
        <v>3604</v>
      </c>
      <c r="O1191" s="39" t="s">
        <v>52</v>
      </c>
      <c r="P1191" s="39" t="s">
        <v>65</v>
      </c>
      <c r="Q1191" s="40">
        <v>330</v>
      </c>
      <c r="R1191" s="40">
        <v>363.88075055448212</v>
      </c>
    </row>
    <row r="1192" spans="1:18" s="39" customFormat="1" ht="13.45" customHeight="1" x14ac:dyDescent="0.2">
      <c r="A1192" s="39" t="s">
        <v>3714</v>
      </c>
      <c r="B1192" s="39" t="s">
        <v>74</v>
      </c>
      <c r="C1192" s="39" t="s">
        <v>120</v>
      </c>
      <c r="D1192" s="39" t="s">
        <v>121</v>
      </c>
      <c r="E1192" s="39" t="s">
        <v>292</v>
      </c>
      <c r="F1192" s="39" t="s">
        <v>3715</v>
      </c>
      <c r="G1192" s="39" t="s">
        <v>125</v>
      </c>
      <c r="H1192" s="39" t="s">
        <v>208</v>
      </c>
      <c r="I1192" s="39" t="s">
        <v>134</v>
      </c>
      <c r="J1192" s="39" t="s">
        <v>124</v>
      </c>
      <c r="K1192" s="39" t="s">
        <v>5557</v>
      </c>
      <c r="L1192" s="39" t="s">
        <v>3716</v>
      </c>
      <c r="M1192" s="39" t="s">
        <v>3604</v>
      </c>
      <c r="O1192" s="39" t="s">
        <v>52</v>
      </c>
      <c r="P1192" s="39" t="s">
        <v>65</v>
      </c>
      <c r="Q1192" s="40">
        <v>100</v>
      </c>
      <c r="R1192" s="40">
        <v>110.26689410741884</v>
      </c>
    </row>
    <row r="1193" spans="1:18" s="39" customFormat="1" ht="13.45" customHeight="1" x14ac:dyDescent="0.2">
      <c r="A1193" s="39" t="s">
        <v>3717</v>
      </c>
      <c r="B1193" s="39" t="s">
        <v>74</v>
      </c>
      <c r="C1193" s="39" t="s">
        <v>120</v>
      </c>
      <c r="D1193" s="39" t="s">
        <v>121</v>
      </c>
      <c r="E1193" s="39" t="s">
        <v>292</v>
      </c>
      <c r="F1193" s="39" t="s">
        <v>3718</v>
      </c>
      <c r="G1193" s="39" t="s">
        <v>125</v>
      </c>
      <c r="H1193" s="39" t="s">
        <v>208</v>
      </c>
      <c r="I1193" s="39" t="s">
        <v>134</v>
      </c>
      <c r="J1193" s="39" t="s">
        <v>124</v>
      </c>
      <c r="K1193" s="39" t="s">
        <v>5557</v>
      </c>
      <c r="L1193" s="39" t="s">
        <v>3719</v>
      </c>
      <c r="M1193" s="39" t="s">
        <v>3604</v>
      </c>
      <c r="O1193" s="39" t="s">
        <v>52</v>
      </c>
      <c r="P1193" s="39" t="s">
        <v>65</v>
      </c>
      <c r="Q1193" s="40">
        <v>360</v>
      </c>
      <c r="R1193" s="40">
        <v>396.96081878670776</v>
      </c>
    </row>
    <row r="1194" spans="1:18" s="39" customFormat="1" ht="13.45" customHeight="1" x14ac:dyDescent="0.2">
      <c r="A1194" s="39" t="s">
        <v>3720</v>
      </c>
      <c r="B1194" s="39" t="s">
        <v>74</v>
      </c>
      <c r="C1194" s="39" t="s">
        <v>120</v>
      </c>
      <c r="D1194" s="39" t="s">
        <v>121</v>
      </c>
      <c r="E1194" s="39" t="s">
        <v>292</v>
      </c>
      <c r="F1194" s="39" t="s">
        <v>3614</v>
      </c>
      <c r="G1194" s="39" t="s">
        <v>125</v>
      </c>
      <c r="H1194" s="39" t="s">
        <v>208</v>
      </c>
      <c r="I1194" s="39" t="s">
        <v>134</v>
      </c>
      <c r="J1194" s="39" t="s">
        <v>124</v>
      </c>
      <c r="K1194" s="39" t="s">
        <v>5557</v>
      </c>
      <c r="L1194" s="39" t="s">
        <v>3721</v>
      </c>
      <c r="M1194" s="39" t="s">
        <v>3604</v>
      </c>
      <c r="O1194" s="39" t="s">
        <v>52</v>
      </c>
      <c r="P1194" s="39" t="s">
        <v>65</v>
      </c>
      <c r="Q1194" s="40">
        <v>500</v>
      </c>
      <c r="R1194" s="40">
        <v>551.33447053709415</v>
      </c>
    </row>
    <row r="1195" spans="1:18" s="39" customFormat="1" ht="13.45" customHeight="1" x14ac:dyDescent="0.2">
      <c r="A1195" s="39" t="s">
        <v>3722</v>
      </c>
      <c r="B1195" s="39" t="s">
        <v>74</v>
      </c>
      <c r="C1195" s="39" t="s">
        <v>120</v>
      </c>
      <c r="D1195" s="39" t="s">
        <v>121</v>
      </c>
      <c r="E1195" s="39" t="s">
        <v>133</v>
      </c>
      <c r="F1195" s="39" t="s">
        <v>3723</v>
      </c>
      <c r="G1195" s="39" t="s">
        <v>125</v>
      </c>
      <c r="H1195" s="39" t="s">
        <v>208</v>
      </c>
      <c r="I1195" s="39" t="s">
        <v>134</v>
      </c>
      <c r="J1195" s="39" t="s">
        <v>124</v>
      </c>
      <c r="K1195" s="39" t="s">
        <v>5557</v>
      </c>
      <c r="L1195" s="39" t="s">
        <v>3724</v>
      </c>
      <c r="M1195" s="39" t="s">
        <v>3604</v>
      </c>
      <c r="O1195" s="39" t="s">
        <v>52</v>
      </c>
      <c r="P1195" s="39" t="s">
        <v>65</v>
      </c>
      <c r="Q1195" s="40">
        <v>400</v>
      </c>
      <c r="R1195" s="40">
        <v>441.06757642967534</v>
      </c>
    </row>
    <row r="1196" spans="1:18" s="39" customFormat="1" ht="13.45" customHeight="1" x14ac:dyDescent="0.2">
      <c r="A1196" s="39" t="s">
        <v>3725</v>
      </c>
      <c r="B1196" s="39" t="s">
        <v>74</v>
      </c>
      <c r="C1196" s="39" t="s">
        <v>171</v>
      </c>
      <c r="D1196" s="39" t="s">
        <v>137</v>
      </c>
      <c r="E1196" s="39" t="s">
        <v>133</v>
      </c>
      <c r="F1196" s="39" t="s">
        <v>1623</v>
      </c>
      <c r="G1196" s="39" t="s">
        <v>125</v>
      </c>
      <c r="H1196" s="39" t="s">
        <v>208</v>
      </c>
      <c r="I1196" s="39" t="s">
        <v>134</v>
      </c>
      <c r="J1196" s="39" t="s">
        <v>124</v>
      </c>
      <c r="K1196" s="39" t="s">
        <v>5557</v>
      </c>
      <c r="L1196" s="39" t="s">
        <v>3726</v>
      </c>
      <c r="M1196" s="39" t="s">
        <v>3604</v>
      </c>
      <c r="O1196" s="39" t="s">
        <v>52</v>
      </c>
      <c r="P1196" s="39" t="s">
        <v>65</v>
      </c>
      <c r="Q1196" s="40"/>
      <c r="R1196" s="40">
        <v>0</v>
      </c>
    </row>
    <row r="1197" spans="1:18" s="39" customFormat="1" ht="13.45" customHeight="1" x14ac:dyDescent="0.2">
      <c r="A1197" s="39" t="s">
        <v>3727</v>
      </c>
      <c r="B1197" s="39" t="s">
        <v>74</v>
      </c>
      <c r="C1197" s="39" t="s">
        <v>120</v>
      </c>
      <c r="D1197" s="39" t="s">
        <v>121</v>
      </c>
      <c r="E1197" s="39" t="s">
        <v>133</v>
      </c>
      <c r="F1197" s="39" t="s">
        <v>3609</v>
      </c>
      <c r="G1197" s="39" t="s">
        <v>153</v>
      </c>
      <c r="H1197" s="39" t="s">
        <v>208</v>
      </c>
      <c r="J1197" s="39" t="s">
        <v>124</v>
      </c>
      <c r="K1197" s="39" t="s">
        <v>5557</v>
      </c>
      <c r="L1197" s="39" t="s">
        <v>3728</v>
      </c>
      <c r="M1197" s="39" t="s">
        <v>3604</v>
      </c>
      <c r="O1197" s="39" t="s">
        <v>52</v>
      </c>
      <c r="P1197" s="39" t="s">
        <v>65</v>
      </c>
      <c r="Q1197" s="40">
        <v>2000</v>
      </c>
      <c r="R1197" s="40">
        <v>2205.3378821483766</v>
      </c>
    </row>
    <row r="1198" spans="1:18" s="39" customFormat="1" ht="13.45" customHeight="1" x14ac:dyDescent="0.2">
      <c r="A1198" s="39" t="s">
        <v>3729</v>
      </c>
      <c r="B1198" s="39" t="s">
        <v>74</v>
      </c>
      <c r="C1198" s="39" t="s">
        <v>120</v>
      </c>
      <c r="D1198" s="39" t="s">
        <v>121</v>
      </c>
      <c r="E1198" s="39" t="s">
        <v>133</v>
      </c>
      <c r="F1198" s="39" t="s">
        <v>3730</v>
      </c>
      <c r="G1198" s="39" t="s">
        <v>153</v>
      </c>
      <c r="H1198" s="39" t="s">
        <v>208</v>
      </c>
      <c r="J1198" s="39" t="s">
        <v>124</v>
      </c>
      <c r="K1198" s="39" t="s">
        <v>5557</v>
      </c>
      <c r="L1198" s="39" t="s">
        <v>3731</v>
      </c>
      <c r="M1198" s="39" t="s">
        <v>3604</v>
      </c>
      <c r="O1198" s="39" t="s">
        <v>52</v>
      </c>
      <c r="P1198" s="39" t="s">
        <v>65</v>
      </c>
      <c r="Q1198" s="40">
        <v>900</v>
      </c>
      <c r="R1198" s="40">
        <v>992.40204696676949</v>
      </c>
    </row>
    <row r="1199" spans="1:18" s="39" customFormat="1" ht="13.45" customHeight="1" x14ac:dyDescent="0.2">
      <c r="A1199" s="39" t="s">
        <v>3732</v>
      </c>
      <c r="B1199" s="39" t="s">
        <v>74</v>
      </c>
      <c r="C1199" s="39" t="s">
        <v>120</v>
      </c>
      <c r="D1199" s="39" t="s">
        <v>121</v>
      </c>
      <c r="E1199" s="39" t="s">
        <v>133</v>
      </c>
      <c r="F1199" s="39" t="s">
        <v>3733</v>
      </c>
      <c r="G1199" s="39" t="s">
        <v>153</v>
      </c>
      <c r="H1199" s="39" t="s">
        <v>208</v>
      </c>
      <c r="J1199" s="39" t="s">
        <v>124</v>
      </c>
      <c r="K1199" s="39" t="s">
        <v>5557</v>
      </c>
      <c r="L1199" s="39" t="s">
        <v>3734</v>
      </c>
      <c r="M1199" s="39" t="s">
        <v>3604</v>
      </c>
      <c r="O1199" s="39" t="s">
        <v>52</v>
      </c>
      <c r="P1199" s="39" t="s">
        <v>65</v>
      </c>
      <c r="Q1199" s="40">
        <v>880</v>
      </c>
      <c r="R1199" s="40">
        <v>970.34866814528573</v>
      </c>
    </row>
    <row r="1200" spans="1:18" s="39" customFormat="1" ht="13.45" customHeight="1" x14ac:dyDescent="0.2">
      <c r="A1200" s="39" t="s">
        <v>3735</v>
      </c>
      <c r="B1200" s="39" t="s">
        <v>74</v>
      </c>
      <c r="C1200" s="39" t="s">
        <v>120</v>
      </c>
      <c r="D1200" s="39" t="s">
        <v>121</v>
      </c>
      <c r="E1200" s="39" t="s">
        <v>133</v>
      </c>
      <c r="F1200" s="39" t="s">
        <v>3606</v>
      </c>
      <c r="G1200" s="39" t="s">
        <v>153</v>
      </c>
      <c r="H1200" s="39" t="s">
        <v>208</v>
      </c>
      <c r="J1200" s="39" t="s">
        <v>124</v>
      </c>
      <c r="K1200" s="39" t="s">
        <v>5557</v>
      </c>
      <c r="L1200" s="39" t="s">
        <v>3736</v>
      </c>
      <c r="M1200" s="39" t="s">
        <v>3604</v>
      </c>
      <c r="O1200" s="39" t="s">
        <v>52</v>
      </c>
      <c r="P1200" s="39" t="s">
        <v>65</v>
      </c>
      <c r="Q1200" s="40">
        <v>600</v>
      </c>
      <c r="R1200" s="40">
        <v>661.60136464451296</v>
      </c>
    </row>
    <row r="1201" spans="1:18" s="39" customFormat="1" ht="13.45" customHeight="1" x14ac:dyDescent="0.2">
      <c r="A1201" s="39" t="s">
        <v>3737</v>
      </c>
      <c r="B1201" s="39" t="s">
        <v>74</v>
      </c>
      <c r="C1201" s="39" t="s">
        <v>171</v>
      </c>
      <c r="D1201" s="39" t="s">
        <v>121</v>
      </c>
      <c r="E1201" s="39" t="s">
        <v>133</v>
      </c>
      <c r="F1201" s="39" t="s">
        <v>1623</v>
      </c>
      <c r="G1201" s="39" t="s">
        <v>153</v>
      </c>
      <c r="H1201" s="39" t="s">
        <v>208</v>
      </c>
      <c r="J1201" s="39" t="s">
        <v>124</v>
      </c>
      <c r="K1201" s="39" t="s">
        <v>5557</v>
      </c>
      <c r="L1201" s="39" t="s">
        <v>3738</v>
      </c>
      <c r="M1201" s="39" t="s">
        <v>3604</v>
      </c>
      <c r="O1201" s="39" t="s">
        <v>52</v>
      </c>
      <c r="P1201" s="39" t="s">
        <v>65</v>
      </c>
      <c r="Q1201" s="40"/>
      <c r="R1201" s="40">
        <v>0</v>
      </c>
    </row>
    <row r="1202" spans="1:18" s="39" customFormat="1" ht="13.45" customHeight="1" x14ac:dyDescent="0.2">
      <c r="A1202" s="39" t="s">
        <v>3739</v>
      </c>
      <c r="B1202" s="39" t="s">
        <v>74</v>
      </c>
      <c r="C1202" s="39" t="s">
        <v>171</v>
      </c>
      <c r="D1202" s="39" t="s">
        <v>121</v>
      </c>
      <c r="E1202" s="39" t="s">
        <v>133</v>
      </c>
      <c r="F1202" s="39" t="s">
        <v>1623</v>
      </c>
      <c r="G1202" s="39" t="s">
        <v>153</v>
      </c>
      <c r="H1202" s="39" t="s">
        <v>208</v>
      </c>
      <c r="J1202" s="39" t="s">
        <v>124</v>
      </c>
      <c r="K1202" s="39" t="s">
        <v>5557</v>
      </c>
      <c r="L1202" s="39" t="s">
        <v>3740</v>
      </c>
      <c r="M1202" s="39" t="s">
        <v>3604</v>
      </c>
      <c r="O1202" s="39" t="s">
        <v>52</v>
      </c>
      <c r="P1202" s="39" t="s">
        <v>65</v>
      </c>
      <c r="Q1202" s="40"/>
      <c r="R1202" s="40">
        <v>0</v>
      </c>
    </row>
    <row r="1203" spans="1:18" s="39" customFormat="1" ht="13.45" customHeight="1" x14ac:dyDescent="0.2">
      <c r="A1203" s="39" t="s">
        <v>3741</v>
      </c>
      <c r="B1203" s="39" t="s">
        <v>74</v>
      </c>
      <c r="C1203" s="39" t="s">
        <v>132</v>
      </c>
      <c r="D1203" s="39" t="s">
        <v>121</v>
      </c>
      <c r="E1203" s="39" t="s">
        <v>251</v>
      </c>
      <c r="F1203" s="39" t="s">
        <v>3742</v>
      </c>
      <c r="G1203" s="39" t="s">
        <v>125</v>
      </c>
      <c r="H1203" s="39" t="s">
        <v>134</v>
      </c>
      <c r="I1203" s="39" t="s">
        <v>162</v>
      </c>
      <c r="L1203" s="48" t="s">
        <v>3743</v>
      </c>
      <c r="M1203" s="39" t="s">
        <v>3604</v>
      </c>
      <c r="O1203" s="39" t="s">
        <v>52</v>
      </c>
      <c r="P1203" s="39" t="s">
        <v>65</v>
      </c>
      <c r="Q1203" s="40">
        <v>26520</v>
      </c>
      <c r="R1203" s="40">
        <v>29242.780317287474</v>
      </c>
    </row>
    <row r="1204" spans="1:18" s="39" customFormat="1" ht="13.45" customHeight="1" x14ac:dyDescent="0.2">
      <c r="A1204" s="39" t="s">
        <v>3744</v>
      </c>
      <c r="B1204" s="39" t="s">
        <v>74</v>
      </c>
      <c r="C1204" s="39" t="s">
        <v>120</v>
      </c>
      <c r="D1204" s="39" t="s">
        <v>121</v>
      </c>
      <c r="E1204" s="39" t="s">
        <v>734</v>
      </c>
      <c r="F1204" s="39" t="s">
        <v>3745</v>
      </c>
      <c r="G1204" s="39" t="s">
        <v>125</v>
      </c>
      <c r="H1204" s="39" t="s">
        <v>162</v>
      </c>
      <c r="I1204" s="39" t="s">
        <v>134</v>
      </c>
      <c r="L1204" s="39" t="s">
        <v>3746</v>
      </c>
      <c r="M1204" s="39" t="s">
        <v>3747</v>
      </c>
      <c r="O1204" s="39" t="s">
        <v>52</v>
      </c>
      <c r="P1204" s="39" t="s">
        <v>65</v>
      </c>
      <c r="Q1204" s="40">
        <v>800</v>
      </c>
      <c r="R1204" s="40">
        <v>882.13515285935068</v>
      </c>
    </row>
    <row r="1205" spans="1:18" s="39" customFormat="1" ht="13.45" customHeight="1" x14ac:dyDescent="0.2">
      <c r="A1205" s="39" t="s">
        <v>3748</v>
      </c>
      <c r="B1205" s="39" t="s">
        <v>74</v>
      </c>
      <c r="C1205" s="39" t="s">
        <v>120</v>
      </c>
      <c r="D1205" s="39" t="s">
        <v>121</v>
      </c>
      <c r="E1205" s="39" t="s">
        <v>133</v>
      </c>
      <c r="F1205" s="39" t="s">
        <v>2149</v>
      </c>
      <c r="G1205" s="39" t="s">
        <v>125</v>
      </c>
      <c r="L1205" s="39" t="s">
        <v>3749</v>
      </c>
      <c r="M1205" s="39" t="s">
        <v>3604</v>
      </c>
      <c r="O1205" s="39" t="s">
        <v>52</v>
      </c>
      <c r="P1205" s="39" t="s">
        <v>65</v>
      </c>
      <c r="Q1205" s="40">
        <v>7500</v>
      </c>
      <c r="R1205" s="40">
        <v>8270.0170580564118</v>
      </c>
    </row>
    <row r="1206" spans="1:18" s="39" customFormat="1" ht="13.45" customHeight="1" x14ac:dyDescent="0.2">
      <c r="A1206" s="39" t="s">
        <v>3750</v>
      </c>
      <c r="B1206" s="39" t="s">
        <v>74</v>
      </c>
      <c r="C1206" s="39" t="s">
        <v>120</v>
      </c>
      <c r="D1206" s="39" t="s">
        <v>121</v>
      </c>
      <c r="E1206" s="39" t="s">
        <v>166</v>
      </c>
      <c r="F1206" s="39" t="s">
        <v>3609</v>
      </c>
      <c r="G1206" s="39" t="s">
        <v>125</v>
      </c>
      <c r="H1206" s="39" t="s">
        <v>162</v>
      </c>
      <c r="J1206" s="39" t="s">
        <v>124</v>
      </c>
      <c r="K1206" s="39" t="s">
        <v>5557</v>
      </c>
      <c r="L1206" s="39" t="s">
        <v>3751</v>
      </c>
      <c r="M1206" s="39" t="s">
        <v>3752</v>
      </c>
      <c r="O1206" s="39" t="s">
        <v>52</v>
      </c>
      <c r="P1206" s="39" t="s">
        <v>65</v>
      </c>
      <c r="Q1206" s="40">
        <v>2000</v>
      </c>
      <c r="R1206" s="40">
        <v>2205.3378821483766</v>
      </c>
    </row>
    <row r="1207" spans="1:18" s="39" customFormat="1" ht="13.45" customHeight="1" x14ac:dyDescent="0.2">
      <c r="A1207" s="39" t="s">
        <v>3753</v>
      </c>
      <c r="B1207" s="39" t="s">
        <v>74</v>
      </c>
      <c r="C1207" s="39" t="s">
        <v>120</v>
      </c>
      <c r="D1207" s="39" t="s">
        <v>121</v>
      </c>
      <c r="E1207" s="39" t="s">
        <v>734</v>
      </c>
      <c r="F1207" s="39" t="s">
        <v>3754</v>
      </c>
      <c r="G1207" s="39" t="s">
        <v>125</v>
      </c>
      <c r="H1207" s="39" t="s">
        <v>162</v>
      </c>
      <c r="I1207" s="39" t="s">
        <v>153</v>
      </c>
      <c r="J1207" s="39" t="s">
        <v>124</v>
      </c>
      <c r="K1207" s="39" t="s">
        <v>5557</v>
      </c>
      <c r="L1207" s="39" t="s">
        <v>3755</v>
      </c>
      <c r="M1207" s="39" t="s">
        <v>3604</v>
      </c>
      <c r="O1207" s="39" t="s">
        <v>52</v>
      </c>
      <c r="P1207" s="39" t="s">
        <v>65</v>
      </c>
      <c r="Q1207" s="40">
        <v>270</v>
      </c>
      <c r="R1207" s="40">
        <v>297.72061409003084</v>
      </c>
    </row>
    <row r="1208" spans="1:18" s="39" customFormat="1" ht="13.45" customHeight="1" x14ac:dyDescent="0.2">
      <c r="A1208" s="39" t="s">
        <v>3753</v>
      </c>
      <c r="B1208" s="39" t="s">
        <v>74</v>
      </c>
      <c r="C1208" s="39" t="s">
        <v>120</v>
      </c>
      <c r="D1208" s="39" t="s">
        <v>121</v>
      </c>
      <c r="E1208" s="39" t="s">
        <v>166</v>
      </c>
      <c r="F1208" s="39" t="s">
        <v>2203</v>
      </c>
      <c r="G1208" s="39" t="s">
        <v>1440</v>
      </c>
      <c r="L1208" s="39" t="s">
        <v>3756</v>
      </c>
      <c r="M1208" s="39" t="s">
        <v>3757</v>
      </c>
      <c r="O1208" s="39" t="s">
        <v>52</v>
      </c>
      <c r="P1208" s="39" t="s">
        <v>65</v>
      </c>
      <c r="Q1208" s="40">
        <v>20</v>
      </c>
      <c r="R1208" s="40">
        <v>22.053378821483765</v>
      </c>
    </row>
    <row r="1209" spans="1:18" s="39" customFormat="1" ht="13.45" customHeight="1" x14ac:dyDescent="0.2">
      <c r="A1209" s="39" t="s">
        <v>3758</v>
      </c>
      <c r="B1209" s="39" t="s">
        <v>74</v>
      </c>
      <c r="C1209" s="39" t="s">
        <v>171</v>
      </c>
      <c r="D1209" s="39" t="s">
        <v>137</v>
      </c>
      <c r="E1209" s="39" t="s">
        <v>133</v>
      </c>
      <c r="F1209" s="39" t="s">
        <v>109</v>
      </c>
      <c r="G1209" s="39" t="s">
        <v>125</v>
      </c>
      <c r="H1209" s="39" t="s">
        <v>162</v>
      </c>
      <c r="I1209" s="39" t="s">
        <v>134</v>
      </c>
      <c r="L1209" s="39" t="s">
        <v>3759</v>
      </c>
      <c r="M1209" s="39" t="s">
        <v>3760</v>
      </c>
      <c r="O1209" s="39" t="s">
        <v>52</v>
      </c>
      <c r="P1209" s="39" t="s">
        <v>65</v>
      </c>
      <c r="Q1209" s="40"/>
      <c r="R1209" s="40">
        <v>0</v>
      </c>
    </row>
    <row r="1210" spans="1:18" s="39" customFormat="1" ht="13.45" customHeight="1" x14ac:dyDescent="0.2">
      <c r="A1210" s="75" t="s">
        <v>3761</v>
      </c>
      <c r="B1210" s="75" t="s">
        <v>75</v>
      </c>
      <c r="C1210" s="75" t="s">
        <v>177</v>
      </c>
      <c r="D1210" s="75" t="s">
        <v>121</v>
      </c>
      <c r="E1210" s="75" t="s">
        <v>151</v>
      </c>
      <c r="F1210" s="75" t="s">
        <v>3762</v>
      </c>
      <c r="G1210" s="75" t="s">
        <v>125</v>
      </c>
      <c r="H1210" s="75"/>
      <c r="I1210" s="75"/>
      <c r="J1210" s="75" t="s">
        <v>124</v>
      </c>
      <c r="K1210" s="75" t="s">
        <v>5557</v>
      </c>
      <c r="L1210" s="75" t="s">
        <v>3763</v>
      </c>
      <c r="M1210" s="75" t="s">
        <v>3764</v>
      </c>
      <c r="N1210" s="75"/>
      <c r="O1210" s="75" t="s">
        <v>52</v>
      </c>
      <c r="P1210" s="75" t="s">
        <v>3765</v>
      </c>
      <c r="Q1210" s="100">
        <v>5000</v>
      </c>
      <c r="R1210" s="40">
        <v>44.955655885362532</v>
      </c>
    </row>
    <row r="1211" spans="1:18" s="39" customFormat="1" ht="13.45" customHeight="1" x14ac:dyDescent="0.2">
      <c r="A1211" s="42" t="s">
        <v>3766</v>
      </c>
      <c r="B1211" s="42" t="s">
        <v>75</v>
      </c>
      <c r="C1211" s="42" t="s">
        <v>120</v>
      </c>
      <c r="D1211" s="42" t="s">
        <v>137</v>
      </c>
      <c r="E1211" s="42" t="s">
        <v>133</v>
      </c>
      <c r="F1211" s="42" t="s">
        <v>3767</v>
      </c>
      <c r="G1211" s="42" t="s">
        <v>125</v>
      </c>
      <c r="H1211" s="42"/>
      <c r="I1211" s="42"/>
      <c r="J1211" s="42" t="s">
        <v>124</v>
      </c>
      <c r="K1211" s="42" t="s">
        <v>5557</v>
      </c>
      <c r="L1211" s="42" t="s">
        <v>3768</v>
      </c>
      <c r="M1211" s="170" t="s">
        <v>3769</v>
      </c>
      <c r="N1211" s="171" t="s">
        <v>3770</v>
      </c>
      <c r="O1211" s="42" t="s">
        <v>52</v>
      </c>
      <c r="P1211" s="39" t="s">
        <v>3765</v>
      </c>
      <c r="Q1211" s="40">
        <v>2000000</v>
      </c>
      <c r="R1211" s="40">
        <v>17982.262354145012</v>
      </c>
    </row>
    <row r="1212" spans="1:18" s="39" customFormat="1" ht="13.45" customHeight="1" x14ac:dyDescent="0.2">
      <c r="A1212" s="39" t="s">
        <v>3771</v>
      </c>
      <c r="B1212" s="39" t="s">
        <v>75</v>
      </c>
      <c r="C1212" s="39" t="s">
        <v>177</v>
      </c>
      <c r="D1212" s="39" t="s">
        <v>137</v>
      </c>
      <c r="E1212" s="39" t="s">
        <v>133</v>
      </c>
      <c r="F1212" s="39" t="s">
        <v>3772</v>
      </c>
      <c r="G1212" s="39" t="s">
        <v>152</v>
      </c>
      <c r="J1212" s="39" t="s">
        <v>124</v>
      </c>
      <c r="K1212" s="39" t="s">
        <v>5557</v>
      </c>
      <c r="L1212" s="39" t="s">
        <v>3773</v>
      </c>
      <c r="M1212" s="120" t="s">
        <v>3774</v>
      </c>
      <c r="N1212" s="120" t="s">
        <v>3775</v>
      </c>
      <c r="O1212" s="39" t="s">
        <v>52</v>
      </c>
      <c r="Q1212" s="40"/>
      <c r="R1212" s="40" t="s">
        <v>1604</v>
      </c>
    </row>
    <row r="1213" spans="1:18" s="39" customFormat="1" ht="13.45" customHeight="1" x14ac:dyDescent="0.2">
      <c r="A1213" s="39" t="s">
        <v>3776</v>
      </c>
      <c r="B1213" s="39" t="s">
        <v>75</v>
      </c>
      <c r="C1213" s="62" t="s">
        <v>177</v>
      </c>
      <c r="D1213" s="39" t="s">
        <v>137</v>
      </c>
      <c r="E1213" s="39" t="s">
        <v>133</v>
      </c>
      <c r="F1213" s="39" t="s">
        <v>3772</v>
      </c>
      <c r="G1213" s="39" t="s">
        <v>162</v>
      </c>
      <c r="H1213" s="39" t="s">
        <v>125</v>
      </c>
      <c r="I1213" s="39" t="s">
        <v>153</v>
      </c>
      <c r="J1213" s="39" t="s">
        <v>124</v>
      </c>
      <c r="K1213" s="39" t="s">
        <v>5557</v>
      </c>
      <c r="L1213" s="39" t="s">
        <v>3777</v>
      </c>
      <c r="M1213" s="120" t="s">
        <v>3778</v>
      </c>
      <c r="N1213" s="120"/>
      <c r="O1213" s="39" t="s">
        <v>52</v>
      </c>
      <c r="Q1213" s="40"/>
      <c r="R1213" s="40" t="s">
        <v>1604</v>
      </c>
    </row>
    <row r="1214" spans="1:18" s="39" customFormat="1" ht="13.45" customHeight="1" x14ac:dyDescent="0.2">
      <c r="A1214" s="39" t="s">
        <v>3779</v>
      </c>
      <c r="B1214" s="39" t="s">
        <v>75</v>
      </c>
      <c r="C1214" s="62" t="s">
        <v>177</v>
      </c>
      <c r="D1214" s="55" t="s">
        <v>121</v>
      </c>
      <c r="E1214" s="39" t="s">
        <v>251</v>
      </c>
      <c r="F1214" s="39" t="s">
        <v>3772</v>
      </c>
      <c r="G1214" s="39" t="s">
        <v>125</v>
      </c>
      <c r="H1214" s="39" t="s">
        <v>125</v>
      </c>
      <c r="J1214" s="39" t="s">
        <v>124</v>
      </c>
      <c r="K1214" s="39" t="s">
        <v>5557</v>
      </c>
      <c r="L1214" s="39" t="s">
        <v>3780</v>
      </c>
      <c r="M1214" s="120" t="s">
        <v>3781</v>
      </c>
      <c r="N1214" s="120"/>
      <c r="O1214" s="39" t="s">
        <v>52</v>
      </c>
      <c r="Q1214" s="40"/>
      <c r="R1214" s="40" t="s">
        <v>1604</v>
      </c>
    </row>
    <row r="1215" spans="1:18" s="39" customFormat="1" ht="13.45" customHeight="1" x14ac:dyDescent="0.2">
      <c r="A1215" s="42" t="s">
        <v>3782</v>
      </c>
      <c r="B1215" s="42" t="s">
        <v>75</v>
      </c>
      <c r="C1215" s="42" t="s">
        <v>177</v>
      </c>
      <c r="D1215" s="42" t="s">
        <v>137</v>
      </c>
      <c r="E1215" s="42" t="s">
        <v>133</v>
      </c>
      <c r="F1215" s="42" t="s">
        <v>3772</v>
      </c>
      <c r="G1215" s="42" t="s">
        <v>125</v>
      </c>
      <c r="H1215" s="42" t="s">
        <v>125</v>
      </c>
      <c r="I1215" s="42"/>
      <c r="J1215" s="42" t="s">
        <v>124</v>
      </c>
      <c r="K1215" s="42" t="s">
        <v>5557</v>
      </c>
      <c r="L1215" s="42" t="s">
        <v>3783</v>
      </c>
      <c r="M1215" s="171" t="s">
        <v>3784</v>
      </c>
      <c r="N1215" s="45" t="s">
        <v>3785</v>
      </c>
      <c r="O1215" s="42" t="s">
        <v>52</v>
      </c>
      <c r="Q1215" s="40"/>
      <c r="R1215" s="40" t="s">
        <v>1604</v>
      </c>
    </row>
    <row r="1216" spans="1:18" s="39" customFormat="1" ht="13.45" customHeight="1" x14ac:dyDescent="0.2">
      <c r="A1216" s="39" t="s">
        <v>3786</v>
      </c>
      <c r="B1216" s="39" t="s">
        <v>75</v>
      </c>
      <c r="C1216" s="62" t="s">
        <v>177</v>
      </c>
      <c r="D1216" s="55" t="s">
        <v>121</v>
      </c>
      <c r="E1216" s="39" t="s">
        <v>199</v>
      </c>
      <c r="F1216" s="39" t="s">
        <v>3772</v>
      </c>
      <c r="G1216" s="39" t="s">
        <v>152</v>
      </c>
      <c r="H1216" s="39" t="s">
        <v>152</v>
      </c>
      <c r="J1216" s="39" t="s">
        <v>124</v>
      </c>
      <c r="K1216" s="39" t="s">
        <v>5557</v>
      </c>
      <c r="L1216" s="39" t="s">
        <v>3787</v>
      </c>
      <c r="M1216" s="120" t="s">
        <v>3774</v>
      </c>
      <c r="N1216" s="120"/>
      <c r="O1216" s="39" t="s">
        <v>52</v>
      </c>
      <c r="Q1216" s="40"/>
      <c r="R1216" s="40" t="s">
        <v>1604</v>
      </c>
    </row>
    <row r="1217" spans="1:18" s="39" customFormat="1" ht="13.45" customHeight="1" x14ac:dyDescent="0.2">
      <c r="A1217" s="39" t="s">
        <v>3788</v>
      </c>
      <c r="B1217" s="39" t="s">
        <v>3789</v>
      </c>
      <c r="C1217" s="62" t="s">
        <v>120</v>
      </c>
      <c r="D1217" s="39" t="s">
        <v>137</v>
      </c>
      <c r="E1217" s="39" t="s">
        <v>166</v>
      </c>
      <c r="F1217" s="39" t="s">
        <v>3790</v>
      </c>
      <c r="G1217" s="39" t="s">
        <v>125</v>
      </c>
      <c r="J1217" s="39" t="s">
        <v>124</v>
      </c>
      <c r="K1217" s="39" t="s">
        <v>5557</v>
      </c>
      <c r="L1217" s="39" t="s">
        <v>3791</v>
      </c>
      <c r="M1217" s="120" t="s">
        <v>3792</v>
      </c>
      <c r="N1217" s="120"/>
      <c r="O1217" s="39" t="s">
        <v>52</v>
      </c>
      <c r="P1217" s="39" t="s">
        <v>3765</v>
      </c>
      <c r="Q1217" s="40">
        <v>3000</v>
      </c>
      <c r="R1217" s="40">
        <v>26.973393531217518</v>
      </c>
    </row>
    <row r="1218" spans="1:18" s="39" customFormat="1" ht="13.45" customHeight="1" x14ac:dyDescent="0.2">
      <c r="A1218" s="39" t="s">
        <v>3793</v>
      </c>
      <c r="B1218" s="39" t="s">
        <v>3789</v>
      </c>
      <c r="C1218" s="62" t="s">
        <v>177</v>
      </c>
      <c r="D1218" s="39" t="s">
        <v>160</v>
      </c>
      <c r="E1218" s="39" t="s">
        <v>133</v>
      </c>
      <c r="G1218" s="39" t="s">
        <v>208</v>
      </c>
      <c r="H1218" s="39" t="s">
        <v>125</v>
      </c>
      <c r="J1218" s="39" t="s">
        <v>124</v>
      </c>
      <c r="K1218" s="39" t="s">
        <v>5557</v>
      </c>
      <c r="L1218" s="39" t="s">
        <v>3794</v>
      </c>
      <c r="M1218" s="120" t="s">
        <v>3795</v>
      </c>
      <c r="N1218" s="120"/>
      <c r="O1218" s="39" t="s">
        <v>52</v>
      </c>
      <c r="Q1218" s="40"/>
      <c r="R1218" s="40" t="s">
        <v>1604</v>
      </c>
    </row>
    <row r="1219" spans="1:18" s="39" customFormat="1" ht="13.45" customHeight="1" x14ac:dyDescent="0.2">
      <c r="A1219" s="39" t="s">
        <v>3796</v>
      </c>
      <c r="B1219" s="39" t="s">
        <v>3789</v>
      </c>
      <c r="C1219" s="62" t="s">
        <v>177</v>
      </c>
      <c r="D1219" s="39" t="s">
        <v>121</v>
      </c>
      <c r="E1219" s="39" t="s">
        <v>133</v>
      </c>
      <c r="F1219" s="39" t="s">
        <v>3797</v>
      </c>
      <c r="G1219" s="39" t="s">
        <v>158</v>
      </c>
      <c r="J1219" s="39" t="s">
        <v>124</v>
      </c>
      <c r="K1219" s="39" t="s">
        <v>5557</v>
      </c>
      <c r="L1219" s="39" t="s">
        <v>3798</v>
      </c>
      <c r="M1219" s="120" t="s">
        <v>3799</v>
      </c>
      <c r="N1219" s="120"/>
      <c r="O1219" s="39" t="s">
        <v>52</v>
      </c>
      <c r="Q1219" s="40"/>
      <c r="R1219" s="40" t="s">
        <v>1604</v>
      </c>
    </row>
    <row r="1220" spans="1:18" s="39" customFormat="1" ht="13.45" customHeight="1" x14ac:dyDescent="0.2">
      <c r="A1220" s="39" t="s">
        <v>3800</v>
      </c>
      <c r="B1220" s="39" t="s">
        <v>75</v>
      </c>
      <c r="C1220" s="62" t="s">
        <v>177</v>
      </c>
      <c r="D1220" s="39" t="s">
        <v>137</v>
      </c>
      <c r="E1220" s="39" t="s">
        <v>133</v>
      </c>
      <c r="F1220" s="39" t="s">
        <v>3797</v>
      </c>
      <c r="G1220" s="39" t="s">
        <v>208</v>
      </c>
      <c r="J1220" s="39" t="s">
        <v>124</v>
      </c>
      <c r="K1220" s="39" t="s">
        <v>5557</v>
      </c>
      <c r="L1220" s="39" t="s">
        <v>3801</v>
      </c>
      <c r="M1220" s="172" t="s">
        <v>3802</v>
      </c>
      <c r="N1220" s="120"/>
      <c r="O1220" s="39" t="s">
        <v>52</v>
      </c>
      <c r="Q1220" s="40"/>
      <c r="R1220" s="40" t="s">
        <v>1604</v>
      </c>
    </row>
    <row r="1221" spans="1:18" s="39" customFormat="1" ht="13.45" customHeight="1" x14ac:dyDescent="0.2">
      <c r="A1221" s="39" t="s">
        <v>3803</v>
      </c>
      <c r="B1221" s="39" t="s">
        <v>75</v>
      </c>
      <c r="C1221" s="62" t="s">
        <v>177</v>
      </c>
      <c r="D1221" s="39" t="s">
        <v>137</v>
      </c>
      <c r="E1221" s="39" t="s">
        <v>133</v>
      </c>
      <c r="F1221" s="39" t="s">
        <v>3797</v>
      </c>
      <c r="G1221" s="39" t="s">
        <v>158</v>
      </c>
      <c r="J1221" s="39" t="s">
        <v>124</v>
      </c>
      <c r="K1221" s="39" t="s">
        <v>5557</v>
      </c>
      <c r="L1221" s="109" t="s">
        <v>3804</v>
      </c>
      <c r="M1221" s="173"/>
      <c r="N1221" s="120"/>
      <c r="O1221" s="39" t="s">
        <v>52</v>
      </c>
      <c r="Q1221" s="40"/>
      <c r="R1221" s="40" t="s">
        <v>1604</v>
      </c>
    </row>
    <row r="1222" spans="1:18" s="39" customFormat="1" ht="13.45" customHeight="1" x14ac:dyDescent="0.2">
      <c r="A1222" s="39" t="s">
        <v>3805</v>
      </c>
      <c r="B1222" s="39" t="s">
        <v>75</v>
      </c>
      <c r="C1222" s="62" t="s">
        <v>177</v>
      </c>
      <c r="D1222" s="39" t="s">
        <v>137</v>
      </c>
      <c r="E1222" s="39" t="s">
        <v>133</v>
      </c>
      <c r="F1222" s="39" t="s">
        <v>3797</v>
      </c>
      <c r="G1222" s="39" t="s">
        <v>134</v>
      </c>
      <c r="J1222" s="39" t="s">
        <v>124</v>
      </c>
      <c r="K1222" s="39" t="s">
        <v>5557</v>
      </c>
      <c r="L1222" s="109" t="s">
        <v>3806</v>
      </c>
      <c r="M1222" s="174" t="s">
        <v>3807</v>
      </c>
      <c r="N1222" s="120"/>
      <c r="O1222" s="109" t="s">
        <v>52</v>
      </c>
      <c r="Q1222" s="40"/>
      <c r="R1222" s="40" t="s">
        <v>1604</v>
      </c>
    </row>
    <row r="1223" spans="1:18" s="39" customFormat="1" ht="13.45" customHeight="1" x14ac:dyDescent="0.2">
      <c r="A1223" s="175" t="s">
        <v>3809</v>
      </c>
      <c r="B1223" s="175" t="s">
        <v>75</v>
      </c>
      <c r="C1223" s="175" t="s">
        <v>177</v>
      </c>
      <c r="D1223" s="175" t="s">
        <v>137</v>
      </c>
      <c r="E1223" s="175" t="s">
        <v>133</v>
      </c>
      <c r="F1223" s="175" t="s">
        <v>3810</v>
      </c>
      <c r="G1223" s="175" t="s">
        <v>125</v>
      </c>
      <c r="H1223" s="175" t="s">
        <v>158</v>
      </c>
      <c r="I1223" s="175"/>
      <c r="J1223" s="175" t="s">
        <v>124</v>
      </c>
      <c r="K1223" s="175" t="s">
        <v>5557</v>
      </c>
      <c r="L1223" s="175" t="s">
        <v>3811</v>
      </c>
      <c r="M1223" s="176" t="s">
        <v>3808</v>
      </c>
      <c r="N1223" s="175"/>
      <c r="O1223" s="177" t="s">
        <v>52</v>
      </c>
      <c r="P1223" s="50" t="s">
        <v>3765</v>
      </c>
      <c r="Q1223" s="41">
        <f>2174760-109400-2000000+109400</f>
        <v>174760</v>
      </c>
      <c r="R1223" s="40">
        <v>1571.2900845051911</v>
      </c>
    </row>
    <row r="1224" spans="1:18" s="39" customFormat="1" ht="13.45" customHeight="1" x14ac:dyDescent="0.2">
      <c r="A1224" s="39" t="s">
        <v>3812</v>
      </c>
      <c r="B1224" s="39" t="s">
        <v>76</v>
      </c>
      <c r="C1224" s="39" t="s">
        <v>171</v>
      </c>
      <c r="D1224" s="39" t="s">
        <v>121</v>
      </c>
      <c r="E1224" s="39" t="s">
        <v>147</v>
      </c>
      <c r="G1224" s="39" t="s">
        <v>152</v>
      </c>
      <c r="J1224" s="39" t="s">
        <v>124</v>
      </c>
      <c r="K1224" s="39" t="s">
        <v>5557</v>
      </c>
      <c r="L1224" s="56" t="s">
        <v>3813</v>
      </c>
      <c r="M1224" s="39" t="s">
        <v>3814</v>
      </c>
      <c r="O1224" s="39" t="s">
        <v>54</v>
      </c>
      <c r="Q1224" s="40"/>
      <c r="R1224" s="40" t="s">
        <v>1604</v>
      </c>
    </row>
    <row r="1225" spans="1:18" s="39" customFormat="1" ht="13.45" customHeight="1" x14ac:dyDescent="0.2">
      <c r="A1225" s="39" t="s">
        <v>3815</v>
      </c>
      <c r="B1225" s="39" t="s">
        <v>76</v>
      </c>
      <c r="C1225" s="39" t="s">
        <v>120</v>
      </c>
      <c r="D1225" s="39" t="s">
        <v>121</v>
      </c>
      <c r="E1225" s="39" t="s">
        <v>199</v>
      </c>
      <c r="F1225" s="39" t="s">
        <v>3816</v>
      </c>
      <c r="G1225" s="39" t="s">
        <v>152</v>
      </c>
      <c r="H1225" s="39" t="s">
        <v>323</v>
      </c>
      <c r="J1225" s="39" t="s">
        <v>124</v>
      </c>
      <c r="K1225" s="39" t="s">
        <v>5557</v>
      </c>
      <c r="L1225" s="39" t="s">
        <v>3817</v>
      </c>
      <c r="M1225" s="39" t="s">
        <v>3818</v>
      </c>
      <c r="O1225" s="39" t="s">
        <v>52</v>
      </c>
      <c r="P1225" s="39" t="s">
        <v>3819</v>
      </c>
      <c r="Q1225" s="40">
        <v>163400</v>
      </c>
      <c r="R1225" s="40">
        <v>142.5505545058754</v>
      </c>
    </row>
    <row r="1226" spans="1:18" s="39" customFormat="1" ht="13.45" customHeight="1" x14ac:dyDescent="0.2">
      <c r="A1226" s="39" t="s">
        <v>3820</v>
      </c>
      <c r="B1226" s="39" t="s">
        <v>76</v>
      </c>
      <c r="C1226" s="39" t="s">
        <v>171</v>
      </c>
      <c r="D1226" s="39" t="s">
        <v>137</v>
      </c>
      <c r="E1226" s="39" t="s">
        <v>147</v>
      </c>
      <c r="G1226" s="39" t="s">
        <v>125</v>
      </c>
      <c r="H1226" s="39" t="s">
        <v>162</v>
      </c>
      <c r="I1226" s="39" t="s">
        <v>152</v>
      </c>
      <c r="J1226" s="39" t="s">
        <v>124</v>
      </c>
      <c r="K1226" s="39" t="s">
        <v>5557</v>
      </c>
      <c r="L1226" s="39" t="s">
        <v>3821</v>
      </c>
      <c r="M1226" s="39" t="s">
        <v>3822</v>
      </c>
      <c r="O1226" s="39" t="s">
        <v>54</v>
      </c>
      <c r="Q1226" s="40"/>
      <c r="R1226" s="40" t="s">
        <v>1604</v>
      </c>
    </row>
    <row r="1227" spans="1:18" s="39" customFormat="1" ht="13.45" customHeight="1" x14ac:dyDescent="0.2">
      <c r="A1227" s="39" t="s">
        <v>3823</v>
      </c>
      <c r="B1227" s="39" t="s">
        <v>76</v>
      </c>
      <c r="C1227" s="39" t="s">
        <v>171</v>
      </c>
      <c r="D1227" s="39" t="s">
        <v>160</v>
      </c>
      <c r="E1227" s="39" t="s">
        <v>133</v>
      </c>
      <c r="G1227" s="39" t="s">
        <v>125</v>
      </c>
      <c r="H1227" s="39" t="s">
        <v>162</v>
      </c>
      <c r="I1227" s="39" t="s">
        <v>152</v>
      </c>
      <c r="J1227" s="39" t="s">
        <v>124</v>
      </c>
      <c r="K1227" s="39" t="s">
        <v>5557</v>
      </c>
      <c r="L1227" s="39" t="s">
        <v>3824</v>
      </c>
      <c r="O1227" s="39" t="s">
        <v>54</v>
      </c>
      <c r="Q1227" s="40"/>
      <c r="R1227" s="40" t="s">
        <v>1604</v>
      </c>
    </row>
    <row r="1228" spans="1:18" s="39" customFormat="1" ht="13.45" customHeight="1" x14ac:dyDescent="0.2">
      <c r="A1228" s="39" t="s">
        <v>3825</v>
      </c>
      <c r="B1228" s="39" t="s">
        <v>76</v>
      </c>
      <c r="C1228" s="39" t="s">
        <v>171</v>
      </c>
      <c r="D1228" s="39" t="s">
        <v>137</v>
      </c>
      <c r="E1228" s="39" t="s">
        <v>133</v>
      </c>
      <c r="G1228" s="39" t="s">
        <v>153</v>
      </c>
      <c r="J1228" s="39" t="s">
        <v>124</v>
      </c>
      <c r="K1228" s="39" t="s">
        <v>5557</v>
      </c>
      <c r="L1228" s="39" t="s">
        <v>3826</v>
      </c>
      <c r="M1228" s="39" t="s">
        <v>3827</v>
      </c>
      <c r="O1228" s="39" t="s">
        <v>54</v>
      </c>
      <c r="Q1228" s="40"/>
      <c r="R1228" s="40" t="s">
        <v>1604</v>
      </c>
    </row>
    <row r="1229" spans="1:18" s="39" customFormat="1" ht="13.45" customHeight="1" x14ac:dyDescent="0.2">
      <c r="A1229" s="39" t="s">
        <v>3828</v>
      </c>
      <c r="B1229" s="39" t="s">
        <v>76</v>
      </c>
      <c r="C1229" s="39" t="s">
        <v>120</v>
      </c>
      <c r="D1229" s="39" t="s">
        <v>121</v>
      </c>
      <c r="E1229" s="39" t="s">
        <v>147</v>
      </c>
      <c r="F1229" s="39" t="s">
        <v>3829</v>
      </c>
      <c r="G1229" s="39" t="s">
        <v>125</v>
      </c>
      <c r="H1229" s="39" t="s">
        <v>162</v>
      </c>
      <c r="J1229" s="39" t="s">
        <v>124</v>
      </c>
      <c r="K1229" s="39" t="s">
        <v>5557</v>
      </c>
      <c r="L1229" s="39" t="s">
        <v>3830</v>
      </c>
      <c r="M1229" s="39" t="s">
        <v>3831</v>
      </c>
      <c r="O1229" s="39" t="s">
        <v>55</v>
      </c>
      <c r="P1229" s="39" t="s">
        <v>3819</v>
      </c>
      <c r="Q1229" s="40">
        <v>11200</v>
      </c>
      <c r="R1229" s="40">
        <v>9.7709070407943965</v>
      </c>
    </row>
    <row r="1230" spans="1:18" s="39" customFormat="1" ht="13.45" customHeight="1" x14ac:dyDescent="0.2">
      <c r="A1230" s="39" t="s">
        <v>3832</v>
      </c>
      <c r="B1230" s="39" t="s">
        <v>76</v>
      </c>
      <c r="C1230" s="39" t="s">
        <v>120</v>
      </c>
      <c r="D1230" s="39" t="s">
        <v>137</v>
      </c>
      <c r="E1230" s="39" t="s">
        <v>133</v>
      </c>
      <c r="F1230" s="39" t="s">
        <v>3833</v>
      </c>
      <c r="G1230" s="39" t="s">
        <v>125</v>
      </c>
      <c r="H1230" s="39" t="s">
        <v>162</v>
      </c>
      <c r="J1230" s="39" t="s">
        <v>5562</v>
      </c>
      <c r="K1230" s="39" t="s">
        <v>5557</v>
      </c>
      <c r="L1230" s="39" t="s">
        <v>3834</v>
      </c>
      <c r="M1230" s="76" t="s">
        <v>3835</v>
      </c>
      <c r="O1230" s="39" t="s">
        <v>52</v>
      </c>
      <c r="P1230" s="39" t="s">
        <v>3819</v>
      </c>
      <c r="Q1230" s="40">
        <v>4800000</v>
      </c>
      <c r="R1230" s="40">
        <v>4187.5315889118847</v>
      </c>
    </row>
    <row r="1231" spans="1:18" s="39" customFormat="1" ht="13.45" customHeight="1" x14ac:dyDescent="0.2">
      <c r="A1231" s="39" t="s">
        <v>3836</v>
      </c>
      <c r="B1231" s="39" t="s">
        <v>76</v>
      </c>
      <c r="C1231" s="39" t="s">
        <v>120</v>
      </c>
      <c r="D1231" s="39" t="s">
        <v>137</v>
      </c>
      <c r="E1231" s="39" t="s">
        <v>147</v>
      </c>
      <c r="F1231" s="39" t="s">
        <v>3837</v>
      </c>
      <c r="G1231" s="39" t="s">
        <v>125</v>
      </c>
      <c r="H1231" s="39" t="s">
        <v>162</v>
      </c>
      <c r="I1231" s="39" t="s">
        <v>153</v>
      </c>
      <c r="J1231" s="39" t="s">
        <v>124</v>
      </c>
      <c r="K1231" s="39" t="s">
        <v>5557</v>
      </c>
      <c r="L1231" s="39" t="s">
        <v>3838</v>
      </c>
      <c r="M1231" s="39" t="s">
        <v>3839</v>
      </c>
      <c r="N1231" s="76" t="s">
        <v>3835</v>
      </c>
      <c r="O1231" s="39" t="s">
        <v>52</v>
      </c>
      <c r="P1231" s="39" t="s">
        <v>3819</v>
      </c>
      <c r="Q1231" s="40">
        <v>16000000</v>
      </c>
      <c r="R1231" s="40">
        <v>13958.438629706281</v>
      </c>
    </row>
    <row r="1232" spans="1:18" s="39" customFormat="1" ht="13.45" customHeight="1" x14ac:dyDescent="0.2">
      <c r="A1232" s="39" t="s">
        <v>3840</v>
      </c>
      <c r="B1232" s="39" t="s">
        <v>76</v>
      </c>
      <c r="C1232" s="39" t="s">
        <v>177</v>
      </c>
      <c r="D1232" s="39" t="s">
        <v>121</v>
      </c>
      <c r="E1232" s="39" t="s">
        <v>151</v>
      </c>
      <c r="F1232" s="39" t="s">
        <v>3841</v>
      </c>
      <c r="G1232" s="39" t="s">
        <v>125</v>
      </c>
      <c r="H1232" s="39" t="s">
        <v>162</v>
      </c>
      <c r="J1232" s="39" t="s">
        <v>124</v>
      </c>
      <c r="K1232" s="39" t="s">
        <v>5557</v>
      </c>
      <c r="L1232" s="39" t="s">
        <v>3842</v>
      </c>
      <c r="M1232" s="39" t="s">
        <v>3839</v>
      </c>
      <c r="N1232" s="76" t="s">
        <v>3835</v>
      </c>
      <c r="O1232" s="39" t="s">
        <v>52</v>
      </c>
      <c r="P1232" s="39" t="s">
        <v>3819</v>
      </c>
      <c r="Q1232" s="40">
        <v>30000000</v>
      </c>
      <c r="R1232" s="40">
        <v>26172.072430699278</v>
      </c>
    </row>
    <row r="1233" spans="1:18" s="39" customFormat="1" ht="12.9" x14ac:dyDescent="0.2">
      <c r="A1233" s="39" t="s">
        <v>3843</v>
      </c>
      <c r="B1233" s="39" t="s">
        <v>76</v>
      </c>
      <c r="C1233" s="39" t="s">
        <v>177</v>
      </c>
      <c r="D1233" s="39" t="s">
        <v>121</v>
      </c>
      <c r="E1233" s="39" t="s">
        <v>133</v>
      </c>
      <c r="F1233" s="39" t="s">
        <v>3844</v>
      </c>
      <c r="G1233" s="39" t="s">
        <v>125</v>
      </c>
      <c r="H1233" s="39" t="s">
        <v>162</v>
      </c>
      <c r="I1233" s="39" t="s">
        <v>158</v>
      </c>
      <c r="J1233" s="39" t="s">
        <v>5562</v>
      </c>
      <c r="K1233" s="39" t="s">
        <v>5557</v>
      </c>
      <c r="L1233" s="39" t="s">
        <v>3845</v>
      </c>
      <c r="M1233" s="39" t="s">
        <v>3839</v>
      </c>
      <c r="N1233" s="76" t="s">
        <v>3835</v>
      </c>
      <c r="O1233" s="39" t="s">
        <v>52</v>
      </c>
      <c r="P1233" s="39" t="s">
        <v>3819</v>
      </c>
      <c r="Q1233" s="40">
        <v>10200000</v>
      </c>
      <c r="R1233" s="40">
        <v>8898.5046264377543</v>
      </c>
    </row>
    <row r="1234" spans="1:18" s="39" customFormat="1" x14ac:dyDescent="0.2">
      <c r="A1234" s="39" t="s">
        <v>3846</v>
      </c>
      <c r="B1234" s="39" t="s">
        <v>76</v>
      </c>
      <c r="C1234" s="39" t="s">
        <v>120</v>
      </c>
      <c r="D1234" s="39" t="s">
        <v>121</v>
      </c>
      <c r="E1234" s="39" t="s">
        <v>133</v>
      </c>
      <c r="F1234" s="39" t="s">
        <v>3847</v>
      </c>
      <c r="G1234" s="39" t="s">
        <v>125</v>
      </c>
      <c r="H1234" s="39" t="s">
        <v>162</v>
      </c>
      <c r="J1234" s="39" t="s">
        <v>124</v>
      </c>
      <c r="K1234" s="39" t="s">
        <v>5557</v>
      </c>
      <c r="L1234" s="39" t="s">
        <v>3848</v>
      </c>
      <c r="M1234" s="39" t="s">
        <v>3849</v>
      </c>
      <c r="O1234" s="39" t="s">
        <v>54</v>
      </c>
      <c r="P1234" s="39" t="s">
        <v>3819</v>
      </c>
      <c r="Q1234" s="40">
        <v>40000000</v>
      </c>
      <c r="R1234" s="40">
        <v>34896.096574265706</v>
      </c>
    </row>
    <row r="1235" spans="1:18" s="39" customFormat="1" ht="13.45" customHeight="1" x14ac:dyDescent="0.2">
      <c r="A1235" s="39" t="s">
        <v>3850</v>
      </c>
      <c r="B1235" s="39" t="s">
        <v>76</v>
      </c>
      <c r="C1235" s="39" t="s">
        <v>120</v>
      </c>
      <c r="D1235" s="39" t="s">
        <v>121</v>
      </c>
      <c r="E1235" s="39" t="s">
        <v>122</v>
      </c>
      <c r="F1235" s="39" t="s">
        <v>3851</v>
      </c>
      <c r="G1235" s="39" t="s">
        <v>125</v>
      </c>
      <c r="H1235" s="39" t="s">
        <v>162</v>
      </c>
      <c r="J1235" s="39" t="s">
        <v>124</v>
      </c>
      <c r="K1235" s="39" t="s">
        <v>5557</v>
      </c>
      <c r="L1235" s="39" t="s">
        <v>3852</v>
      </c>
      <c r="M1235" s="76" t="s">
        <v>3853</v>
      </c>
      <c r="O1235" s="39" t="s">
        <v>54</v>
      </c>
      <c r="P1235" s="39" t="s">
        <v>3819</v>
      </c>
      <c r="Q1235" s="40">
        <v>2900000</v>
      </c>
      <c r="R1235" s="40">
        <v>2529.9670016342634</v>
      </c>
    </row>
    <row r="1236" spans="1:18" s="39" customFormat="1" ht="13.45" customHeight="1" x14ac:dyDescent="0.2">
      <c r="A1236" s="50" t="s">
        <v>3854</v>
      </c>
      <c r="B1236" s="50" t="s">
        <v>76</v>
      </c>
      <c r="C1236" s="50" t="s">
        <v>120</v>
      </c>
      <c r="D1236" s="50" t="s">
        <v>121</v>
      </c>
      <c r="E1236" s="50" t="s">
        <v>147</v>
      </c>
      <c r="F1236" s="50" t="s">
        <v>3855</v>
      </c>
      <c r="G1236" s="50" t="s">
        <v>125</v>
      </c>
      <c r="H1236" s="50" t="s">
        <v>162</v>
      </c>
      <c r="I1236" s="50"/>
      <c r="J1236" s="50" t="s">
        <v>124</v>
      </c>
      <c r="K1236" s="50" t="s">
        <v>5557</v>
      </c>
      <c r="L1236" s="50" t="s">
        <v>3856</v>
      </c>
      <c r="M1236" s="145" t="s">
        <v>3857</v>
      </c>
      <c r="N1236" s="50"/>
      <c r="O1236" s="50" t="s">
        <v>54</v>
      </c>
      <c r="P1236" s="50" t="s">
        <v>3819</v>
      </c>
      <c r="Q1236" s="97">
        <v>3000000</v>
      </c>
      <c r="R1236" s="40">
        <v>2617.2072430699277</v>
      </c>
    </row>
    <row r="1237" spans="1:18" s="39" customFormat="1" ht="13.45" customHeight="1" x14ac:dyDescent="0.2">
      <c r="A1237" s="39" t="s">
        <v>3858</v>
      </c>
      <c r="B1237" s="39" t="s">
        <v>76</v>
      </c>
      <c r="C1237" s="39" t="s">
        <v>171</v>
      </c>
      <c r="D1237" s="39" t="s">
        <v>121</v>
      </c>
      <c r="E1237" s="39" t="s">
        <v>147</v>
      </c>
      <c r="G1237" s="39" t="s">
        <v>125</v>
      </c>
      <c r="H1237" s="39" t="s">
        <v>162</v>
      </c>
      <c r="I1237" s="39" t="s">
        <v>158</v>
      </c>
      <c r="J1237" s="39" t="s">
        <v>124</v>
      </c>
      <c r="K1237" s="39" t="s">
        <v>5557</v>
      </c>
      <c r="L1237" s="39" t="s">
        <v>3859</v>
      </c>
      <c r="M1237" s="39" t="s">
        <v>3860</v>
      </c>
      <c r="O1237" s="39" t="s">
        <v>54</v>
      </c>
      <c r="P1237" s="94"/>
      <c r="Q1237" s="40"/>
      <c r="R1237" s="40" t="s">
        <v>1604</v>
      </c>
    </row>
    <row r="1238" spans="1:18" s="39" customFormat="1" ht="13.45" customHeight="1" x14ac:dyDescent="0.2">
      <c r="A1238" s="39" t="s">
        <v>3861</v>
      </c>
      <c r="B1238" s="39" t="s">
        <v>76</v>
      </c>
      <c r="C1238" s="39" t="s">
        <v>171</v>
      </c>
      <c r="D1238" s="39" t="s">
        <v>137</v>
      </c>
      <c r="E1238" s="39" t="s">
        <v>133</v>
      </c>
      <c r="G1238" s="39" t="s">
        <v>134</v>
      </c>
      <c r="J1238" s="39" t="s">
        <v>124</v>
      </c>
      <c r="K1238" s="39" t="s">
        <v>5557</v>
      </c>
      <c r="L1238" s="39" t="s">
        <v>3862</v>
      </c>
      <c r="M1238" s="39" t="s">
        <v>3863</v>
      </c>
      <c r="O1238" s="39" t="s">
        <v>55</v>
      </c>
      <c r="P1238" s="94"/>
      <c r="Q1238" s="40"/>
      <c r="R1238" s="40" t="s">
        <v>1604</v>
      </c>
    </row>
    <row r="1239" spans="1:18" s="39" customFormat="1" ht="13.45" customHeight="1" x14ac:dyDescent="0.2">
      <c r="A1239" s="39" t="s">
        <v>3864</v>
      </c>
      <c r="B1239" s="39" t="s">
        <v>76</v>
      </c>
      <c r="C1239" s="39" t="s">
        <v>171</v>
      </c>
      <c r="D1239" s="39" t="s">
        <v>121</v>
      </c>
      <c r="E1239" s="39" t="s">
        <v>199</v>
      </c>
      <c r="G1239" s="39" t="s">
        <v>125</v>
      </c>
      <c r="H1239" s="39" t="s">
        <v>152</v>
      </c>
      <c r="I1239" s="39" t="s">
        <v>323</v>
      </c>
      <c r="J1239" s="39" t="s">
        <v>124</v>
      </c>
      <c r="K1239" s="39" t="s">
        <v>5557</v>
      </c>
      <c r="L1239" s="39" t="s">
        <v>3865</v>
      </c>
      <c r="M1239" s="39" t="s">
        <v>3866</v>
      </c>
      <c r="O1239" s="39" t="s">
        <v>52</v>
      </c>
      <c r="Q1239" s="40"/>
      <c r="R1239" s="40" t="s">
        <v>1604</v>
      </c>
    </row>
    <row r="1240" spans="1:18" s="39" customFormat="1" ht="13.45" customHeight="1" x14ac:dyDescent="0.2">
      <c r="A1240" s="39" t="s">
        <v>3867</v>
      </c>
      <c r="B1240" s="39" t="s">
        <v>76</v>
      </c>
      <c r="C1240" s="39" t="s">
        <v>188</v>
      </c>
      <c r="D1240" s="39" t="s">
        <v>121</v>
      </c>
      <c r="E1240" s="39" t="s">
        <v>199</v>
      </c>
      <c r="F1240" s="39" t="s">
        <v>3868</v>
      </c>
      <c r="G1240" s="39" t="s">
        <v>152</v>
      </c>
      <c r="H1240" s="39" t="s">
        <v>323</v>
      </c>
      <c r="J1240" s="39" t="s">
        <v>124</v>
      </c>
      <c r="K1240" s="39" t="s">
        <v>5557</v>
      </c>
      <c r="L1240" s="39" t="s">
        <v>3869</v>
      </c>
      <c r="M1240" s="76" t="s">
        <v>3870</v>
      </c>
      <c r="O1240" s="39" t="s">
        <v>52</v>
      </c>
      <c r="P1240" s="39" t="s">
        <v>3819</v>
      </c>
      <c r="Q1240" s="40">
        <v>4800</v>
      </c>
      <c r="R1240" s="40">
        <v>4.1875315889118845</v>
      </c>
    </row>
    <row r="1241" spans="1:18" s="39" customFormat="1" ht="13.45" customHeight="1" x14ac:dyDescent="0.2">
      <c r="A1241" s="39" t="s">
        <v>3871</v>
      </c>
      <c r="B1241" s="39" t="s">
        <v>76</v>
      </c>
      <c r="C1241" s="39" t="s">
        <v>226</v>
      </c>
      <c r="D1241" s="39" t="s">
        <v>137</v>
      </c>
      <c r="E1241" s="39" t="s">
        <v>133</v>
      </c>
      <c r="F1241" s="39" t="s">
        <v>3872</v>
      </c>
      <c r="G1241" s="39" t="s">
        <v>125</v>
      </c>
      <c r="H1241" s="39" t="s">
        <v>162</v>
      </c>
      <c r="I1241" s="39" t="s">
        <v>158</v>
      </c>
      <c r="J1241" s="39" t="s">
        <v>124</v>
      </c>
      <c r="K1241" s="39" t="s">
        <v>5557</v>
      </c>
      <c r="L1241" s="39" t="s">
        <v>3873</v>
      </c>
      <c r="M1241" s="76" t="s">
        <v>3874</v>
      </c>
      <c r="O1241" s="39" t="s">
        <v>52</v>
      </c>
      <c r="P1241" s="39" t="s">
        <v>3819</v>
      </c>
      <c r="Q1241" s="40">
        <v>50</v>
      </c>
      <c r="R1241" s="40">
        <v>4.3620120717832132E-2</v>
      </c>
    </row>
    <row r="1242" spans="1:18" s="39" customFormat="1" ht="13.45" customHeight="1" x14ac:dyDescent="0.2">
      <c r="A1242" s="39" t="s">
        <v>3875</v>
      </c>
      <c r="B1242" s="39" t="s">
        <v>76</v>
      </c>
      <c r="C1242" s="39" t="s">
        <v>3876</v>
      </c>
      <c r="D1242" s="39" t="s">
        <v>121</v>
      </c>
      <c r="E1242" s="39" t="s">
        <v>151</v>
      </c>
      <c r="F1242" s="39">
        <v>0</v>
      </c>
      <c r="G1242" s="39" t="s">
        <v>125</v>
      </c>
      <c r="H1242" s="39" t="s">
        <v>162</v>
      </c>
      <c r="J1242" s="39" t="s">
        <v>124</v>
      </c>
      <c r="K1242" s="39" t="s">
        <v>5557</v>
      </c>
      <c r="L1242" s="62" t="s">
        <v>3877</v>
      </c>
      <c r="M1242" s="76" t="s">
        <v>3878</v>
      </c>
      <c r="O1242" s="39" t="s">
        <v>55</v>
      </c>
      <c r="Q1242" s="40"/>
      <c r="R1242" s="40" t="s">
        <v>1604</v>
      </c>
    </row>
    <row r="1243" spans="1:18" s="39" customFormat="1" ht="13.45" customHeight="1" x14ac:dyDescent="0.2">
      <c r="A1243" s="75" t="s">
        <v>3879</v>
      </c>
      <c r="B1243" s="75" t="s">
        <v>78</v>
      </c>
      <c r="C1243" s="75" t="s">
        <v>120</v>
      </c>
      <c r="D1243" s="75" t="s">
        <v>137</v>
      </c>
      <c r="E1243" s="75" t="s">
        <v>133</v>
      </c>
      <c r="F1243" s="75" t="s">
        <v>3880</v>
      </c>
      <c r="G1243" s="75" t="s">
        <v>125</v>
      </c>
      <c r="H1243" s="75" t="s">
        <v>162</v>
      </c>
      <c r="I1243" s="75"/>
      <c r="J1243" s="75" t="s">
        <v>124</v>
      </c>
      <c r="K1243" s="75" t="s">
        <v>5557</v>
      </c>
      <c r="L1243" s="75" t="s">
        <v>3881</v>
      </c>
      <c r="M1243" s="99" t="s">
        <v>3882</v>
      </c>
      <c r="N1243" s="75" t="s">
        <v>3883</v>
      </c>
      <c r="O1243" s="75" t="s">
        <v>52</v>
      </c>
      <c r="P1243" s="75" t="s">
        <v>65</v>
      </c>
      <c r="Q1243" s="100">
        <v>18</v>
      </c>
      <c r="R1243" s="40">
        <v>19.848040939335387</v>
      </c>
    </row>
    <row r="1244" spans="1:18" s="39" customFormat="1" ht="13.45" customHeight="1" x14ac:dyDescent="0.2">
      <c r="A1244" s="39" t="s">
        <v>3884</v>
      </c>
      <c r="B1244" s="39" t="s">
        <v>78</v>
      </c>
      <c r="C1244" s="39" t="s">
        <v>120</v>
      </c>
      <c r="D1244" s="39" t="s">
        <v>137</v>
      </c>
      <c r="E1244" s="39" t="s">
        <v>133</v>
      </c>
      <c r="F1244" s="39" t="s">
        <v>3885</v>
      </c>
      <c r="J1244" s="39" t="s">
        <v>124</v>
      </c>
      <c r="K1244" s="39" t="s">
        <v>5557</v>
      </c>
      <c r="L1244" s="39" t="s">
        <v>3886</v>
      </c>
      <c r="M1244" s="39" t="s">
        <v>3882</v>
      </c>
      <c r="O1244" s="39" t="s">
        <v>55</v>
      </c>
      <c r="P1244" s="39" t="s">
        <v>65</v>
      </c>
      <c r="Q1244" s="40">
        <v>1000</v>
      </c>
      <c r="R1244" s="40">
        <v>1102.6689410741883</v>
      </c>
    </row>
    <row r="1245" spans="1:18" s="39" customFormat="1" ht="13.45" customHeight="1" x14ac:dyDescent="0.2">
      <c r="A1245" s="39" t="s">
        <v>3887</v>
      </c>
      <c r="B1245" s="39" t="s">
        <v>78</v>
      </c>
      <c r="C1245" s="39" t="s">
        <v>177</v>
      </c>
      <c r="D1245" s="39" t="s">
        <v>137</v>
      </c>
      <c r="E1245" s="39" t="s">
        <v>133</v>
      </c>
      <c r="F1245" s="39" t="s">
        <v>3888</v>
      </c>
      <c r="G1245" s="39" t="s">
        <v>125</v>
      </c>
      <c r="H1245" s="39" t="s">
        <v>162</v>
      </c>
      <c r="I1245" s="39" t="s">
        <v>158</v>
      </c>
      <c r="J1245" s="39" t="s">
        <v>124</v>
      </c>
      <c r="K1245" s="39" t="s">
        <v>5557</v>
      </c>
      <c r="L1245" s="39" t="s">
        <v>3889</v>
      </c>
      <c r="M1245" s="76" t="s">
        <v>3882</v>
      </c>
      <c r="N1245" s="76" t="s">
        <v>3890</v>
      </c>
      <c r="O1245" s="39" t="s">
        <v>55</v>
      </c>
      <c r="P1245" s="39" t="s">
        <v>65</v>
      </c>
      <c r="Q1245" s="40">
        <v>5373</v>
      </c>
      <c r="R1245" s="40">
        <v>5924.6402203916141</v>
      </c>
    </row>
    <row r="1246" spans="1:18" s="39" customFormat="1" ht="13.45" customHeight="1" x14ac:dyDescent="0.2">
      <c r="A1246" s="39" t="s">
        <v>3891</v>
      </c>
      <c r="B1246" s="39" t="s">
        <v>78</v>
      </c>
      <c r="C1246" s="39" t="s">
        <v>177</v>
      </c>
      <c r="D1246" s="39" t="s">
        <v>137</v>
      </c>
      <c r="E1246" s="39" t="s">
        <v>133</v>
      </c>
      <c r="F1246" s="39" t="s">
        <v>3892</v>
      </c>
      <c r="G1246" s="39" t="s">
        <v>125</v>
      </c>
      <c r="H1246" s="39" t="s">
        <v>162</v>
      </c>
      <c r="I1246" s="39" t="s">
        <v>158</v>
      </c>
      <c r="J1246" s="39" t="s">
        <v>124</v>
      </c>
      <c r="K1246" s="39" t="s">
        <v>5557</v>
      </c>
      <c r="L1246" s="39" t="s">
        <v>3893</v>
      </c>
      <c r="M1246" s="76" t="s">
        <v>3882</v>
      </c>
      <c r="N1246" s="76" t="s">
        <v>3890</v>
      </c>
      <c r="O1246" s="39" t="s">
        <v>52</v>
      </c>
      <c r="P1246" s="39" t="s">
        <v>65</v>
      </c>
      <c r="Q1246" s="40">
        <v>927</v>
      </c>
      <c r="R1246" s="40">
        <v>1022.1741083757726</v>
      </c>
    </row>
    <row r="1247" spans="1:18" s="39" customFormat="1" ht="13.45" customHeight="1" x14ac:dyDescent="0.2">
      <c r="A1247" s="39" t="s">
        <v>3894</v>
      </c>
      <c r="B1247" s="50" t="s">
        <v>78</v>
      </c>
      <c r="C1247" s="50" t="s">
        <v>171</v>
      </c>
      <c r="D1247" s="50" t="s">
        <v>137</v>
      </c>
      <c r="E1247" s="50" t="s">
        <v>133</v>
      </c>
      <c r="F1247" s="50">
        <v>0</v>
      </c>
      <c r="G1247" s="50"/>
      <c r="H1247" s="50"/>
      <c r="I1247" s="50"/>
      <c r="J1247" s="50" t="s">
        <v>124</v>
      </c>
      <c r="K1247" s="50" t="s">
        <v>5557</v>
      </c>
      <c r="L1247" s="50" t="s">
        <v>3895</v>
      </c>
      <c r="M1247" s="50" t="s">
        <v>3882</v>
      </c>
      <c r="N1247" s="50"/>
      <c r="O1247" s="50" t="s">
        <v>55</v>
      </c>
      <c r="P1247" s="50" t="s">
        <v>65</v>
      </c>
      <c r="Q1247" s="97"/>
      <c r="R1247" s="40">
        <v>0</v>
      </c>
    </row>
    <row r="1248" spans="1:18" s="39" customFormat="1" ht="13.45" customHeight="1" x14ac:dyDescent="0.2">
      <c r="A1248" s="39" t="s">
        <v>3896</v>
      </c>
      <c r="B1248" s="39" t="s">
        <v>78</v>
      </c>
      <c r="C1248" s="39" t="s">
        <v>120</v>
      </c>
      <c r="D1248" s="39" t="s">
        <v>121</v>
      </c>
      <c r="E1248" s="39" t="s">
        <v>166</v>
      </c>
      <c r="F1248" s="39" t="s">
        <v>3897</v>
      </c>
      <c r="G1248" s="39" t="s">
        <v>125</v>
      </c>
      <c r="H1248" s="39" t="s">
        <v>162</v>
      </c>
      <c r="J1248" s="39" t="s">
        <v>124</v>
      </c>
      <c r="K1248" s="39" t="s">
        <v>5557</v>
      </c>
      <c r="L1248" s="48" t="s">
        <v>3898</v>
      </c>
      <c r="M1248" s="39" t="s">
        <v>3899</v>
      </c>
      <c r="O1248" s="39" t="s">
        <v>52</v>
      </c>
      <c r="P1248" s="39" t="s">
        <v>65</v>
      </c>
      <c r="Q1248" s="39">
        <v>5.4</v>
      </c>
      <c r="R1248" s="40">
        <v>5.9544122818006171</v>
      </c>
    </row>
    <row r="1249" spans="1:18" s="39" customFormat="1" ht="13.45" customHeight="1" x14ac:dyDescent="0.2">
      <c r="A1249" s="39" t="s">
        <v>3900</v>
      </c>
      <c r="B1249" s="39" t="s">
        <v>78</v>
      </c>
      <c r="C1249" s="39" t="s">
        <v>120</v>
      </c>
      <c r="D1249" s="39" t="s">
        <v>121</v>
      </c>
      <c r="E1249" s="39" t="s">
        <v>166</v>
      </c>
      <c r="F1249" s="39" t="s">
        <v>2751</v>
      </c>
      <c r="G1249" s="39" t="s">
        <v>125</v>
      </c>
      <c r="H1249" s="39" t="s">
        <v>162</v>
      </c>
      <c r="J1249" s="39" t="s">
        <v>124</v>
      </c>
      <c r="K1249" s="39" t="s">
        <v>5557</v>
      </c>
      <c r="L1249" s="39" t="s">
        <v>3901</v>
      </c>
      <c r="M1249" s="39" t="s">
        <v>3899</v>
      </c>
      <c r="O1249" s="39" t="s">
        <v>52</v>
      </c>
      <c r="P1249" s="39" t="s">
        <v>65</v>
      </c>
      <c r="Q1249" s="39">
        <v>12</v>
      </c>
      <c r="R1249" s="40">
        <v>13.23202729289026</v>
      </c>
    </row>
    <row r="1250" spans="1:18" s="39" customFormat="1" ht="13.45" customHeight="1" x14ac:dyDescent="0.2">
      <c r="A1250" s="39" t="s">
        <v>3902</v>
      </c>
      <c r="B1250" s="39" t="s">
        <v>78</v>
      </c>
      <c r="C1250" s="39" t="s">
        <v>120</v>
      </c>
      <c r="D1250" s="39" t="s">
        <v>137</v>
      </c>
      <c r="E1250" s="39" t="s">
        <v>133</v>
      </c>
      <c r="F1250" s="39" t="s">
        <v>403</v>
      </c>
      <c r="G1250" s="39" t="s">
        <v>208</v>
      </c>
      <c r="J1250" s="39" t="s">
        <v>124</v>
      </c>
      <c r="K1250" s="39" t="s">
        <v>5557</v>
      </c>
      <c r="L1250" s="39" t="s">
        <v>3903</v>
      </c>
      <c r="M1250" s="39" t="s">
        <v>3899</v>
      </c>
      <c r="O1250" s="39" t="s">
        <v>52</v>
      </c>
      <c r="P1250" s="39" t="s">
        <v>65</v>
      </c>
      <c r="Q1250" s="39">
        <v>16</v>
      </c>
      <c r="R1250" s="40">
        <v>17.642703057187013</v>
      </c>
    </row>
    <row r="1251" spans="1:18" s="39" customFormat="1" ht="13.45" customHeight="1" x14ac:dyDescent="0.2">
      <c r="A1251" s="39" t="s">
        <v>3904</v>
      </c>
      <c r="B1251" s="39" t="s">
        <v>78</v>
      </c>
      <c r="C1251" s="39" t="s">
        <v>120</v>
      </c>
      <c r="D1251" s="39" t="s">
        <v>121</v>
      </c>
      <c r="E1251" s="39" t="s">
        <v>151</v>
      </c>
      <c r="F1251" s="39" t="s">
        <v>3905</v>
      </c>
      <c r="G1251" s="39" t="s">
        <v>125</v>
      </c>
      <c r="H1251" s="39" t="s">
        <v>162</v>
      </c>
      <c r="J1251" s="39" t="s">
        <v>124</v>
      </c>
      <c r="K1251" s="39" t="s">
        <v>5557</v>
      </c>
      <c r="L1251" s="48" t="s">
        <v>3906</v>
      </c>
      <c r="M1251" s="39" t="s">
        <v>3899</v>
      </c>
      <c r="O1251" s="39" t="s">
        <v>52</v>
      </c>
      <c r="P1251" s="39" t="s">
        <v>65</v>
      </c>
      <c r="Q1251" s="39">
        <v>9.7859999999999996</v>
      </c>
      <c r="R1251" s="40">
        <v>10.790718257352006</v>
      </c>
    </row>
    <row r="1252" spans="1:18" s="39" customFormat="1" ht="13.45" customHeight="1" x14ac:dyDescent="0.2">
      <c r="A1252" s="39" t="s">
        <v>3907</v>
      </c>
      <c r="B1252" s="39" t="s">
        <v>78</v>
      </c>
      <c r="C1252" s="39" t="s">
        <v>120</v>
      </c>
      <c r="D1252" s="39" t="s">
        <v>121</v>
      </c>
      <c r="E1252" s="39" t="s">
        <v>151</v>
      </c>
      <c r="F1252" s="39" t="s">
        <v>3908</v>
      </c>
      <c r="G1252" s="39" t="s">
        <v>125</v>
      </c>
      <c r="H1252" s="39" t="s">
        <v>162</v>
      </c>
      <c r="J1252" s="39" t="s">
        <v>124</v>
      </c>
      <c r="K1252" s="39" t="s">
        <v>5557</v>
      </c>
      <c r="L1252" s="48" t="s">
        <v>3909</v>
      </c>
      <c r="M1252" s="39" t="s">
        <v>3899</v>
      </c>
      <c r="O1252" s="39" t="s">
        <v>52</v>
      </c>
      <c r="P1252" s="39" t="s">
        <v>65</v>
      </c>
      <c r="Q1252" s="39">
        <v>19.321999999999999</v>
      </c>
      <c r="R1252" s="40">
        <v>21.305769279435467</v>
      </c>
    </row>
    <row r="1253" spans="1:18" s="39" customFormat="1" ht="13.45" customHeight="1" x14ac:dyDescent="0.2">
      <c r="A1253" s="39" t="s">
        <v>3910</v>
      </c>
      <c r="B1253" s="39" t="s">
        <v>78</v>
      </c>
      <c r="C1253" s="39" t="s">
        <v>120</v>
      </c>
      <c r="D1253" s="39" t="s">
        <v>121</v>
      </c>
      <c r="E1253" s="39" t="s">
        <v>151</v>
      </c>
      <c r="F1253" s="39" t="s">
        <v>3911</v>
      </c>
      <c r="G1253" s="39" t="s">
        <v>125</v>
      </c>
      <c r="H1253" s="39" t="s">
        <v>162</v>
      </c>
      <c r="J1253" s="39" t="s">
        <v>124</v>
      </c>
      <c r="K1253" s="39" t="s">
        <v>5557</v>
      </c>
      <c r="L1253" s="48" t="s">
        <v>3912</v>
      </c>
      <c r="M1253" s="39" t="s">
        <v>3899</v>
      </c>
      <c r="O1253" s="39" t="s">
        <v>52</v>
      </c>
      <c r="P1253" s="39" t="s">
        <v>65</v>
      </c>
      <c r="Q1253" s="39">
        <v>6.44</v>
      </c>
      <c r="R1253" s="40">
        <v>7.1011879805177731</v>
      </c>
    </row>
    <row r="1254" spans="1:18" s="39" customFormat="1" ht="13.45" customHeight="1" x14ac:dyDescent="0.2">
      <c r="A1254" s="39" t="s">
        <v>3913</v>
      </c>
      <c r="B1254" s="39" t="s">
        <v>78</v>
      </c>
      <c r="C1254" s="39" t="s">
        <v>120</v>
      </c>
      <c r="D1254" s="39" t="s">
        <v>121</v>
      </c>
      <c r="E1254" s="39" t="s">
        <v>151</v>
      </c>
      <c r="F1254" s="39" t="s">
        <v>3914</v>
      </c>
      <c r="G1254" s="39" t="s">
        <v>125</v>
      </c>
      <c r="H1254" s="39" t="s">
        <v>162</v>
      </c>
      <c r="J1254" s="39" t="s">
        <v>124</v>
      </c>
      <c r="K1254" s="39" t="s">
        <v>5557</v>
      </c>
      <c r="L1254" s="48" t="s">
        <v>3915</v>
      </c>
      <c r="M1254" s="39" t="s">
        <v>3899</v>
      </c>
      <c r="O1254" s="39" t="s">
        <v>52</v>
      </c>
      <c r="P1254" s="39" t="s">
        <v>65</v>
      </c>
      <c r="Q1254" s="39">
        <v>103.05</v>
      </c>
      <c r="R1254" s="40">
        <v>113.6300343776951</v>
      </c>
    </row>
    <row r="1255" spans="1:18" s="39" customFormat="1" ht="13.45" customHeight="1" x14ac:dyDescent="0.2">
      <c r="A1255" s="39" t="s">
        <v>3916</v>
      </c>
      <c r="B1255" s="39" t="s">
        <v>78</v>
      </c>
      <c r="C1255" s="39" t="s">
        <v>120</v>
      </c>
      <c r="D1255" s="39" t="s">
        <v>121</v>
      </c>
      <c r="E1255" s="39" t="s">
        <v>151</v>
      </c>
      <c r="F1255" s="39" t="s">
        <v>339</v>
      </c>
      <c r="G1255" s="39" t="s">
        <v>125</v>
      </c>
      <c r="H1255" s="39" t="s">
        <v>162</v>
      </c>
      <c r="J1255" s="39" t="s">
        <v>124</v>
      </c>
      <c r="K1255" s="39" t="s">
        <v>5557</v>
      </c>
      <c r="L1255" s="48" t="s">
        <v>3917</v>
      </c>
      <c r="M1255" s="39" t="s">
        <v>3899</v>
      </c>
      <c r="O1255" s="39" t="s">
        <v>52</v>
      </c>
      <c r="P1255" s="39" t="s">
        <v>65</v>
      </c>
      <c r="Q1255" s="39">
        <v>100</v>
      </c>
      <c r="R1255" s="40">
        <v>110.26689410741884</v>
      </c>
    </row>
    <row r="1256" spans="1:18" s="39" customFormat="1" ht="13.45" customHeight="1" x14ac:dyDescent="0.2">
      <c r="A1256" s="39" t="s">
        <v>3918</v>
      </c>
      <c r="B1256" s="39" t="s">
        <v>78</v>
      </c>
      <c r="C1256" s="39" t="s">
        <v>120</v>
      </c>
      <c r="D1256" s="39" t="s">
        <v>160</v>
      </c>
      <c r="E1256" s="39" t="s">
        <v>151</v>
      </c>
      <c r="F1256" s="39" t="s">
        <v>3919</v>
      </c>
      <c r="G1256" s="39" t="s">
        <v>125</v>
      </c>
      <c r="H1256" s="39" t="s">
        <v>162</v>
      </c>
      <c r="J1256" s="39" t="s">
        <v>124</v>
      </c>
      <c r="K1256" s="39" t="s">
        <v>5557</v>
      </c>
      <c r="L1256" s="48" t="s">
        <v>3920</v>
      </c>
      <c r="M1256" s="39" t="s">
        <v>3899</v>
      </c>
      <c r="O1256" s="39" t="s">
        <v>52</v>
      </c>
      <c r="P1256" s="39" t="s">
        <v>65</v>
      </c>
      <c r="Q1256" s="39">
        <v>3.7879999999999998</v>
      </c>
      <c r="R1256" s="40">
        <v>4.1769099487890253</v>
      </c>
    </row>
    <row r="1257" spans="1:18" s="39" customFormat="1" ht="13.45" customHeight="1" x14ac:dyDescent="0.2">
      <c r="A1257" s="39" t="s">
        <v>3921</v>
      </c>
      <c r="B1257" s="39" t="s">
        <v>78</v>
      </c>
      <c r="C1257" s="39" t="s">
        <v>120</v>
      </c>
      <c r="D1257" s="39" t="s">
        <v>121</v>
      </c>
      <c r="E1257" s="39" t="s">
        <v>166</v>
      </c>
      <c r="F1257" s="39" t="s">
        <v>308</v>
      </c>
      <c r="G1257" s="39" t="s">
        <v>125</v>
      </c>
      <c r="H1257" s="39" t="s">
        <v>152</v>
      </c>
      <c r="I1257" s="39" t="s">
        <v>323</v>
      </c>
      <c r="J1257" s="39" t="s">
        <v>124</v>
      </c>
      <c r="K1257" s="39" t="s">
        <v>5557</v>
      </c>
      <c r="L1257" s="48" t="s">
        <v>3922</v>
      </c>
      <c r="M1257" s="39" t="s">
        <v>3899</v>
      </c>
      <c r="O1257" s="39" t="s">
        <v>52</v>
      </c>
      <c r="P1257" s="39" t="s">
        <v>65</v>
      </c>
      <c r="Q1257" s="39">
        <v>50</v>
      </c>
      <c r="R1257" s="40">
        <v>55.133447053709418</v>
      </c>
    </row>
    <row r="1258" spans="1:18" s="39" customFormat="1" ht="13.45" customHeight="1" x14ac:dyDescent="0.2">
      <c r="A1258" s="39" t="s">
        <v>3923</v>
      </c>
      <c r="B1258" s="39" t="s">
        <v>78</v>
      </c>
      <c r="C1258" s="39" t="s">
        <v>280</v>
      </c>
      <c r="D1258" s="39" t="s">
        <v>121</v>
      </c>
      <c r="E1258" s="39" t="s">
        <v>166</v>
      </c>
      <c r="F1258" s="39" t="s">
        <v>507</v>
      </c>
      <c r="G1258" s="39" t="s">
        <v>125</v>
      </c>
      <c r="H1258" s="39" t="s">
        <v>162</v>
      </c>
      <c r="J1258" s="39" t="s">
        <v>124</v>
      </c>
      <c r="K1258" s="39" t="s">
        <v>5557</v>
      </c>
      <c r="L1258" s="48" t="s">
        <v>3924</v>
      </c>
      <c r="M1258" s="39" t="s">
        <v>3899</v>
      </c>
      <c r="O1258" s="39" t="s">
        <v>52</v>
      </c>
      <c r="P1258" s="39" t="s">
        <v>65</v>
      </c>
      <c r="Q1258" s="39">
        <v>10</v>
      </c>
      <c r="R1258" s="40">
        <v>11.026689410741882</v>
      </c>
    </row>
    <row r="1259" spans="1:18" s="39" customFormat="1" ht="13.45" customHeight="1" x14ac:dyDescent="0.2">
      <c r="A1259" s="39" t="s">
        <v>3925</v>
      </c>
      <c r="B1259" s="39" t="s">
        <v>78</v>
      </c>
      <c r="C1259" s="39" t="s">
        <v>120</v>
      </c>
      <c r="D1259" s="39" t="s">
        <v>121</v>
      </c>
      <c r="E1259" s="39" t="s">
        <v>166</v>
      </c>
      <c r="F1259" s="39" t="s">
        <v>3926</v>
      </c>
      <c r="G1259" s="39" t="s">
        <v>125</v>
      </c>
      <c r="H1259" s="39" t="s">
        <v>162</v>
      </c>
      <c r="J1259" s="39" t="s">
        <v>124</v>
      </c>
      <c r="K1259" s="39" t="s">
        <v>5557</v>
      </c>
      <c r="L1259" s="48" t="s">
        <v>3927</v>
      </c>
      <c r="M1259" s="39" t="s">
        <v>3899</v>
      </c>
      <c r="O1259" s="39" t="s">
        <v>52</v>
      </c>
      <c r="P1259" s="39" t="s">
        <v>65</v>
      </c>
      <c r="Q1259" s="39">
        <v>3</v>
      </c>
      <c r="R1259" s="40">
        <v>3.308006823222565</v>
      </c>
    </row>
    <row r="1260" spans="1:18" s="39" customFormat="1" ht="13.45" customHeight="1" x14ac:dyDescent="0.2">
      <c r="A1260" s="39" t="s">
        <v>3928</v>
      </c>
      <c r="B1260" s="39" t="s">
        <v>78</v>
      </c>
      <c r="C1260" s="39" t="s">
        <v>120</v>
      </c>
      <c r="D1260" s="39" t="s">
        <v>121</v>
      </c>
      <c r="E1260" s="39" t="s">
        <v>166</v>
      </c>
      <c r="F1260" s="39" t="s">
        <v>3929</v>
      </c>
      <c r="G1260" s="39" t="s">
        <v>125</v>
      </c>
      <c r="H1260" s="39" t="s">
        <v>162</v>
      </c>
      <c r="J1260" s="39" t="s">
        <v>124</v>
      </c>
      <c r="K1260" s="39" t="s">
        <v>5557</v>
      </c>
      <c r="L1260" s="48" t="s">
        <v>3930</v>
      </c>
      <c r="M1260" s="39" t="s">
        <v>3899</v>
      </c>
      <c r="O1260" s="39" t="s">
        <v>52</v>
      </c>
      <c r="P1260" s="39" t="s">
        <v>65</v>
      </c>
      <c r="Q1260" s="39">
        <v>154.80000000000001</v>
      </c>
      <c r="R1260" s="40">
        <v>170.69315207828436</v>
      </c>
    </row>
    <row r="1261" spans="1:18" s="39" customFormat="1" ht="13.45" customHeight="1" x14ac:dyDescent="0.2">
      <c r="A1261" s="39" t="s">
        <v>3931</v>
      </c>
      <c r="B1261" s="39" t="s">
        <v>78</v>
      </c>
      <c r="C1261" s="39" t="s">
        <v>188</v>
      </c>
      <c r="D1261" s="39" t="s">
        <v>121</v>
      </c>
      <c r="E1261" s="39" t="s">
        <v>251</v>
      </c>
      <c r="F1261" s="39" t="s">
        <v>339</v>
      </c>
      <c r="G1261" s="39" t="s">
        <v>125</v>
      </c>
      <c r="H1261" s="39" t="s">
        <v>162</v>
      </c>
      <c r="J1261" s="39" t="s">
        <v>124</v>
      </c>
      <c r="K1261" s="39" t="s">
        <v>5557</v>
      </c>
      <c r="L1261" s="48" t="s">
        <v>3932</v>
      </c>
      <c r="M1261" s="39" t="s">
        <v>3899</v>
      </c>
      <c r="O1261" s="39" t="s">
        <v>52</v>
      </c>
      <c r="P1261" s="39" t="s">
        <v>65</v>
      </c>
      <c r="Q1261" s="39">
        <v>100</v>
      </c>
      <c r="R1261" s="40">
        <v>110.26689410741884</v>
      </c>
    </row>
    <row r="1262" spans="1:18" s="39" customFormat="1" ht="13.45" customHeight="1" x14ac:dyDescent="0.2">
      <c r="A1262" s="39" t="s">
        <v>3933</v>
      </c>
      <c r="B1262" s="39" t="s">
        <v>78</v>
      </c>
      <c r="C1262" s="39" t="s">
        <v>120</v>
      </c>
      <c r="D1262" s="39" t="s">
        <v>121</v>
      </c>
      <c r="E1262" s="39" t="s">
        <v>251</v>
      </c>
      <c r="F1262" s="39" t="s">
        <v>3934</v>
      </c>
      <c r="G1262" s="39" t="s">
        <v>125</v>
      </c>
      <c r="H1262" s="39" t="s">
        <v>162</v>
      </c>
      <c r="J1262" s="39" t="s">
        <v>124</v>
      </c>
      <c r="K1262" s="39" t="s">
        <v>5557</v>
      </c>
      <c r="L1262" s="48" t="s">
        <v>3935</v>
      </c>
      <c r="M1262" s="39" t="s">
        <v>3899</v>
      </c>
      <c r="O1262" s="39" t="s">
        <v>52</v>
      </c>
      <c r="P1262" s="39" t="s">
        <v>65</v>
      </c>
      <c r="Q1262" s="39">
        <v>72</v>
      </c>
      <c r="R1262" s="40">
        <v>79.39216375734155</v>
      </c>
    </row>
    <row r="1263" spans="1:18" s="39" customFormat="1" ht="13.45" customHeight="1" x14ac:dyDescent="0.2">
      <c r="A1263" s="39" t="s">
        <v>3936</v>
      </c>
      <c r="B1263" s="39" t="s">
        <v>78</v>
      </c>
      <c r="C1263" s="39" t="s">
        <v>120</v>
      </c>
      <c r="D1263" s="39" t="s">
        <v>121</v>
      </c>
      <c r="E1263" s="39" t="s">
        <v>251</v>
      </c>
      <c r="F1263" s="39" t="s">
        <v>3937</v>
      </c>
      <c r="G1263" s="39" t="s">
        <v>125</v>
      </c>
      <c r="H1263" s="39" t="s">
        <v>162</v>
      </c>
      <c r="J1263" s="39" t="s">
        <v>124</v>
      </c>
      <c r="K1263" s="39" t="s">
        <v>5557</v>
      </c>
      <c r="L1263" s="48" t="s">
        <v>3938</v>
      </c>
      <c r="M1263" s="39" t="s">
        <v>3899</v>
      </c>
      <c r="O1263" s="39" t="s">
        <v>52</v>
      </c>
      <c r="P1263" s="39" t="s">
        <v>65</v>
      </c>
      <c r="Q1263" s="39">
        <v>69</v>
      </c>
      <c r="R1263" s="40">
        <v>76.084156934118994</v>
      </c>
    </row>
    <row r="1264" spans="1:18" s="39" customFormat="1" ht="13.45" customHeight="1" x14ac:dyDescent="0.2">
      <c r="A1264" s="39" t="s">
        <v>3939</v>
      </c>
      <c r="B1264" s="39" t="s">
        <v>78</v>
      </c>
      <c r="C1264" s="39" t="s">
        <v>120</v>
      </c>
      <c r="D1264" s="39" t="s">
        <v>121</v>
      </c>
      <c r="E1264" s="39" t="s">
        <v>251</v>
      </c>
      <c r="F1264" s="39" t="s">
        <v>3940</v>
      </c>
      <c r="G1264" s="39" t="s">
        <v>125</v>
      </c>
      <c r="H1264" s="39" t="s">
        <v>162</v>
      </c>
      <c r="J1264" s="39" t="s">
        <v>124</v>
      </c>
      <c r="K1264" s="39" t="s">
        <v>5557</v>
      </c>
      <c r="L1264" s="48" t="s">
        <v>3941</v>
      </c>
      <c r="M1264" s="39" t="s">
        <v>3899</v>
      </c>
      <c r="O1264" s="39" t="s">
        <v>52</v>
      </c>
      <c r="P1264" s="39" t="s">
        <v>65</v>
      </c>
      <c r="Q1264" s="39">
        <v>52</v>
      </c>
      <c r="R1264" s="40">
        <v>57.338784935857788</v>
      </c>
    </row>
    <row r="1265" spans="1:18" s="39" customFormat="1" ht="13.45" customHeight="1" x14ac:dyDescent="0.2">
      <c r="A1265" s="39" t="s">
        <v>3942</v>
      </c>
      <c r="B1265" s="39" t="s">
        <v>78</v>
      </c>
      <c r="C1265" s="39" t="s">
        <v>120</v>
      </c>
      <c r="D1265" s="39" t="s">
        <v>121</v>
      </c>
      <c r="E1265" s="39" t="s">
        <v>251</v>
      </c>
      <c r="F1265" s="39" t="s">
        <v>3943</v>
      </c>
      <c r="G1265" s="39" t="s">
        <v>125</v>
      </c>
      <c r="H1265" s="39" t="s">
        <v>162</v>
      </c>
      <c r="J1265" s="39" t="s">
        <v>124</v>
      </c>
      <c r="K1265" s="39" t="s">
        <v>5557</v>
      </c>
      <c r="L1265" s="48" t="s">
        <v>3944</v>
      </c>
      <c r="M1265" s="39" t="s">
        <v>3899</v>
      </c>
      <c r="O1265" s="39" t="s">
        <v>52</v>
      </c>
      <c r="P1265" s="39" t="s">
        <v>65</v>
      </c>
      <c r="Q1265" s="39">
        <v>22.21</v>
      </c>
      <c r="R1265" s="40">
        <v>24.490277181257724</v>
      </c>
    </row>
    <row r="1266" spans="1:18" s="39" customFormat="1" ht="13.45" customHeight="1" x14ac:dyDescent="0.2">
      <c r="A1266" s="39" t="s">
        <v>3945</v>
      </c>
      <c r="B1266" s="39" t="s">
        <v>78</v>
      </c>
      <c r="C1266" s="39" t="s">
        <v>120</v>
      </c>
      <c r="D1266" s="39" t="s">
        <v>121</v>
      </c>
      <c r="E1266" s="39" t="s">
        <v>251</v>
      </c>
      <c r="F1266" s="39" t="s">
        <v>3946</v>
      </c>
      <c r="G1266" s="39" t="s">
        <v>125</v>
      </c>
      <c r="H1266" s="39" t="s">
        <v>162</v>
      </c>
      <c r="J1266" s="39" t="s">
        <v>124</v>
      </c>
      <c r="K1266" s="39" t="s">
        <v>5557</v>
      </c>
      <c r="L1266" s="48" t="s">
        <v>3947</v>
      </c>
      <c r="M1266" s="39" t="s">
        <v>3899</v>
      </c>
      <c r="O1266" s="39" t="s">
        <v>52</v>
      </c>
      <c r="P1266" s="39" t="s">
        <v>65</v>
      </c>
      <c r="Q1266" s="39">
        <v>8.6999999999999993</v>
      </c>
      <c r="R1266" s="40">
        <v>9.5932197873454381</v>
      </c>
    </row>
    <row r="1267" spans="1:18" s="39" customFormat="1" ht="13.45" customHeight="1" x14ac:dyDescent="0.2">
      <c r="A1267" s="39" t="s">
        <v>3948</v>
      </c>
      <c r="B1267" s="39" t="s">
        <v>78</v>
      </c>
      <c r="C1267" s="39" t="s">
        <v>280</v>
      </c>
      <c r="D1267" s="39" t="s">
        <v>121</v>
      </c>
      <c r="E1267" s="39" t="s">
        <v>251</v>
      </c>
      <c r="F1267" s="39" t="s">
        <v>416</v>
      </c>
      <c r="G1267" s="39" t="s">
        <v>125</v>
      </c>
      <c r="H1267" s="39" t="s">
        <v>162</v>
      </c>
      <c r="J1267" s="39" t="s">
        <v>124</v>
      </c>
      <c r="K1267" s="39" t="s">
        <v>5557</v>
      </c>
      <c r="L1267" s="48" t="s">
        <v>3949</v>
      </c>
      <c r="M1267" s="39" t="s">
        <v>3899</v>
      </c>
      <c r="O1267" s="39" t="s">
        <v>52</v>
      </c>
      <c r="P1267" s="39" t="s">
        <v>65</v>
      </c>
      <c r="Q1267" s="39">
        <v>20</v>
      </c>
      <c r="R1267" s="40">
        <v>22.053378821483765</v>
      </c>
    </row>
    <row r="1268" spans="1:18" s="39" customFormat="1" ht="13.45" customHeight="1" x14ac:dyDescent="0.2">
      <c r="A1268" s="39" t="s">
        <v>3950</v>
      </c>
      <c r="B1268" s="39" t="s">
        <v>78</v>
      </c>
      <c r="C1268" s="39" t="s">
        <v>280</v>
      </c>
      <c r="D1268" s="39" t="s">
        <v>137</v>
      </c>
      <c r="E1268" s="39" t="s">
        <v>133</v>
      </c>
      <c r="F1268" s="39" t="s">
        <v>406</v>
      </c>
      <c r="G1268" s="39" t="s">
        <v>125</v>
      </c>
      <c r="H1268" s="39" t="s">
        <v>162</v>
      </c>
      <c r="I1268" s="39" t="s">
        <v>158</v>
      </c>
      <c r="J1268" s="39" t="s">
        <v>124</v>
      </c>
      <c r="K1268" s="39" t="s">
        <v>5557</v>
      </c>
      <c r="L1268" s="39" t="s">
        <v>3951</v>
      </c>
      <c r="M1268" s="39" t="s">
        <v>3899</v>
      </c>
      <c r="O1268" s="39" t="s">
        <v>52</v>
      </c>
      <c r="P1268" s="39" t="s">
        <v>65</v>
      </c>
      <c r="Q1268" s="39">
        <v>5</v>
      </c>
      <c r="R1268" s="40">
        <v>5.5133447053709412</v>
      </c>
    </row>
    <row r="1269" spans="1:18" s="39" customFormat="1" ht="13.45" customHeight="1" x14ac:dyDescent="0.2">
      <c r="A1269" s="39" t="s">
        <v>3952</v>
      </c>
      <c r="B1269" s="39" t="s">
        <v>78</v>
      </c>
      <c r="C1269" s="39" t="s">
        <v>177</v>
      </c>
      <c r="D1269" s="39" t="s">
        <v>137</v>
      </c>
      <c r="E1269" s="39" t="s">
        <v>133</v>
      </c>
      <c r="F1269" s="39" t="s">
        <v>406</v>
      </c>
      <c r="G1269" s="39" t="s">
        <v>125</v>
      </c>
      <c r="H1269" s="39" t="s">
        <v>162</v>
      </c>
      <c r="I1269" s="39" t="s">
        <v>158</v>
      </c>
      <c r="J1269" s="39" t="s">
        <v>124</v>
      </c>
      <c r="K1269" s="39" t="s">
        <v>5557</v>
      </c>
      <c r="L1269" s="39" t="s">
        <v>3953</v>
      </c>
      <c r="M1269" s="39" t="s">
        <v>3899</v>
      </c>
      <c r="O1269" s="50" t="s">
        <v>55</v>
      </c>
      <c r="P1269" s="39" t="s">
        <v>65</v>
      </c>
      <c r="Q1269" s="39">
        <v>5</v>
      </c>
      <c r="R1269" s="40">
        <v>5.5133447053709412</v>
      </c>
    </row>
    <row r="1270" spans="1:18" s="39" customFormat="1" ht="13.45" customHeight="1" x14ac:dyDescent="0.2">
      <c r="A1270" s="39" t="s">
        <v>3954</v>
      </c>
      <c r="B1270" s="39" t="s">
        <v>78</v>
      </c>
      <c r="C1270" s="39" t="s">
        <v>226</v>
      </c>
      <c r="D1270" s="39" t="s">
        <v>137</v>
      </c>
      <c r="E1270" s="39" t="s">
        <v>133</v>
      </c>
      <c r="F1270" s="39" t="s">
        <v>3955</v>
      </c>
      <c r="G1270" s="39" t="s">
        <v>125</v>
      </c>
      <c r="H1270" s="39" t="s">
        <v>162</v>
      </c>
      <c r="I1270" s="39" t="s">
        <v>158</v>
      </c>
      <c r="J1270" s="39" t="s">
        <v>124</v>
      </c>
      <c r="K1270" s="39" t="s">
        <v>5557</v>
      </c>
      <c r="L1270" s="39" t="s">
        <v>3956</v>
      </c>
      <c r="M1270" s="39" t="s">
        <v>3899</v>
      </c>
      <c r="O1270" s="39" t="s">
        <v>52</v>
      </c>
      <c r="P1270" s="39" t="s">
        <v>65</v>
      </c>
      <c r="Q1270" s="39">
        <v>12.14</v>
      </c>
      <c r="R1270" s="40">
        <v>13.386400944640647</v>
      </c>
    </row>
    <row r="1271" spans="1:18" s="39" customFormat="1" ht="13.45" customHeight="1" x14ac:dyDescent="0.2">
      <c r="A1271" s="75" t="s">
        <v>3957</v>
      </c>
      <c r="B1271" s="75" t="s">
        <v>79</v>
      </c>
      <c r="C1271" s="75" t="s">
        <v>120</v>
      </c>
      <c r="D1271" s="75" t="s">
        <v>137</v>
      </c>
      <c r="E1271" s="75" t="s">
        <v>133</v>
      </c>
      <c r="F1271" s="75" t="s">
        <v>3958</v>
      </c>
      <c r="G1271" s="75" t="s">
        <v>158</v>
      </c>
      <c r="H1271" s="75"/>
      <c r="I1271" s="75"/>
      <c r="J1271" s="75"/>
      <c r="K1271" s="75"/>
      <c r="L1271" s="75" t="s">
        <v>3959</v>
      </c>
      <c r="M1271" s="75" t="s">
        <v>3960</v>
      </c>
      <c r="N1271" s="75" t="s">
        <v>3961</v>
      </c>
      <c r="O1271" s="75" t="s">
        <v>52</v>
      </c>
      <c r="P1271" s="75"/>
      <c r="Q1271" s="100"/>
      <c r="R1271" s="40" t="s">
        <v>1604</v>
      </c>
    </row>
    <row r="1272" spans="1:18" s="39" customFormat="1" ht="13.45" customHeight="1" x14ac:dyDescent="0.2">
      <c r="A1272" s="39" t="s">
        <v>3962</v>
      </c>
      <c r="B1272" s="39" t="s">
        <v>79</v>
      </c>
      <c r="C1272" s="39" t="s">
        <v>120</v>
      </c>
      <c r="D1272" s="39" t="s">
        <v>137</v>
      </c>
      <c r="E1272" s="39" t="s">
        <v>133</v>
      </c>
      <c r="F1272" s="39" t="s">
        <v>3963</v>
      </c>
      <c r="G1272" s="39" t="s">
        <v>158</v>
      </c>
      <c r="L1272" s="39" t="s">
        <v>3964</v>
      </c>
      <c r="M1272" s="39" t="s">
        <v>3965</v>
      </c>
      <c r="O1272" s="39" t="s">
        <v>55</v>
      </c>
      <c r="Q1272" s="40"/>
      <c r="R1272" s="40" t="s">
        <v>1604</v>
      </c>
    </row>
    <row r="1273" spans="1:18" s="39" customFormat="1" ht="13.45" customHeight="1" x14ac:dyDescent="0.2">
      <c r="A1273" s="39" t="s">
        <v>3966</v>
      </c>
      <c r="B1273" s="39" t="s">
        <v>79</v>
      </c>
      <c r="C1273" s="39" t="s">
        <v>120</v>
      </c>
      <c r="D1273" s="39" t="s">
        <v>137</v>
      </c>
      <c r="E1273" s="39" t="s">
        <v>166</v>
      </c>
      <c r="F1273" s="39" t="s">
        <v>3967</v>
      </c>
      <c r="G1273" s="39" t="s">
        <v>125</v>
      </c>
      <c r="H1273" s="39" t="s">
        <v>162</v>
      </c>
      <c r="L1273" s="39" t="s">
        <v>3968</v>
      </c>
      <c r="M1273" s="39" t="s">
        <v>3960</v>
      </c>
      <c r="O1273" s="39" t="s">
        <v>52</v>
      </c>
      <c r="Q1273" s="40"/>
      <c r="R1273" s="40" t="s">
        <v>1604</v>
      </c>
    </row>
    <row r="1274" spans="1:18" s="39" customFormat="1" ht="13.45" customHeight="1" x14ac:dyDescent="0.2">
      <c r="A1274" s="39" t="s">
        <v>3969</v>
      </c>
      <c r="B1274" s="39" t="s">
        <v>79</v>
      </c>
      <c r="C1274" s="39" t="s">
        <v>120</v>
      </c>
      <c r="D1274" s="39" t="s">
        <v>137</v>
      </c>
      <c r="E1274" s="39" t="s">
        <v>166</v>
      </c>
      <c r="F1274" s="39" t="s">
        <v>3970</v>
      </c>
      <c r="G1274" s="39" t="s">
        <v>125</v>
      </c>
      <c r="H1274" s="39" t="s">
        <v>162</v>
      </c>
      <c r="L1274" s="39" t="s">
        <v>3971</v>
      </c>
      <c r="M1274" s="39" t="s">
        <v>3960</v>
      </c>
      <c r="O1274" s="39" t="s">
        <v>52</v>
      </c>
      <c r="Q1274" s="40"/>
      <c r="R1274" s="40" t="s">
        <v>1604</v>
      </c>
    </row>
    <row r="1275" spans="1:18" s="39" customFormat="1" ht="13.45" customHeight="1" x14ac:dyDescent="0.2">
      <c r="A1275" s="39" t="s">
        <v>3972</v>
      </c>
      <c r="B1275" s="39" t="s">
        <v>79</v>
      </c>
      <c r="C1275" s="39" t="s">
        <v>120</v>
      </c>
      <c r="D1275" s="55" t="s">
        <v>121</v>
      </c>
      <c r="E1275" s="39" t="s">
        <v>251</v>
      </c>
      <c r="F1275" s="39" t="s">
        <v>3973</v>
      </c>
      <c r="G1275" s="39" t="s">
        <v>125</v>
      </c>
      <c r="H1275" s="39" t="s">
        <v>162</v>
      </c>
      <c r="L1275" s="39" t="s">
        <v>3974</v>
      </c>
      <c r="M1275" s="39" t="s">
        <v>3960</v>
      </c>
      <c r="O1275" s="39" t="s">
        <v>52</v>
      </c>
      <c r="Q1275" s="40"/>
      <c r="R1275" s="40" t="s">
        <v>1604</v>
      </c>
    </row>
    <row r="1276" spans="1:18" s="39" customFormat="1" ht="13.45" customHeight="1" x14ac:dyDescent="0.2">
      <c r="A1276" s="39" t="s">
        <v>3975</v>
      </c>
      <c r="B1276" s="39" t="s">
        <v>79</v>
      </c>
      <c r="C1276" s="39" t="s">
        <v>120</v>
      </c>
      <c r="D1276" s="55" t="s">
        <v>121</v>
      </c>
      <c r="E1276" s="39" t="s">
        <v>251</v>
      </c>
      <c r="F1276" s="39" t="s">
        <v>3976</v>
      </c>
      <c r="G1276" s="39" t="s">
        <v>125</v>
      </c>
      <c r="H1276" s="39" t="s">
        <v>162</v>
      </c>
      <c r="L1276" s="39" t="s">
        <v>3977</v>
      </c>
      <c r="M1276" s="39" t="s">
        <v>3960</v>
      </c>
      <c r="O1276" s="39" t="s">
        <v>52</v>
      </c>
      <c r="Q1276" s="40"/>
      <c r="R1276" s="40" t="s">
        <v>1604</v>
      </c>
    </row>
    <row r="1277" spans="1:18" s="39" customFormat="1" ht="13.45" customHeight="1" x14ac:dyDescent="0.2">
      <c r="A1277" s="39" t="s">
        <v>3978</v>
      </c>
      <c r="B1277" s="39" t="s">
        <v>79</v>
      </c>
      <c r="C1277" s="39" t="s">
        <v>120</v>
      </c>
      <c r="D1277" s="55" t="s">
        <v>121</v>
      </c>
      <c r="E1277" s="39" t="s">
        <v>251</v>
      </c>
      <c r="F1277" s="39" t="s">
        <v>3979</v>
      </c>
      <c r="G1277" s="39" t="s">
        <v>125</v>
      </c>
      <c r="H1277" s="39" t="s">
        <v>162</v>
      </c>
      <c r="L1277" s="39" t="s">
        <v>3980</v>
      </c>
      <c r="M1277" s="39" t="s">
        <v>3960</v>
      </c>
      <c r="O1277" s="39" t="s">
        <v>52</v>
      </c>
      <c r="Q1277" s="40"/>
      <c r="R1277" s="40" t="s">
        <v>1604</v>
      </c>
    </row>
    <row r="1278" spans="1:18" s="39" customFormat="1" ht="13.45" customHeight="1" x14ac:dyDescent="0.2">
      <c r="A1278" s="39" t="s">
        <v>3981</v>
      </c>
      <c r="B1278" s="39" t="s">
        <v>79</v>
      </c>
      <c r="C1278" s="39" t="s">
        <v>120</v>
      </c>
      <c r="E1278" s="39" t="s">
        <v>151</v>
      </c>
      <c r="F1278" s="39" t="s">
        <v>3979</v>
      </c>
      <c r="G1278" s="39" t="s">
        <v>125</v>
      </c>
      <c r="H1278" s="39" t="s">
        <v>162</v>
      </c>
      <c r="L1278" s="39" t="s">
        <v>3982</v>
      </c>
      <c r="M1278" s="39" t="s">
        <v>3960</v>
      </c>
      <c r="O1278" s="39" t="s">
        <v>52</v>
      </c>
      <c r="Q1278" s="40"/>
      <c r="R1278" s="40" t="s">
        <v>1604</v>
      </c>
    </row>
    <row r="1279" spans="1:18" s="39" customFormat="1" ht="13.45" customHeight="1" x14ac:dyDescent="0.2">
      <c r="A1279" s="39" t="s">
        <v>3983</v>
      </c>
      <c r="B1279" s="39" t="s">
        <v>79</v>
      </c>
      <c r="C1279" s="39" t="s">
        <v>120</v>
      </c>
      <c r="D1279" s="55" t="s">
        <v>121</v>
      </c>
      <c r="E1279" s="39" t="s">
        <v>151</v>
      </c>
      <c r="F1279" s="39" t="s">
        <v>3979</v>
      </c>
      <c r="G1279" s="39" t="s">
        <v>125</v>
      </c>
      <c r="H1279" s="39" t="s">
        <v>162</v>
      </c>
      <c r="L1279" s="39" t="s">
        <v>3984</v>
      </c>
      <c r="M1279" s="39" t="s">
        <v>3960</v>
      </c>
      <c r="O1279" s="39" t="s">
        <v>52</v>
      </c>
      <c r="Q1279" s="40"/>
      <c r="R1279" s="40" t="s">
        <v>1604</v>
      </c>
    </row>
    <row r="1280" spans="1:18" s="39" customFormat="1" ht="13.45" customHeight="1" x14ac:dyDescent="0.2">
      <c r="A1280" s="50" t="s">
        <v>3985</v>
      </c>
      <c r="B1280" s="50" t="s">
        <v>79</v>
      </c>
      <c r="C1280" s="50" t="s">
        <v>132</v>
      </c>
      <c r="D1280" s="50" t="s">
        <v>137</v>
      </c>
      <c r="E1280" s="50" t="s">
        <v>151</v>
      </c>
      <c r="F1280" s="50" t="s">
        <v>3986</v>
      </c>
      <c r="G1280" s="50" t="s">
        <v>125</v>
      </c>
      <c r="H1280" s="50" t="s">
        <v>162</v>
      </c>
      <c r="I1280" s="50"/>
      <c r="J1280" s="50"/>
      <c r="K1280" s="50"/>
      <c r="L1280" s="50" t="s">
        <v>3987</v>
      </c>
      <c r="M1280" s="50" t="s">
        <v>3988</v>
      </c>
      <c r="N1280" s="50"/>
      <c r="O1280" s="50" t="s">
        <v>52</v>
      </c>
      <c r="P1280" s="50"/>
      <c r="Q1280" s="97"/>
      <c r="R1280" s="40" t="s">
        <v>1604</v>
      </c>
    </row>
    <row r="1281" spans="1:18" s="39" customFormat="1" ht="13.45" customHeight="1" x14ac:dyDescent="0.2">
      <c r="A1281" s="39" t="s">
        <v>3989</v>
      </c>
      <c r="B1281" s="39" t="s">
        <v>79</v>
      </c>
      <c r="C1281" s="39" t="s">
        <v>120</v>
      </c>
      <c r="D1281" s="39" t="s">
        <v>160</v>
      </c>
      <c r="E1281" s="39" t="s">
        <v>151</v>
      </c>
      <c r="F1281" s="39" t="s">
        <v>3990</v>
      </c>
      <c r="G1281" s="39" t="s">
        <v>125</v>
      </c>
      <c r="H1281" s="39" t="s">
        <v>162</v>
      </c>
      <c r="J1281" s="39" t="s">
        <v>124</v>
      </c>
      <c r="K1281" s="39" t="s">
        <v>5557</v>
      </c>
      <c r="L1281" s="48" t="s">
        <v>3991</v>
      </c>
      <c r="M1281" s="160" t="s">
        <v>3992</v>
      </c>
      <c r="O1281" s="39" t="s">
        <v>52</v>
      </c>
      <c r="P1281" s="39" t="s">
        <v>65</v>
      </c>
      <c r="Q1281" s="39">
        <v>51.46</v>
      </c>
      <c r="R1281" s="40">
        <v>56.743343707677731</v>
      </c>
    </row>
    <row r="1282" spans="1:18" s="39" customFormat="1" ht="13.45" customHeight="1" x14ac:dyDescent="0.2">
      <c r="A1282" s="39" t="s">
        <v>3993</v>
      </c>
      <c r="B1282" s="39" t="s">
        <v>79</v>
      </c>
      <c r="C1282" s="39" t="s">
        <v>171</v>
      </c>
      <c r="D1282" s="39" t="s">
        <v>121</v>
      </c>
      <c r="E1282" s="39" t="s">
        <v>251</v>
      </c>
      <c r="F1282" s="39">
        <v>0</v>
      </c>
      <c r="G1282" s="39" t="s">
        <v>125</v>
      </c>
      <c r="H1282" s="39" t="s">
        <v>162</v>
      </c>
      <c r="J1282" s="39" t="s">
        <v>124</v>
      </c>
      <c r="K1282" s="39" t="s">
        <v>5557</v>
      </c>
      <c r="L1282" s="48" t="s">
        <v>3994</v>
      </c>
      <c r="M1282" s="160" t="s">
        <v>3992</v>
      </c>
      <c r="O1282" s="39" t="s">
        <v>52</v>
      </c>
      <c r="P1282" s="39" t="s">
        <v>65</v>
      </c>
      <c r="Q1282" s="39">
        <v>0</v>
      </c>
      <c r="R1282" s="40">
        <v>0</v>
      </c>
    </row>
    <row r="1283" spans="1:18" s="39" customFormat="1" ht="13.45" customHeight="1" x14ac:dyDescent="0.2">
      <c r="A1283" s="39" t="s">
        <v>3995</v>
      </c>
      <c r="B1283" s="39" t="s">
        <v>79</v>
      </c>
      <c r="C1283" s="39" t="s">
        <v>188</v>
      </c>
      <c r="D1283" s="39" t="s">
        <v>121</v>
      </c>
      <c r="E1283" s="39" t="s">
        <v>251</v>
      </c>
      <c r="F1283" s="39" t="s">
        <v>2748</v>
      </c>
      <c r="G1283" s="39" t="s">
        <v>125</v>
      </c>
      <c r="H1283" s="39" t="s">
        <v>162</v>
      </c>
      <c r="J1283" s="39" t="s">
        <v>124</v>
      </c>
      <c r="K1283" s="39" t="s">
        <v>5557</v>
      </c>
      <c r="L1283" s="48" t="s">
        <v>3996</v>
      </c>
      <c r="M1283" s="160" t="s">
        <v>3992</v>
      </c>
      <c r="O1283" s="39" t="s">
        <v>52</v>
      </c>
      <c r="P1283" s="39" t="s">
        <v>65</v>
      </c>
      <c r="Q1283" s="39">
        <v>40</v>
      </c>
      <c r="R1283" s="40">
        <v>44.10675764296753</v>
      </c>
    </row>
    <row r="1284" spans="1:18" s="39" customFormat="1" ht="13.45" customHeight="1" x14ac:dyDescent="0.2">
      <c r="A1284" s="39" t="s">
        <v>3997</v>
      </c>
      <c r="B1284" s="39" t="s">
        <v>79</v>
      </c>
      <c r="C1284" s="39" t="s">
        <v>177</v>
      </c>
      <c r="D1284" s="39" t="s">
        <v>160</v>
      </c>
      <c r="E1284" s="39" t="s">
        <v>133</v>
      </c>
      <c r="F1284" s="39" t="s">
        <v>3998</v>
      </c>
      <c r="G1284" s="39" t="s">
        <v>134</v>
      </c>
      <c r="J1284" s="39" t="s">
        <v>124</v>
      </c>
      <c r="K1284" s="39" t="s">
        <v>5557</v>
      </c>
      <c r="L1284" s="48" t="s">
        <v>3999</v>
      </c>
      <c r="M1284" s="160" t="s">
        <v>3992</v>
      </c>
      <c r="O1284" s="39" t="s">
        <v>52</v>
      </c>
      <c r="P1284" s="39" t="s">
        <v>65</v>
      </c>
      <c r="Q1284" s="39">
        <v>13.63</v>
      </c>
      <c r="R1284" s="40">
        <v>15.029377666841187</v>
      </c>
    </row>
    <row r="1285" spans="1:18" s="39" customFormat="1" ht="13.45" customHeight="1" x14ac:dyDescent="0.2">
      <c r="A1285" s="75" t="s">
        <v>4000</v>
      </c>
      <c r="B1285" s="75" t="s">
        <v>77</v>
      </c>
      <c r="C1285" s="75" t="s">
        <v>120</v>
      </c>
      <c r="D1285" s="75" t="s">
        <v>121</v>
      </c>
      <c r="E1285" s="75" t="s">
        <v>251</v>
      </c>
      <c r="F1285" s="75"/>
      <c r="G1285" s="75" t="s">
        <v>125</v>
      </c>
      <c r="H1285" s="75"/>
      <c r="I1285" s="75"/>
      <c r="J1285" s="75"/>
      <c r="K1285" s="75"/>
      <c r="L1285" s="75" t="s">
        <v>4001</v>
      </c>
      <c r="M1285" s="75" t="s">
        <v>4002</v>
      </c>
      <c r="N1285" s="75"/>
      <c r="O1285" s="75" t="s">
        <v>53</v>
      </c>
      <c r="P1285" s="75"/>
      <c r="Q1285" s="100"/>
      <c r="R1285" s="40" t="s">
        <v>1604</v>
      </c>
    </row>
    <row r="1286" spans="1:18" s="39" customFormat="1" ht="13.45" customHeight="1" x14ac:dyDescent="0.2">
      <c r="A1286" s="39" t="s">
        <v>4003</v>
      </c>
      <c r="B1286" s="39" t="s">
        <v>77</v>
      </c>
      <c r="C1286" s="39" t="s">
        <v>132</v>
      </c>
      <c r="D1286" s="39" t="s">
        <v>160</v>
      </c>
      <c r="E1286" s="39" t="s">
        <v>133</v>
      </c>
      <c r="F1286" s="39" t="s">
        <v>4004</v>
      </c>
      <c r="G1286" s="39" t="s">
        <v>125</v>
      </c>
      <c r="H1286" s="39" t="s">
        <v>158</v>
      </c>
      <c r="J1286" s="39" t="s">
        <v>124</v>
      </c>
      <c r="K1286" s="39" t="s">
        <v>5557</v>
      </c>
      <c r="L1286" s="39" t="s">
        <v>4005</v>
      </c>
      <c r="M1286" s="39" t="s">
        <v>4006</v>
      </c>
      <c r="N1286" s="76" t="s">
        <v>4007</v>
      </c>
      <c r="O1286" s="39" t="s">
        <v>53</v>
      </c>
      <c r="P1286" s="39" t="s">
        <v>65</v>
      </c>
      <c r="Q1286" s="40">
        <v>52</v>
      </c>
      <c r="R1286" s="40">
        <v>57.338784935857788</v>
      </c>
    </row>
    <row r="1287" spans="1:18" s="39" customFormat="1" ht="13.45" customHeight="1" x14ac:dyDescent="0.2">
      <c r="A1287" s="39" t="s">
        <v>4008</v>
      </c>
      <c r="B1287" s="39" t="s">
        <v>77</v>
      </c>
      <c r="C1287" s="39" t="s">
        <v>120</v>
      </c>
      <c r="D1287" s="39" t="s">
        <v>160</v>
      </c>
      <c r="E1287" s="39" t="s">
        <v>166</v>
      </c>
      <c r="F1287" s="39" t="s">
        <v>4009</v>
      </c>
      <c r="G1287" s="39" t="s">
        <v>125</v>
      </c>
      <c r="L1287" s="39" t="s">
        <v>4010</v>
      </c>
      <c r="M1287" s="76" t="s">
        <v>4006</v>
      </c>
      <c r="N1287" s="76" t="s">
        <v>4011</v>
      </c>
      <c r="O1287" s="39" t="s">
        <v>52</v>
      </c>
      <c r="P1287" s="39" t="s">
        <v>65</v>
      </c>
      <c r="Q1287" s="40">
        <v>9.4</v>
      </c>
      <c r="R1287" s="40">
        <v>10.36508804609737</v>
      </c>
    </row>
    <row r="1288" spans="1:18" s="39" customFormat="1" ht="13.45" customHeight="1" x14ac:dyDescent="0.2">
      <c r="A1288" s="50" t="s">
        <v>4012</v>
      </c>
      <c r="B1288" s="50" t="s">
        <v>77</v>
      </c>
      <c r="C1288" s="50" t="s">
        <v>120</v>
      </c>
      <c r="D1288" s="50" t="s">
        <v>137</v>
      </c>
      <c r="E1288" s="50" t="s">
        <v>147</v>
      </c>
      <c r="F1288" s="50" t="s">
        <v>2196</v>
      </c>
      <c r="G1288" s="50" t="s">
        <v>158</v>
      </c>
      <c r="H1288" s="50"/>
      <c r="I1288" s="50"/>
      <c r="J1288" s="50"/>
      <c r="K1288" s="50"/>
      <c r="L1288" s="50" t="s">
        <v>4013</v>
      </c>
      <c r="M1288" s="50" t="s">
        <v>4006</v>
      </c>
      <c r="N1288" s="50"/>
      <c r="O1288" s="50" t="s">
        <v>55</v>
      </c>
      <c r="P1288" s="50" t="s">
        <v>65</v>
      </c>
      <c r="Q1288" s="97">
        <v>100</v>
      </c>
      <c r="R1288" s="40">
        <v>110.26689410741884</v>
      </c>
    </row>
    <row r="1289" spans="1:18" s="39" customFormat="1" ht="13.45" customHeight="1" x14ac:dyDescent="0.2">
      <c r="A1289" s="39" t="s">
        <v>4014</v>
      </c>
      <c r="B1289" s="39" t="s">
        <v>77</v>
      </c>
      <c r="C1289" s="39" t="s">
        <v>120</v>
      </c>
      <c r="D1289" s="39" t="s">
        <v>160</v>
      </c>
      <c r="E1289" s="39" t="s">
        <v>251</v>
      </c>
      <c r="F1289" s="39" t="s">
        <v>4015</v>
      </c>
      <c r="G1289" s="39" t="s">
        <v>125</v>
      </c>
      <c r="H1289" s="39" t="s">
        <v>162</v>
      </c>
      <c r="J1289" s="39" t="s">
        <v>124</v>
      </c>
      <c r="K1289" s="39" t="s">
        <v>5557</v>
      </c>
      <c r="L1289" s="39" t="s">
        <v>4016</v>
      </c>
      <c r="M1289" s="76" t="s">
        <v>4017</v>
      </c>
      <c r="N1289" s="76" t="s">
        <v>4018</v>
      </c>
      <c r="O1289" s="39" t="s">
        <v>52</v>
      </c>
      <c r="P1289" s="39" t="s">
        <v>65</v>
      </c>
      <c r="Q1289" s="40">
        <v>293</v>
      </c>
      <c r="R1289" s="40">
        <v>323.08199973473717</v>
      </c>
    </row>
    <row r="1290" spans="1:18" s="39" customFormat="1" ht="13.45" customHeight="1" x14ac:dyDescent="0.2">
      <c r="A1290" s="178" t="s">
        <v>4019</v>
      </c>
      <c r="B1290" s="39" t="s">
        <v>77</v>
      </c>
      <c r="C1290" s="39" t="s">
        <v>120</v>
      </c>
      <c r="D1290" s="39" t="s">
        <v>121</v>
      </c>
      <c r="E1290" s="39" t="s">
        <v>151</v>
      </c>
      <c r="F1290" s="39" t="s">
        <v>4020</v>
      </c>
      <c r="G1290" s="39" t="s">
        <v>125</v>
      </c>
      <c r="H1290" s="39" t="s">
        <v>162</v>
      </c>
      <c r="J1290" s="39" t="s">
        <v>124</v>
      </c>
      <c r="K1290" s="39" t="s">
        <v>5557</v>
      </c>
      <c r="L1290" s="39" t="s">
        <v>4021</v>
      </c>
      <c r="M1290" s="76" t="s">
        <v>4022</v>
      </c>
      <c r="N1290" s="76" t="s">
        <v>4018</v>
      </c>
      <c r="O1290" s="39" t="s">
        <v>52</v>
      </c>
      <c r="P1290" s="39" t="s">
        <v>65</v>
      </c>
      <c r="Q1290" s="40">
        <v>80</v>
      </c>
      <c r="R1290" s="40">
        <v>88.21351528593506</v>
      </c>
    </row>
    <row r="1291" spans="1:18" s="39" customFormat="1" ht="13.45" customHeight="1" x14ac:dyDescent="0.2">
      <c r="A1291" s="39" t="s">
        <v>4023</v>
      </c>
      <c r="B1291" s="39" t="s">
        <v>77</v>
      </c>
      <c r="C1291" s="39" t="s">
        <v>120</v>
      </c>
      <c r="D1291" s="39" t="s">
        <v>121</v>
      </c>
      <c r="E1291" s="39" t="s">
        <v>133</v>
      </c>
      <c r="F1291" s="39" t="s">
        <v>4024</v>
      </c>
      <c r="G1291" s="39" t="s">
        <v>125</v>
      </c>
      <c r="H1291" s="39" t="s">
        <v>208</v>
      </c>
      <c r="J1291" s="39" t="s">
        <v>124</v>
      </c>
      <c r="K1291" s="39" t="s">
        <v>5557</v>
      </c>
      <c r="L1291" s="39" t="s">
        <v>4025</v>
      </c>
      <c r="M1291" s="76" t="s">
        <v>4022</v>
      </c>
      <c r="N1291" s="76" t="s">
        <v>4018</v>
      </c>
      <c r="O1291" s="39" t="s">
        <v>52</v>
      </c>
      <c r="P1291" s="39" t="s">
        <v>65</v>
      </c>
      <c r="Q1291" s="40">
        <v>33</v>
      </c>
      <c r="R1291" s="40">
        <v>36.388075055448212</v>
      </c>
    </row>
    <row r="1292" spans="1:18" s="39" customFormat="1" ht="13.45" customHeight="1" x14ac:dyDescent="0.2">
      <c r="A1292" s="39" t="s">
        <v>4026</v>
      </c>
      <c r="B1292" s="39" t="s">
        <v>77</v>
      </c>
      <c r="C1292" s="39" t="s">
        <v>120</v>
      </c>
      <c r="D1292" s="39" t="s">
        <v>121</v>
      </c>
      <c r="E1292" s="39" t="s">
        <v>151</v>
      </c>
      <c r="F1292" s="39" t="s">
        <v>4027</v>
      </c>
      <c r="G1292" s="39" t="s">
        <v>125</v>
      </c>
      <c r="H1292" s="39" t="s">
        <v>162</v>
      </c>
      <c r="J1292" s="39" t="s">
        <v>124</v>
      </c>
      <c r="K1292" s="39" t="s">
        <v>5557</v>
      </c>
      <c r="L1292" s="48" t="s">
        <v>4028</v>
      </c>
      <c r="M1292" s="39" t="s">
        <v>3899</v>
      </c>
      <c r="O1292" s="39" t="s">
        <v>52</v>
      </c>
      <c r="P1292" s="39" t="s">
        <v>65</v>
      </c>
      <c r="Q1292" s="40">
        <v>57.3</v>
      </c>
      <c r="R1292" s="40">
        <v>63.182930323550984</v>
      </c>
    </row>
    <row r="1293" spans="1:18" s="39" customFormat="1" ht="13.45" customHeight="1" x14ac:dyDescent="0.2">
      <c r="A1293" s="39" t="s">
        <v>4029</v>
      </c>
      <c r="B1293" s="39" t="s">
        <v>77</v>
      </c>
      <c r="C1293" s="39" t="s">
        <v>120</v>
      </c>
      <c r="D1293" s="39" t="s">
        <v>121</v>
      </c>
      <c r="E1293" s="39" t="s">
        <v>151</v>
      </c>
      <c r="F1293" s="39" t="s">
        <v>4030</v>
      </c>
      <c r="G1293" s="39" t="s">
        <v>125</v>
      </c>
      <c r="H1293" s="39" t="s">
        <v>162</v>
      </c>
      <c r="J1293" s="39" t="s">
        <v>124</v>
      </c>
      <c r="K1293" s="39" t="s">
        <v>5557</v>
      </c>
      <c r="L1293" s="48" t="s">
        <v>4031</v>
      </c>
      <c r="M1293" s="39" t="s">
        <v>3899</v>
      </c>
      <c r="O1293" s="39" t="s">
        <v>52</v>
      </c>
      <c r="P1293" s="39" t="s">
        <v>65</v>
      </c>
      <c r="Q1293" s="40">
        <v>120.6</v>
      </c>
      <c r="R1293" s="40">
        <v>132.98187429354709</v>
      </c>
    </row>
    <row r="1294" spans="1:18" s="39" customFormat="1" ht="13.45" customHeight="1" x14ac:dyDescent="0.2">
      <c r="A1294" s="39" t="s">
        <v>4032</v>
      </c>
      <c r="B1294" s="39" t="s">
        <v>77</v>
      </c>
      <c r="C1294" s="39" t="s">
        <v>120</v>
      </c>
      <c r="D1294" s="39" t="s">
        <v>121</v>
      </c>
      <c r="E1294" s="39" t="s">
        <v>151</v>
      </c>
      <c r="F1294" s="39" t="s">
        <v>4033</v>
      </c>
      <c r="G1294" s="39" t="s">
        <v>125</v>
      </c>
      <c r="H1294" s="39" t="s">
        <v>162</v>
      </c>
      <c r="J1294" s="39" t="s">
        <v>124</v>
      </c>
      <c r="K1294" s="39" t="s">
        <v>5557</v>
      </c>
      <c r="L1294" s="48" t="s">
        <v>4034</v>
      </c>
      <c r="M1294" s="39" t="s">
        <v>3899</v>
      </c>
      <c r="O1294" s="39" t="s">
        <v>52</v>
      </c>
      <c r="P1294" s="39" t="s">
        <v>65</v>
      </c>
      <c r="Q1294" s="40">
        <v>29.3</v>
      </c>
      <c r="R1294" s="40">
        <v>32.30819997347372</v>
      </c>
    </row>
    <row r="1295" spans="1:18" s="39" customFormat="1" ht="13.45" customHeight="1" x14ac:dyDescent="0.2">
      <c r="A1295" s="39" t="s">
        <v>4035</v>
      </c>
      <c r="B1295" s="39" t="s">
        <v>77</v>
      </c>
      <c r="C1295" s="39" t="s">
        <v>120</v>
      </c>
      <c r="D1295" s="39" t="s">
        <v>121</v>
      </c>
      <c r="E1295" s="39" t="s">
        <v>151</v>
      </c>
      <c r="F1295" s="39" t="s">
        <v>2846</v>
      </c>
      <c r="G1295" s="39" t="s">
        <v>125</v>
      </c>
      <c r="H1295" s="39" t="s">
        <v>162</v>
      </c>
      <c r="J1295" s="39" t="s">
        <v>124</v>
      </c>
      <c r="K1295" s="39" t="s">
        <v>5557</v>
      </c>
      <c r="L1295" s="48" t="s">
        <v>4036</v>
      </c>
      <c r="M1295" s="39" t="s">
        <v>3899</v>
      </c>
      <c r="O1295" s="39" t="s">
        <v>52</v>
      </c>
      <c r="P1295" s="39" t="s">
        <v>65</v>
      </c>
      <c r="Q1295" s="40">
        <v>24</v>
      </c>
      <c r="R1295" s="40">
        <v>26.46405458578052</v>
      </c>
    </row>
    <row r="1296" spans="1:18" s="39" customFormat="1" ht="13.45" customHeight="1" x14ac:dyDescent="0.2">
      <c r="A1296" s="39" t="s">
        <v>4037</v>
      </c>
      <c r="B1296" s="39" t="s">
        <v>77</v>
      </c>
      <c r="C1296" s="39" t="s">
        <v>120</v>
      </c>
      <c r="D1296" s="39" t="s">
        <v>121</v>
      </c>
      <c r="E1296" s="39" t="s">
        <v>133</v>
      </c>
      <c r="F1296" s="39" t="s">
        <v>4038</v>
      </c>
      <c r="G1296" s="39" t="s">
        <v>125</v>
      </c>
      <c r="H1296" s="39" t="s">
        <v>208</v>
      </c>
      <c r="J1296" s="39" t="s">
        <v>124</v>
      </c>
      <c r="K1296" s="39" t="s">
        <v>5557</v>
      </c>
      <c r="L1296" s="48" t="s">
        <v>4039</v>
      </c>
      <c r="M1296" s="39" t="s">
        <v>3899</v>
      </c>
      <c r="O1296" s="39" t="s">
        <v>52</v>
      </c>
      <c r="P1296" s="39" t="s">
        <v>65</v>
      </c>
      <c r="Q1296" s="40">
        <v>36.6</v>
      </c>
      <c r="R1296" s="40">
        <v>40.357683243315293</v>
      </c>
    </row>
    <row r="1297" spans="1:18" s="39" customFormat="1" ht="13.45" customHeight="1" x14ac:dyDescent="0.2">
      <c r="A1297" s="39" t="s">
        <v>4040</v>
      </c>
      <c r="B1297" s="39" t="s">
        <v>77</v>
      </c>
      <c r="C1297" s="39" t="s">
        <v>177</v>
      </c>
      <c r="D1297" s="39" t="s">
        <v>121</v>
      </c>
      <c r="E1297" s="39" t="s">
        <v>251</v>
      </c>
      <c r="F1297" s="39" t="s">
        <v>507</v>
      </c>
      <c r="G1297" s="39" t="s">
        <v>125</v>
      </c>
      <c r="H1297" s="39" t="s">
        <v>162</v>
      </c>
      <c r="J1297" s="39" t="s">
        <v>124</v>
      </c>
      <c r="K1297" s="39" t="s">
        <v>5557</v>
      </c>
      <c r="L1297" s="48" t="s">
        <v>4041</v>
      </c>
      <c r="M1297" s="39" t="s">
        <v>3899</v>
      </c>
      <c r="O1297" s="39" t="s">
        <v>52</v>
      </c>
      <c r="P1297" s="39" t="s">
        <v>65</v>
      </c>
      <c r="Q1297" s="40">
        <v>10</v>
      </c>
      <c r="R1297" s="40">
        <v>11.026689410741882</v>
      </c>
    </row>
    <row r="1298" spans="1:18" s="39" customFormat="1" ht="13.45" customHeight="1" x14ac:dyDescent="0.2">
      <c r="A1298" s="39" t="s">
        <v>4042</v>
      </c>
      <c r="B1298" s="39" t="s">
        <v>77</v>
      </c>
      <c r="C1298" s="39" t="s">
        <v>171</v>
      </c>
      <c r="D1298" s="39" t="s">
        <v>121</v>
      </c>
      <c r="E1298" s="39" t="s">
        <v>151</v>
      </c>
      <c r="F1298" s="39">
        <v>0</v>
      </c>
      <c r="G1298" s="39" t="s">
        <v>125</v>
      </c>
      <c r="H1298" s="39" t="s">
        <v>162</v>
      </c>
      <c r="J1298" s="39" t="s">
        <v>124</v>
      </c>
      <c r="K1298" s="39" t="s">
        <v>5557</v>
      </c>
      <c r="L1298" s="48" t="s">
        <v>4043</v>
      </c>
      <c r="M1298" s="39" t="s">
        <v>3899</v>
      </c>
      <c r="O1298" s="39" t="s">
        <v>52</v>
      </c>
      <c r="Q1298" s="40"/>
      <c r="R1298" s="40" t="s">
        <v>1604</v>
      </c>
    </row>
    <row r="1299" spans="1:18" s="39" customFormat="1" ht="13.45" customHeight="1" x14ac:dyDescent="0.2">
      <c r="A1299" s="75" t="s">
        <v>4044</v>
      </c>
      <c r="B1299" s="75" t="s">
        <v>80</v>
      </c>
      <c r="C1299" s="75" t="s">
        <v>132</v>
      </c>
      <c r="D1299" s="75" t="s">
        <v>121</v>
      </c>
      <c r="E1299" s="75" t="s">
        <v>151</v>
      </c>
      <c r="F1299" s="75" t="s">
        <v>4045</v>
      </c>
      <c r="G1299" s="75" t="s">
        <v>125</v>
      </c>
      <c r="H1299" s="75" t="s">
        <v>162</v>
      </c>
      <c r="I1299" s="75"/>
      <c r="J1299" s="75" t="s">
        <v>124</v>
      </c>
      <c r="K1299" s="75" t="s">
        <v>5557</v>
      </c>
      <c r="L1299" s="75" t="s">
        <v>4046</v>
      </c>
      <c r="M1299" s="75" t="s">
        <v>4047</v>
      </c>
      <c r="N1299" s="75"/>
      <c r="O1299" s="75" t="s">
        <v>54</v>
      </c>
      <c r="P1299" s="75" t="s">
        <v>601</v>
      </c>
      <c r="Q1299" s="100">
        <v>2.88</v>
      </c>
      <c r="R1299" s="40">
        <v>2.88</v>
      </c>
    </row>
    <row r="1300" spans="1:18" s="39" customFormat="1" ht="13.45" customHeight="1" x14ac:dyDescent="0.2">
      <c r="A1300" s="39" t="s">
        <v>4048</v>
      </c>
      <c r="B1300" s="39" t="s">
        <v>80</v>
      </c>
      <c r="C1300" s="39" t="s">
        <v>177</v>
      </c>
      <c r="D1300" s="39" t="s">
        <v>160</v>
      </c>
      <c r="E1300" s="39" t="s">
        <v>133</v>
      </c>
      <c r="F1300" s="39" t="s">
        <v>4049</v>
      </c>
      <c r="G1300" s="39" t="s">
        <v>153</v>
      </c>
      <c r="J1300" s="39" t="s">
        <v>124</v>
      </c>
      <c r="K1300" s="39" t="s">
        <v>5557</v>
      </c>
      <c r="L1300" s="39" t="s">
        <v>4050</v>
      </c>
      <c r="M1300" s="39" t="s">
        <v>4051</v>
      </c>
      <c r="O1300" s="39" t="s">
        <v>53</v>
      </c>
      <c r="P1300" s="39" t="s">
        <v>601</v>
      </c>
      <c r="Q1300" s="40">
        <v>1100</v>
      </c>
      <c r="R1300" s="40">
        <v>1100</v>
      </c>
    </row>
    <row r="1301" spans="1:18" s="39" customFormat="1" ht="13.45" customHeight="1" x14ac:dyDescent="0.2">
      <c r="A1301" s="39" t="s">
        <v>4052</v>
      </c>
      <c r="B1301" s="39" t="s">
        <v>80</v>
      </c>
      <c r="C1301" s="39" t="s">
        <v>177</v>
      </c>
      <c r="D1301" s="39" t="s">
        <v>121</v>
      </c>
      <c r="E1301" s="39" t="s">
        <v>151</v>
      </c>
      <c r="F1301" s="39" t="s">
        <v>4053</v>
      </c>
      <c r="G1301" s="39" t="s">
        <v>125</v>
      </c>
      <c r="H1301" s="39" t="s">
        <v>162</v>
      </c>
      <c r="J1301" s="39" t="s">
        <v>124</v>
      </c>
      <c r="K1301" s="39" t="s">
        <v>5557</v>
      </c>
      <c r="L1301" s="39" t="s">
        <v>4054</v>
      </c>
      <c r="M1301" s="76" t="s">
        <v>4055</v>
      </c>
      <c r="O1301" s="39" t="s">
        <v>54</v>
      </c>
      <c r="P1301" s="39" t="s">
        <v>601</v>
      </c>
      <c r="Q1301" s="40">
        <v>7940</v>
      </c>
      <c r="R1301" s="40">
        <v>7940</v>
      </c>
    </row>
    <row r="1302" spans="1:18" s="39" customFormat="1" ht="13.45" customHeight="1" x14ac:dyDescent="0.2">
      <c r="A1302" s="39" t="s">
        <v>4056</v>
      </c>
      <c r="B1302" s="39" t="s">
        <v>80</v>
      </c>
      <c r="C1302" s="39" t="s">
        <v>177</v>
      </c>
      <c r="D1302" s="39" t="s">
        <v>121</v>
      </c>
      <c r="E1302" s="39" t="s">
        <v>251</v>
      </c>
      <c r="F1302" s="39" t="s">
        <v>4057</v>
      </c>
      <c r="G1302" s="39" t="s">
        <v>125</v>
      </c>
      <c r="H1302" s="39" t="s">
        <v>162</v>
      </c>
      <c r="I1302" s="39" t="s">
        <v>134</v>
      </c>
      <c r="J1302" s="39" t="s">
        <v>5560</v>
      </c>
      <c r="K1302" s="39" t="s">
        <v>5558</v>
      </c>
      <c r="L1302" s="39" t="s">
        <v>4058</v>
      </c>
      <c r="M1302" s="76" t="s">
        <v>4059</v>
      </c>
      <c r="O1302" s="39" t="s">
        <v>53</v>
      </c>
      <c r="P1302" s="39" t="s">
        <v>601</v>
      </c>
      <c r="Q1302" s="40">
        <v>2200</v>
      </c>
      <c r="R1302" s="40">
        <v>2200</v>
      </c>
    </row>
    <row r="1303" spans="1:18" s="39" customFormat="1" ht="13.45" customHeight="1" x14ac:dyDescent="0.2">
      <c r="A1303" s="39" t="s">
        <v>4060</v>
      </c>
      <c r="B1303" s="39" t="s">
        <v>80</v>
      </c>
      <c r="C1303" s="39" t="s">
        <v>177</v>
      </c>
      <c r="D1303" s="39" t="s">
        <v>121</v>
      </c>
      <c r="E1303" s="39" t="s">
        <v>251</v>
      </c>
      <c r="F1303" s="39" t="s">
        <v>4061</v>
      </c>
      <c r="G1303" s="39" t="s">
        <v>125</v>
      </c>
      <c r="H1303" s="39" t="s">
        <v>162</v>
      </c>
      <c r="J1303" s="39" t="s">
        <v>157</v>
      </c>
      <c r="K1303" s="39" t="s">
        <v>5563</v>
      </c>
      <c r="L1303" s="39" t="s">
        <v>4062</v>
      </c>
      <c r="M1303" s="39" t="s">
        <v>4063</v>
      </c>
      <c r="O1303" s="39" t="s">
        <v>52</v>
      </c>
      <c r="Q1303" s="40"/>
      <c r="R1303" s="40" t="s">
        <v>1604</v>
      </c>
    </row>
    <row r="1304" spans="1:18" s="39" customFormat="1" ht="13.45" customHeight="1" x14ac:dyDescent="0.2">
      <c r="A1304" s="39" t="s">
        <v>4064</v>
      </c>
      <c r="B1304" s="39" t="s">
        <v>80</v>
      </c>
      <c r="C1304" s="39" t="s">
        <v>177</v>
      </c>
      <c r="D1304" s="39" t="s">
        <v>160</v>
      </c>
      <c r="E1304" s="39" t="s">
        <v>251</v>
      </c>
      <c r="G1304" s="39" t="s">
        <v>125</v>
      </c>
      <c r="H1304" s="39" t="s">
        <v>162</v>
      </c>
      <c r="J1304" s="39" t="s">
        <v>5560</v>
      </c>
      <c r="K1304" s="39" t="s">
        <v>5557</v>
      </c>
      <c r="L1304" s="39" t="s">
        <v>4065</v>
      </c>
      <c r="M1304" s="39" t="s">
        <v>4066</v>
      </c>
      <c r="O1304" s="39" t="s">
        <v>52</v>
      </c>
      <c r="Q1304" s="40"/>
      <c r="R1304" s="40" t="s">
        <v>1604</v>
      </c>
    </row>
    <row r="1305" spans="1:18" s="39" customFormat="1" ht="13.45" customHeight="1" x14ac:dyDescent="0.2">
      <c r="A1305" s="39" t="s">
        <v>4067</v>
      </c>
      <c r="B1305" s="39" t="s">
        <v>80</v>
      </c>
      <c r="C1305" s="39" t="s">
        <v>177</v>
      </c>
      <c r="D1305" s="39" t="s">
        <v>137</v>
      </c>
      <c r="E1305" s="39" t="s">
        <v>133</v>
      </c>
      <c r="F1305" s="39" t="s">
        <v>4068</v>
      </c>
      <c r="G1305" s="39" t="s">
        <v>158</v>
      </c>
      <c r="J1305" s="39" t="s">
        <v>124</v>
      </c>
      <c r="K1305" s="39" t="s">
        <v>5557</v>
      </c>
      <c r="L1305" s="39" t="s">
        <v>4069</v>
      </c>
      <c r="M1305" s="39" t="s">
        <v>4070</v>
      </c>
      <c r="O1305" s="39" t="s">
        <v>55</v>
      </c>
      <c r="P1305" s="39" t="s">
        <v>65</v>
      </c>
      <c r="Q1305" s="40" t="s">
        <v>4071</v>
      </c>
      <c r="R1305" s="40" t="s">
        <v>1604</v>
      </c>
    </row>
    <row r="1306" spans="1:18" s="39" customFormat="1" ht="13.45" customHeight="1" x14ac:dyDescent="0.2">
      <c r="A1306" s="50" t="s">
        <v>4072</v>
      </c>
      <c r="B1306" s="50" t="s">
        <v>80</v>
      </c>
      <c r="C1306" s="50" t="s">
        <v>120</v>
      </c>
      <c r="D1306" s="50" t="s">
        <v>121</v>
      </c>
      <c r="E1306" s="50" t="s">
        <v>166</v>
      </c>
      <c r="F1306" s="50" t="s">
        <v>4073</v>
      </c>
      <c r="G1306" s="50" t="s">
        <v>125</v>
      </c>
      <c r="H1306" s="50" t="s">
        <v>162</v>
      </c>
      <c r="I1306" s="50"/>
      <c r="J1306" s="50" t="s">
        <v>124</v>
      </c>
      <c r="K1306" s="50" t="s">
        <v>5557</v>
      </c>
      <c r="L1306" s="50" t="s">
        <v>4074</v>
      </c>
      <c r="M1306" s="50" t="s">
        <v>4051</v>
      </c>
      <c r="N1306" s="50"/>
      <c r="O1306" s="50" t="s">
        <v>55</v>
      </c>
      <c r="P1306" s="50" t="s">
        <v>601</v>
      </c>
      <c r="Q1306" s="97">
        <v>7.8</v>
      </c>
      <c r="R1306" s="40">
        <v>7.8</v>
      </c>
    </row>
    <row r="1307" spans="1:18" s="39" customFormat="1" ht="13.45" customHeight="1" x14ac:dyDescent="0.2">
      <c r="A1307" s="39" t="s">
        <v>4075</v>
      </c>
      <c r="B1307" s="39" t="s">
        <v>80</v>
      </c>
      <c r="C1307" s="39" t="s">
        <v>120</v>
      </c>
      <c r="D1307" s="39" t="s">
        <v>121</v>
      </c>
      <c r="E1307" s="39" t="s">
        <v>251</v>
      </c>
      <c r="F1307" s="39" t="s">
        <v>4076</v>
      </c>
      <c r="G1307" s="39" t="s">
        <v>125</v>
      </c>
      <c r="H1307" s="39" t="s">
        <v>162</v>
      </c>
      <c r="J1307" s="39" t="s">
        <v>124</v>
      </c>
      <c r="K1307" s="39" t="s">
        <v>5557</v>
      </c>
      <c r="L1307" s="39" t="s">
        <v>4077</v>
      </c>
      <c r="M1307" s="39" t="s">
        <v>4078</v>
      </c>
      <c r="N1307" s="76" t="s">
        <v>4079</v>
      </c>
      <c r="O1307" s="39" t="s">
        <v>54</v>
      </c>
      <c r="P1307" s="39" t="s">
        <v>601</v>
      </c>
      <c r="Q1307" s="40">
        <v>3990</v>
      </c>
      <c r="R1307" s="40">
        <v>3990</v>
      </c>
    </row>
    <row r="1308" spans="1:18" s="62" customFormat="1" ht="14.95" customHeight="1" x14ac:dyDescent="0.2">
      <c r="A1308" s="39" t="s">
        <v>4080</v>
      </c>
      <c r="B1308" s="39" t="s">
        <v>80</v>
      </c>
      <c r="C1308" s="39" t="s">
        <v>120</v>
      </c>
      <c r="D1308" s="39" t="s">
        <v>121</v>
      </c>
      <c r="E1308" s="39" t="s">
        <v>251</v>
      </c>
      <c r="F1308" s="39" t="s">
        <v>4081</v>
      </c>
      <c r="G1308" s="39" t="s">
        <v>125</v>
      </c>
      <c r="H1308" s="39" t="s">
        <v>162</v>
      </c>
      <c r="I1308" s="39"/>
      <c r="J1308" s="39" t="s">
        <v>124</v>
      </c>
      <c r="K1308" s="39" t="s">
        <v>5557</v>
      </c>
      <c r="L1308" s="39" t="s">
        <v>4082</v>
      </c>
      <c r="M1308" s="39" t="s">
        <v>4078</v>
      </c>
      <c r="N1308" s="179" t="s">
        <v>4083</v>
      </c>
      <c r="O1308" s="39" t="s">
        <v>53</v>
      </c>
      <c r="P1308" s="39" t="s">
        <v>601</v>
      </c>
      <c r="Q1308" s="40">
        <v>1770</v>
      </c>
      <c r="R1308" s="40">
        <v>1770</v>
      </c>
    </row>
    <row r="1309" spans="1:18" s="62" customFormat="1" ht="14.95" customHeight="1" x14ac:dyDescent="0.2">
      <c r="A1309" s="39" t="s">
        <v>4084</v>
      </c>
      <c r="B1309" s="39" t="s">
        <v>80</v>
      </c>
      <c r="C1309" s="39" t="s">
        <v>120</v>
      </c>
      <c r="D1309" s="39" t="s">
        <v>121</v>
      </c>
      <c r="E1309" s="39" t="s">
        <v>151</v>
      </c>
      <c r="F1309" s="39" t="s">
        <v>4085</v>
      </c>
      <c r="G1309" s="39" t="s">
        <v>125</v>
      </c>
      <c r="H1309" s="39" t="s">
        <v>162</v>
      </c>
      <c r="I1309" s="39"/>
      <c r="J1309" s="39" t="s">
        <v>124</v>
      </c>
      <c r="K1309" s="39" t="s">
        <v>5557</v>
      </c>
      <c r="L1309" s="39" t="s">
        <v>4086</v>
      </c>
      <c r="M1309" s="39" t="s">
        <v>4078</v>
      </c>
      <c r="N1309" s="179" t="s">
        <v>4087</v>
      </c>
      <c r="O1309" s="39" t="s">
        <v>54</v>
      </c>
      <c r="P1309" s="39" t="s">
        <v>601</v>
      </c>
      <c r="Q1309" s="40">
        <v>2500</v>
      </c>
      <c r="R1309" s="40">
        <v>2500</v>
      </c>
    </row>
    <row r="1310" spans="1:18" s="62" customFormat="1" ht="14.95" customHeight="1" x14ac:dyDescent="0.2">
      <c r="A1310" s="39" t="s">
        <v>4088</v>
      </c>
      <c r="B1310" s="39" t="s">
        <v>80</v>
      </c>
      <c r="C1310" s="39" t="s">
        <v>120</v>
      </c>
      <c r="D1310" s="39" t="s">
        <v>121</v>
      </c>
      <c r="E1310" s="39" t="s">
        <v>199</v>
      </c>
      <c r="F1310" s="39" t="s">
        <v>4089</v>
      </c>
      <c r="G1310" s="39" t="s">
        <v>152</v>
      </c>
      <c r="H1310" s="39" t="s">
        <v>323</v>
      </c>
      <c r="I1310" s="39"/>
      <c r="J1310" s="39" t="s">
        <v>124</v>
      </c>
      <c r="K1310" s="39" t="s">
        <v>5557</v>
      </c>
      <c r="L1310" s="39" t="s">
        <v>4090</v>
      </c>
      <c r="M1310" s="39" t="s">
        <v>4078</v>
      </c>
      <c r="N1310" s="39"/>
      <c r="O1310" s="39" t="s">
        <v>55</v>
      </c>
      <c r="P1310" s="39" t="s">
        <v>601</v>
      </c>
      <c r="Q1310" s="39">
        <v>50</v>
      </c>
      <c r="R1310" s="40">
        <v>50</v>
      </c>
    </row>
    <row r="1311" spans="1:18" s="62" customFormat="1" ht="14.95" customHeight="1" x14ac:dyDescent="0.2">
      <c r="A1311" s="39" t="s">
        <v>4091</v>
      </c>
      <c r="B1311" s="39" t="s">
        <v>80</v>
      </c>
      <c r="C1311" s="39" t="s">
        <v>120</v>
      </c>
      <c r="D1311" s="39" t="s">
        <v>137</v>
      </c>
      <c r="E1311" s="39" t="s">
        <v>133</v>
      </c>
      <c r="F1311" s="39" t="s">
        <v>4092</v>
      </c>
      <c r="G1311" s="39" t="s">
        <v>125</v>
      </c>
      <c r="H1311" s="39" t="s">
        <v>162</v>
      </c>
      <c r="I1311" s="39"/>
      <c r="J1311" s="39" t="s">
        <v>124</v>
      </c>
      <c r="K1311" s="39" t="s">
        <v>5557</v>
      </c>
      <c r="L1311" s="39" t="s">
        <v>4093</v>
      </c>
      <c r="M1311" s="39" t="s">
        <v>4078</v>
      </c>
      <c r="N1311" s="39" t="s">
        <v>4094</v>
      </c>
      <c r="O1311" s="39" t="s">
        <v>54</v>
      </c>
      <c r="P1311" s="39" t="s">
        <v>601</v>
      </c>
      <c r="Q1311" s="40">
        <v>5780</v>
      </c>
      <c r="R1311" s="40">
        <v>5780</v>
      </c>
    </row>
    <row r="1312" spans="1:18" s="62" customFormat="1" ht="14.95" customHeight="1" x14ac:dyDescent="0.2">
      <c r="A1312" s="39" t="s">
        <v>4095</v>
      </c>
      <c r="B1312" s="39" t="s">
        <v>80</v>
      </c>
      <c r="C1312" s="39" t="s">
        <v>188</v>
      </c>
      <c r="D1312" s="39" t="s">
        <v>121</v>
      </c>
      <c r="E1312" s="39" t="s">
        <v>251</v>
      </c>
      <c r="F1312" s="98" t="s">
        <v>295</v>
      </c>
      <c r="G1312" s="39" t="s">
        <v>125</v>
      </c>
      <c r="H1312" s="39" t="s">
        <v>162</v>
      </c>
      <c r="I1312" s="39"/>
      <c r="J1312" s="39" t="s">
        <v>124</v>
      </c>
      <c r="K1312" s="39" t="s">
        <v>5557</v>
      </c>
      <c r="L1312" s="62" t="s">
        <v>4096</v>
      </c>
      <c r="M1312" s="39" t="s">
        <v>260</v>
      </c>
      <c r="N1312" s="39"/>
      <c r="O1312" s="39" t="s">
        <v>54</v>
      </c>
      <c r="P1312" s="39"/>
      <c r="Q1312" s="40"/>
      <c r="R1312" s="40" t="s">
        <v>1604</v>
      </c>
    </row>
    <row r="1313" spans="1:18" s="62" customFormat="1" ht="14.95" customHeight="1" x14ac:dyDescent="0.2">
      <c r="A1313" s="39" t="s">
        <v>4097</v>
      </c>
      <c r="B1313" s="39" t="s">
        <v>80</v>
      </c>
      <c r="C1313" s="39" t="s">
        <v>188</v>
      </c>
      <c r="D1313" s="39" t="s">
        <v>121</v>
      </c>
      <c r="E1313" s="39" t="s">
        <v>151</v>
      </c>
      <c r="F1313" s="98" t="s">
        <v>295</v>
      </c>
      <c r="G1313" s="39" t="s">
        <v>125</v>
      </c>
      <c r="H1313" s="39" t="s">
        <v>162</v>
      </c>
      <c r="I1313" s="39"/>
      <c r="J1313" s="39" t="s">
        <v>124</v>
      </c>
      <c r="K1313" s="39" t="s">
        <v>5557</v>
      </c>
      <c r="L1313" s="62" t="s">
        <v>4098</v>
      </c>
      <c r="M1313" s="39" t="s">
        <v>260</v>
      </c>
      <c r="N1313" s="39"/>
      <c r="O1313" s="39" t="s">
        <v>54</v>
      </c>
      <c r="P1313" s="39"/>
      <c r="Q1313" s="40"/>
      <c r="R1313" s="40" t="s">
        <v>1604</v>
      </c>
    </row>
    <row r="1314" spans="1:18" s="62" customFormat="1" ht="14.95" customHeight="1" x14ac:dyDescent="0.2">
      <c r="A1314" s="75" t="s">
        <v>4099</v>
      </c>
      <c r="B1314" s="75" t="s">
        <v>81</v>
      </c>
      <c r="C1314" s="75" t="s">
        <v>120</v>
      </c>
      <c r="D1314" s="75" t="s">
        <v>121</v>
      </c>
      <c r="E1314" s="75" t="s">
        <v>122</v>
      </c>
      <c r="F1314" s="75" t="s">
        <v>4100</v>
      </c>
      <c r="G1314" s="75" t="s">
        <v>125</v>
      </c>
      <c r="H1314" s="75" t="s">
        <v>162</v>
      </c>
      <c r="I1314" s="75"/>
      <c r="J1314" s="75" t="s">
        <v>124</v>
      </c>
      <c r="K1314" s="75" t="s">
        <v>124</v>
      </c>
      <c r="L1314" s="75" t="s">
        <v>4101</v>
      </c>
      <c r="M1314" s="75" t="s">
        <v>4102</v>
      </c>
      <c r="N1314" s="75"/>
      <c r="O1314" s="75" t="s">
        <v>54</v>
      </c>
      <c r="P1314" s="75" t="s">
        <v>65</v>
      </c>
      <c r="Q1314" s="100">
        <v>3400</v>
      </c>
      <c r="R1314" s="40">
        <v>3749.0743996522401</v>
      </c>
    </row>
    <row r="1315" spans="1:18" s="62" customFormat="1" ht="14.95" customHeight="1" x14ac:dyDescent="0.2">
      <c r="A1315" s="39" t="s">
        <v>4103</v>
      </c>
      <c r="B1315" s="39" t="s">
        <v>81</v>
      </c>
      <c r="C1315" s="39" t="s">
        <v>171</v>
      </c>
      <c r="D1315" s="39" t="s">
        <v>121</v>
      </c>
      <c r="E1315" s="39" t="s">
        <v>151</v>
      </c>
      <c r="F1315" s="39"/>
      <c r="G1315" s="39" t="s">
        <v>125</v>
      </c>
      <c r="H1315" s="39" t="s">
        <v>162</v>
      </c>
      <c r="I1315" s="39" t="s">
        <v>158</v>
      </c>
      <c r="J1315" s="39"/>
      <c r="K1315" s="39"/>
      <c r="L1315" s="39" t="s">
        <v>4104</v>
      </c>
      <c r="M1315" s="76" t="s">
        <v>4105</v>
      </c>
      <c r="N1315" s="39"/>
      <c r="O1315" s="39" t="s">
        <v>52</v>
      </c>
      <c r="P1315" s="39" t="s">
        <v>65</v>
      </c>
      <c r="Q1315" s="40"/>
      <c r="R1315" s="40">
        <v>0</v>
      </c>
    </row>
    <row r="1316" spans="1:18" s="62" customFormat="1" ht="14.95" customHeight="1" x14ac:dyDescent="0.2">
      <c r="A1316" s="39" t="s">
        <v>4106</v>
      </c>
      <c r="B1316" s="39" t="s">
        <v>81</v>
      </c>
      <c r="C1316" s="39" t="s">
        <v>120</v>
      </c>
      <c r="D1316" s="39" t="s">
        <v>121</v>
      </c>
      <c r="E1316" s="39" t="s">
        <v>251</v>
      </c>
      <c r="F1316" s="39" t="s">
        <v>4107</v>
      </c>
      <c r="G1316" s="39" t="s">
        <v>125</v>
      </c>
      <c r="H1316" s="39" t="s">
        <v>162</v>
      </c>
      <c r="I1316" s="39"/>
      <c r="J1316" s="39" t="s">
        <v>124</v>
      </c>
      <c r="K1316" s="39" t="s">
        <v>124</v>
      </c>
      <c r="L1316" s="39" t="s">
        <v>4108</v>
      </c>
      <c r="M1316" s="76" t="s">
        <v>4109</v>
      </c>
      <c r="N1316" s="39" t="s">
        <v>4110</v>
      </c>
      <c r="O1316" s="39" t="s">
        <v>55</v>
      </c>
      <c r="P1316" s="39" t="s">
        <v>65</v>
      </c>
      <c r="Q1316" s="40">
        <v>2620</v>
      </c>
      <c r="R1316" s="40">
        <v>2888.9926256143731</v>
      </c>
    </row>
    <row r="1317" spans="1:18" s="62" customFormat="1" ht="14.95" customHeight="1" x14ac:dyDescent="0.2">
      <c r="A1317" s="39" t="s">
        <v>4111</v>
      </c>
      <c r="B1317" s="39" t="s">
        <v>81</v>
      </c>
      <c r="C1317" s="39" t="s">
        <v>132</v>
      </c>
      <c r="D1317" s="39" t="s">
        <v>121</v>
      </c>
      <c r="E1317" s="39" t="s">
        <v>251</v>
      </c>
      <c r="F1317" s="39"/>
      <c r="G1317" s="39" t="s">
        <v>162</v>
      </c>
      <c r="H1317" s="39" t="s">
        <v>125</v>
      </c>
      <c r="I1317" s="39"/>
      <c r="J1317" s="39" t="s">
        <v>124</v>
      </c>
      <c r="K1317" s="39" t="s">
        <v>124</v>
      </c>
      <c r="L1317" s="39" t="s">
        <v>4112</v>
      </c>
      <c r="M1317" s="39" t="s">
        <v>4113</v>
      </c>
      <c r="N1317" s="39"/>
      <c r="O1317" s="39" t="s">
        <v>54</v>
      </c>
      <c r="P1317" s="39"/>
      <c r="Q1317" s="40"/>
      <c r="R1317" s="40" t="s">
        <v>1604</v>
      </c>
    </row>
    <row r="1318" spans="1:18" s="62" customFormat="1" ht="14.95" customHeight="1" x14ac:dyDescent="0.2">
      <c r="A1318" s="39" t="s">
        <v>4114</v>
      </c>
      <c r="B1318" s="39" t="s">
        <v>81</v>
      </c>
      <c r="C1318" s="39" t="s">
        <v>132</v>
      </c>
      <c r="D1318" s="39" t="s">
        <v>121</v>
      </c>
      <c r="E1318" s="39" t="s">
        <v>151</v>
      </c>
      <c r="F1318" s="39"/>
      <c r="G1318" s="39" t="s">
        <v>125</v>
      </c>
      <c r="H1318" s="39"/>
      <c r="I1318" s="39"/>
      <c r="J1318" s="39" t="s">
        <v>124</v>
      </c>
      <c r="K1318" s="39" t="s">
        <v>124</v>
      </c>
      <c r="L1318" s="39" t="s">
        <v>4115</v>
      </c>
      <c r="M1318" s="39" t="s">
        <v>4113</v>
      </c>
      <c r="N1318" s="39"/>
      <c r="O1318" s="39" t="s">
        <v>54</v>
      </c>
      <c r="P1318" s="39"/>
      <c r="Q1318" s="40"/>
      <c r="R1318" s="40" t="s">
        <v>1604</v>
      </c>
    </row>
    <row r="1319" spans="1:18" s="62" customFormat="1" ht="14.95" customHeight="1" x14ac:dyDescent="0.2">
      <c r="A1319" s="39" t="s">
        <v>4116</v>
      </c>
      <c r="B1319" s="39" t="s">
        <v>81</v>
      </c>
      <c r="C1319" s="39" t="s">
        <v>132</v>
      </c>
      <c r="D1319" s="39" t="s">
        <v>121</v>
      </c>
      <c r="E1319" s="39" t="s">
        <v>151</v>
      </c>
      <c r="F1319" s="39"/>
      <c r="G1319" s="39" t="s">
        <v>125</v>
      </c>
      <c r="H1319" s="39"/>
      <c r="I1319" s="39"/>
      <c r="J1319" s="39" t="s">
        <v>124</v>
      </c>
      <c r="K1319" s="39" t="s">
        <v>124</v>
      </c>
      <c r="L1319" s="39" t="s">
        <v>4117</v>
      </c>
      <c r="M1319" s="39" t="s">
        <v>4118</v>
      </c>
      <c r="N1319" s="39"/>
      <c r="O1319" s="39" t="s">
        <v>54</v>
      </c>
      <c r="P1319" s="39"/>
      <c r="Q1319" s="40"/>
      <c r="R1319" s="40" t="s">
        <v>1604</v>
      </c>
    </row>
    <row r="1320" spans="1:18" s="62" customFormat="1" ht="14.95" customHeight="1" x14ac:dyDescent="0.2">
      <c r="A1320" s="39" t="s">
        <v>4119</v>
      </c>
      <c r="B1320" s="39" t="s">
        <v>81</v>
      </c>
      <c r="C1320" s="39" t="s">
        <v>132</v>
      </c>
      <c r="D1320" s="39" t="s">
        <v>121</v>
      </c>
      <c r="E1320" s="39" t="s">
        <v>151</v>
      </c>
      <c r="F1320" s="39"/>
      <c r="G1320" s="39" t="s">
        <v>125</v>
      </c>
      <c r="H1320" s="39"/>
      <c r="I1320" s="39"/>
      <c r="J1320" s="39" t="s">
        <v>124</v>
      </c>
      <c r="K1320" s="39" t="s">
        <v>124</v>
      </c>
      <c r="L1320" s="39" t="s">
        <v>4120</v>
      </c>
      <c r="M1320" s="39" t="s">
        <v>4121</v>
      </c>
      <c r="N1320" s="39"/>
      <c r="O1320" s="39" t="s">
        <v>54</v>
      </c>
      <c r="P1320" s="39"/>
      <c r="Q1320" s="40"/>
      <c r="R1320" s="40" t="s">
        <v>1604</v>
      </c>
    </row>
    <row r="1321" spans="1:18" s="62" customFormat="1" ht="14.95" customHeight="1" x14ac:dyDescent="0.2">
      <c r="A1321" s="39" t="s">
        <v>4122</v>
      </c>
      <c r="B1321" s="39" t="s">
        <v>81</v>
      </c>
      <c r="C1321" s="39" t="s">
        <v>120</v>
      </c>
      <c r="D1321" s="39" t="s">
        <v>121</v>
      </c>
      <c r="E1321" s="39" t="s">
        <v>151</v>
      </c>
      <c r="F1321" s="39" t="s">
        <v>4123</v>
      </c>
      <c r="G1321" s="39" t="s">
        <v>125</v>
      </c>
      <c r="H1321" s="39" t="s">
        <v>860</v>
      </c>
      <c r="I1321" s="39"/>
      <c r="J1321" s="39"/>
      <c r="K1321" s="39"/>
      <c r="L1321" s="39" t="s">
        <v>4124</v>
      </c>
      <c r="M1321" s="76" t="s">
        <v>4125</v>
      </c>
      <c r="N1321" s="39"/>
      <c r="O1321" s="39" t="s">
        <v>52</v>
      </c>
      <c r="P1321" s="39" t="s">
        <v>65</v>
      </c>
      <c r="Q1321" s="40">
        <v>2330</v>
      </c>
      <c r="R1321" s="40">
        <v>2569.2186327028585</v>
      </c>
    </row>
    <row r="1322" spans="1:18" s="62" customFormat="1" ht="14.95" customHeight="1" x14ac:dyDescent="0.2">
      <c r="A1322" s="50" t="s">
        <v>4126</v>
      </c>
      <c r="B1322" s="39" t="s">
        <v>81</v>
      </c>
      <c r="C1322" s="50" t="s">
        <v>120</v>
      </c>
      <c r="D1322" s="50" t="s">
        <v>121</v>
      </c>
      <c r="E1322" s="50" t="s">
        <v>172</v>
      </c>
      <c r="F1322" s="50" t="s">
        <v>3718</v>
      </c>
      <c r="G1322" s="50" t="s">
        <v>125</v>
      </c>
      <c r="H1322" s="50" t="s">
        <v>134</v>
      </c>
      <c r="I1322" s="50"/>
      <c r="J1322" s="50"/>
      <c r="K1322" s="50"/>
      <c r="L1322" s="50" t="s">
        <v>4127</v>
      </c>
      <c r="M1322" s="145" t="s">
        <v>4125</v>
      </c>
      <c r="N1322" s="50"/>
      <c r="O1322" s="50" t="s">
        <v>52</v>
      </c>
      <c r="P1322" s="50" t="s">
        <v>65</v>
      </c>
      <c r="Q1322" s="97">
        <v>360</v>
      </c>
      <c r="R1322" s="40">
        <v>396.96081878670776</v>
      </c>
    </row>
    <row r="1323" spans="1:18" s="62" customFormat="1" ht="14.95" customHeight="1" x14ac:dyDescent="0.2">
      <c r="A1323" s="48" t="s">
        <v>4128</v>
      </c>
      <c r="B1323" s="39" t="s">
        <v>81</v>
      </c>
      <c r="C1323" s="39" t="s">
        <v>120</v>
      </c>
      <c r="D1323" s="39" t="s">
        <v>121</v>
      </c>
      <c r="E1323" s="39" t="s">
        <v>172</v>
      </c>
      <c r="F1323" s="39" t="s">
        <v>4129</v>
      </c>
      <c r="G1323" s="39" t="s">
        <v>125</v>
      </c>
      <c r="H1323" s="39" t="s">
        <v>134</v>
      </c>
      <c r="I1323" s="39" t="s">
        <v>152</v>
      </c>
      <c r="J1323" s="39" t="s">
        <v>124</v>
      </c>
      <c r="K1323" s="39" t="s">
        <v>5557</v>
      </c>
      <c r="L1323" s="39" t="s">
        <v>4130</v>
      </c>
      <c r="M1323" s="76" t="s">
        <v>4131</v>
      </c>
      <c r="N1323" s="39" t="s">
        <v>4078</v>
      </c>
      <c r="O1323" s="39" t="s">
        <v>52</v>
      </c>
      <c r="P1323" s="39" t="s">
        <v>65</v>
      </c>
      <c r="Q1323" s="40">
        <v>52.4</v>
      </c>
      <c r="R1323" s="40">
        <v>57.779852512287462</v>
      </c>
    </row>
    <row r="1324" spans="1:18" s="62" customFormat="1" ht="14.95" customHeight="1" x14ac:dyDescent="0.2">
      <c r="A1324" s="48" t="s">
        <v>4132</v>
      </c>
      <c r="B1324" s="39" t="s">
        <v>81</v>
      </c>
      <c r="C1324" s="39" t="s">
        <v>280</v>
      </c>
      <c r="D1324" s="39" t="s">
        <v>121</v>
      </c>
      <c r="E1324" s="39" t="s">
        <v>133</v>
      </c>
      <c r="F1324" s="39" t="s">
        <v>4133</v>
      </c>
      <c r="G1324" s="39" t="s">
        <v>125</v>
      </c>
      <c r="H1324" s="39" t="s">
        <v>162</v>
      </c>
      <c r="I1324" s="39"/>
      <c r="J1324" s="39" t="s">
        <v>124</v>
      </c>
      <c r="K1324" s="39" t="s">
        <v>5557</v>
      </c>
      <c r="L1324" s="39" t="s">
        <v>4134</v>
      </c>
      <c r="M1324" s="39" t="s">
        <v>4078</v>
      </c>
      <c r="N1324" s="76" t="s">
        <v>4135</v>
      </c>
      <c r="O1324" s="39" t="s">
        <v>55</v>
      </c>
      <c r="P1324" s="39" t="s">
        <v>65</v>
      </c>
      <c r="Q1324" s="40">
        <v>150</v>
      </c>
      <c r="R1324" s="40">
        <v>165.40034116112824</v>
      </c>
    </row>
    <row r="1325" spans="1:18" s="62" customFormat="1" ht="14.95" customHeight="1" x14ac:dyDescent="0.2">
      <c r="A1325" s="48" t="s">
        <v>4136</v>
      </c>
      <c r="B1325" s="39" t="s">
        <v>81</v>
      </c>
      <c r="C1325" s="39" t="s">
        <v>120</v>
      </c>
      <c r="D1325" s="39" t="s">
        <v>121</v>
      </c>
      <c r="E1325" s="39" t="s">
        <v>151</v>
      </c>
      <c r="F1325" s="39" t="s">
        <v>2773</v>
      </c>
      <c r="G1325" s="39" t="s">
        <v>125</v>
      </c>
      <c r="H1325" s="39" t="s">
        <v>162</v>
      </c>
      <c r="I1325" s="39"/>
      <c r="J1325" s="39" t="s">
        <v>124</v>
      </c>
      <c r="K1325" s="39" t="s">
        <v>5557</v>
      </c>
      <c r="L1325" s="179" t="s">
        <v>4137</v>
      </c>
      <c r="M1325" s="76" t="s">
        <v>4138</v>
      </c>
      <c r="N1325" s="76"/>
      <c r="O1325" s="39" t="s">
        <v>52</v>
      </c>
      <c r="P1325" s="39" t="s">
        <v>65</v>
      </c>
      <c r="Q1325" s="40">
        <v>250</v>
      </c>
      <c r="R1325" s="40">
        <v>275.66723526854707</v>
      </c>
    </row>
    <row r="1326" spans="1:18" s="62" customFormat="1" ht="14.95" customHeight="1" x14ac:dyDescent="0.2">
      <c r="A1326" s="39" t="s">
        <v>4139</v>
      </c>
      <c r="B1326" s="39" t="s">
        <v>81</v>
      </c>
      <c r="C1326" s="39" t="s">
        <v>132</v>
      </c>
      <c r="D1326" s="39" t="s">
        <v>137</v>
      </c>
      <c r="E1326" s="39" t="s">
        <v>151</v>
      </c>
      <c r="F1326" s="39" t="s">
        <v>109</v>
      </c>
      <c r="G1326" s="39" t="s">
        <v>125</v>
      </c>
      <c r="H1326" s="39" t="s">
        <v>162</v>
      </c>
      <c r="I1326" s="39"/>
      <c r="J1326" s="39" t="s">
        <v>124</v>
      </c>
      <c r="K1326" s="39" t="s">
        <v>5557</v>
      </c>
      <c r="L1326" s="39" t="s">
        <v>4140</v>
      </c>
      <c r="M1326" s="76" t="s">
        <v>4141</v>
      </c>
      <c r="N1326" s="39"/>
      <c r="O1326" s="39" t="s">
        <v>52</v>
      </c>
      <c r="P1326" s="39"/>
      <c r="Q1326" s="40"/>
      <c r="R1326" s="40" t="s">
        <v>1604</v>
      </c>
    </row>
    <row r="1327" spans="1:18" s="62" customFormat="1" ht="14.95" customHeight="1" x14ac:dyDescent="0.2">
      <c r="A1327" s="39" t="s">
        <v>4139</v>
      </c>
      <c r="B1327" s="39" t="s">
        <v>81</v>
      </c>
      <c r="C1327" s="39" t="s">
        <v>132</v>
      </c>
      <c r="D1327" s="39" t="s">
        <v>137</v>
      </c>
      <c r="E1327" s="39" t="s">
        <v>199</v>
      </c>
      <c r="F1327" s="39" t="s">
        <v>109</v>
      </c>
      <c r="G1327" s="39" t="s">
        <v>152</v>
      </c>
      <c r="H1327" s="39" t="s">
        <v>2920</v>
      </c>
      <c r="I1327" s="39"/>
      <c r="J1327" s="39" t="s">
        <v>124</v>
      </c>
      <c r="K1327" s="39" t="s">
        <v>5557</v>
      </c>
      <c r="L1327" s="39" t="s">
        <v>4142</v>
      </c>
      <c r="M1327" s="76" t="s">
        <v>4141</v>
      </c>
      <c r="N1327" s="39"/>
      <c r="O1327" s="39" t="s">
        <v>54</v>
      </c>
      <c r="P1327" s="39"/>
      <c r="Q1327" s="40"/>
      <c r="R1327" s="40" t="s">
        <v>1604</v>
      </c>
    </row>
    <row r="1328" spans="1:18" s="62" customFormat="1" ht="12.75" customHeight="1" x14ac:dyDescent="0.2">
      <c r="A1328" s="75" t="s">
        <v>4143</v>
      </c>
      <c r="B1328" s="75" t="s">
        <v>83</v>
      </c>
      <c r="C1328" s="75" t="s">
        <v>120</v>
      </c>
      <c r="D1328" s="75" t="s">
        <v>121</v>
      </c>
      <c r="E1328" s="75" t="s">
        <v>122</v>
      </c>
      <c r="F1328" s="75" t="s">
        <v>4144</v>
      </c>
      <c r="G1328" s="75" t="s">
        <v>125</v>
      </c>
      <c r="H1328" s="75" t="s">
        <v>162</v>
      </c>
      <c r="I1328" s="75"/>
      <c r="J1328" s="75"/>
      <c r="K1328" s="75"/>
      <c r="L1328" s="75" t="s">
        <v>4145</v>
      </c>
      <c r="M1328" s="75"/>
      <c r="N1328" s="75"/>
      <c r="O1328" s="75" t="s">
        <v>54</v>
      </c>
      <c r="P1328" s="75" t="s">
        <v>4146</v>
      </c>
      <c r="Q1328" s="100">
        <v>6000</v>
      </c>
      <c r="R1328" s="40">
        <v>735.61670167345051</v>
      </c>
    </row>
    <row r="1329" spans="1:18" s="39" customFormat="1" ht="13.45" customHeight="1" x14ac:dyDescent="0.2">
      <c r="A1329" s="39" t="s">
        <v>4147</v>
      </c>
      <c r="B1329" s="39" t="s">
        <v>83</v>
      </c>
      <c r="C1329" s="39" t="s">
        <v>132</v>
      </c>
      <c r="D1329" s="39" t="s">
        <v>121</v>
      </c>
      <c r="E1329" s="39" t="s">
        <v>122</v>
      </c>
      <c r="G1329" s="39" t="s">
        <v>125</v>
      </c>
      <c r="H1329" s="39" t="s">
        <v>162</v>
      </c>
      <c r="L1329" s="39" t="s">
        <v>4148</v>
      </c>
      <c r="O1329" s="39" t="s">
        <v>54</v>
      </c>
      <c r="Q1329" s="40"/>
      <c r="R1329" s="40" t="s">
        <v>1604</v>
      </c>
    </row>
    <row r="1330" spans="1:18" s="39" customFormat="1" ht="13.45" customHeight="1" x14ac:dyDescent="0.2">
      <c r="A1330" s="39" t="s">
        <v>4149</v>
      </c>
      <c r="B1330" s="39" t="s">
        <v>83</v>
      </c>
      <c r="C1330" s="39" t="s">
        <v>132</v>
      </c>
      <c r="D1330" s="39" t="s">
        <v>121</v>
      </c>
      <c r="E1330" s="39" t="s">
        <v>151</v>
      </c>
      <c r="F1330" s="39" t="s">
        <v>4150</v>
      </c>
      <c r="G1330" s="39" t="s">
        <v>125</v>
      </c>
      <c r="H1330" s="39" t="s">
        <v>162</v>
      </c>
      <c r="L1330" s="39" t="s">
        <v>4151</v>
      </c>
      <c r="M1330" s="39" t="s">
        <v>4152</v>
      </c>
      <c r="O1330" s="39" t="s">
        <v>54</v>
      </c>
      <c r="P1330" s="39" t="s">
        <v>4146</v>
      </c>
      <c r="Q1330" s="40">
        <v>99000</v>
      </c>
      <c r="R1330" s="40">
        <v>12137.675577611933</v>
      </c>
    </row>
    <row r="1331" spans="1:18" s="39" customFormat="1" ht="13.45" customHeight="1" x14ac:dyDescent="0.2">
      <c r="A1331" s="39" t="s">
        <v>4153</v>
      </c>
      <c r="B1331" s="39" t="s">
        <v>83</v>
      </c>
      <c r="C1331" s="39" t="s">
        <v>280</v>
      </c>
      <c r="D1331" s="39" t="s">
        <v>137</v>
      </c>
      <c r="E1331" s="39" t="s">
        <v>133</v>
      </c>
      <c r="F1331" s="39" t="s">
        <v>4154</v>
      </c>
      <c r="G1331" s="39" t="s">
        <v>125</v>
      </c>
      <c r="H1331" s="39" t="s">
        <v>162</v>
      </c>
      <c r="I1331" s="39" t="s">
        <v>158</v>
      </c>
      <c r="L1331" s="39" t="s">
        <v>4155</v>
      </c>
      <c r="M1331" s="39" t="s">
        <v>4156</v>
      </c>
      <c r="O1331" s="39" t="s">
        <v>52</v>
      </c>
      <c r="P1331" s="39" t="s">
        <v>4146</v>
      </c>
      <c r="Q1331" s="40">
        <v>5300</v>
      </c>
      <c r="R1331" s="40">
        <v>649.79475314488127</v>
      </c>
    </row>
    <row r="1332" spans="1:18" s="39" customFormat="1" ht="13.45" customHeight="1" x14ac:dyDescent="0.2">
      <c r="A1332" s="39" t="s">
        <v>4157</v>
      </c>
      <c r="B1332" s="39" t="s">
        <v>83</v>
      </c>
      <c r="C1332" s="39" t="s">
        <v>177</v>
      </c>
      <c r="D1332" s="39" t="s">
        <v>121</v>
      </c>
      <c r="E1332" s="39" t="s">
        <v>734</v>
      </c>
      <c r="F1332" s="39" t="s">
        <v>4158</v>
      </c>
      <c r="G1332" s="39" t="s">
        <v>125</v>
      </c>
      <c r="H1332" s="39" t="s">
        <v>162</v>
      </c>
      <c r="L1332" s="39" t="s">
        <v>4159</v>
      </c>
      <c r="M1332" s="39" t="s">
        <v>4156</v>
      </c>
      <c r="O1332" s="39" t="s">
        <v>52</v>
      </c>
      <c r="P1332" s="39" t="s">
        <v>4146</v>
      </c>
      <c r="Q1332" s="40">
        <v>485</v>
      </c>
      <c r="R1332" s="40">
        <v>59.46235005193725</v>
      </c>
    </row>
    <row r="1333" spans="1:18" s="39" customFormat="1" ht="13.45" customHeight="1" x14ac:dyDescent="0.2">
      <c r="A1333" s="39" t="s">
        <v>4160</v>
      </c>
      <c r="B1333" s="39" t="s">
        <v>83</v>
      </c>
      <c r="C1333" s="39" t="s">
        <v>280</v>
      </c>
      <c r="D1333" s="39" t="s">
        <v>137</v>
      </c>
      <c r="E1333" s="39" t="s">
        <v>133</v>
      </c>
      <c r="F1333" s="39" t="s">
        <v>4161</v>
      </c>
      <c r="G1333" s="39" t="s">
        <v>125</v>
      </c>
      <c r="H1333" s="39" t="s">
        <v>162</v>
      </c>
      <c r="I1333" s="39" t="s">
        <v>152</v>
      </c>
      <c r="L1333" s="39" t="s">
        <v>4162</v>
      </c>
      <c r="M1333" s="76" t="s">
        <v>4156</v>
      </c>
      <c r="O1333" s="39" t="s">
        <v>52</v>
      </c>
      <c r="P1333" s="39" t="s">
        <v>4146</v>
      </c>
      <c r="Q1333" s="40">
        <v>1333</v>
      </c>
      <c r="R1333" s="40">
        <v>163.42951055511827</v>
      </c>
    </row>
    <row r="1334" spans="1:18" s="39" customFormat="1" ht="13.45" customHeight="1" x14ac:dyDescent="0.2">
      <c r="A1334" s="39" t="s">
        <v>4163</v>
      </c>
      <c r="B1334" s="39" t="s">
        <v>83</v>
      </c>
      <c r="C1334" s="39" t="s">
        <v>280</v>
      </c>
      <c r="D1334" s="39" t="s">
        <v>137</v>
      </c>
      <c r="E1334" s="39" t="s">
        <v>133</v>
      </c>
      <c r="F1334" s="39" t="s">
        <v>4164</v>
      </c>
      <c r="G1334" s="39" t="s">
        <v>152</v>
      </c>
      <c r="L1334" s="39" t="s">
        <v>4165</v>
      </c>
      <c r="M1334" s="39" t="s">
        <v>4156</v>
      </c>
      <c r="O1334" s="39" t="s">
        <v>52</v>
      </c>
      <c r="P1334" s="39" t="s">
        <v>4146</v>
      </c>
      <c r="Q1334" s="40">
        <v>100</v>
      </c>
      <c r="R1334" s="40">
        <v>12.260278361224175</v>
      </c>
    </row>
    <row r="1335" spans="1:18" s="39" customFormat="1" ht="13.45" customHeight="1" x14ac:dyDescent="0.2">
      <c r="A1335" s="39" t="s">
        <v>4166</v>
      </c>
      <c r="B1335" s="39" t="s">
        <v>83</v>
      </c>
      <c r="C1335" s="39" t="s">
        <v>120</v>
      </c>
      <c r="D1335" s="39" t="s">
        <v>121</v>
      </c>
      <c r="E1335" s="39" t="s">
        <v>151</v>
      </c>
      <c r="F1335" s="39" t="s">
        <v>4167</v>
      </c>
      <c r="G1335" s="39" t="s">
        <v>125</v>
      </c>
      <c r="L1335" s="39" t="s">
        <v>4168</v>
      </c>
      <c r="M1335" s="39" t="s">
        <v>4156</v>
      </c>
      <c r="O1335" s="39" t="s">
        <v>53</v>
      </c>
      <c r="P1335" s="39" t="s">
        <v>4146</v>
      </c>
      <c r="Q1335" s="40">
        <v>25</v>
      </c>
      <c r="R1335" s="40">
        <v>3.0650695903060439</v>
      </c>
    </row>
    <row r="1336" spans="1:18" s="39" customFormat="1" ht="13.45" customHeight="1" x14ac:dyDescent="0.2">
      <c r="A1336" s="39" t="s">
        <v>4169</v>
      </c>
      <c r="B1336" s="39" t="s">
        <v>83</v>
      </c>
      <c r="C1336" s="39" t="s">
        <v>120</v>
      </c>
      <c r="D1336" s="39" t="s">
        <v>121</v>
      </c>
      <c r="E1336" s="39" t="s">
        <v>133</v>
      </c>
      <c r="F1336" s="39" t="s">
        <v>4170</v>
      </c>
      <c r="G1336" s="39" t="s">
        <v>134</v>
      </c>
      <c r="L1336" s="39" t="s">
        <v>4171</v>
      </c>
      <c r="M1336" s="39" t="s">
        <v>4156</v>
      </c>
      <c r="O1336" s="39" t="s">
        <v>52</v>
      </c>
      <c r="P1336" s="39" t="s">
        <v>4146</v>
      </c>
      <c r="Q1336" s="40">
        <v>20</v>
      </c>
      <c r="R1336" s="40">
        <v>2.452055672244835</v>
      </c>
    </row>
    <row r="1337" spans="1:18" s="39" customFormat="1" ht="13.45" customHeight="1" x14ac:dyDescent="0.2">
      <c r="A1337" s="39" t="s">
        <v>4172</v>
      </c>
      <c r="B1337" s="39" t="s">
        <v>83</v>
      </c>
      <c r="C1337" s="39" t="s">
        <v>280</v>
      </c>
      <c r="D1337" s="39" t="s">
        <v>137</v>
      </c>
      <c r="E1337" s="39" t="s">
        <v>133</v>
      </c>
      <c r="F1337" s="39" t="s">
        <v>4173</v>
      </c>
      <c r="G1337" s="39" t="s">
        <v>125</v>
      </c>
      <c r="H1337" s="39" t="s">
        <v>162</v>
      </c>
      <c r="I1337" s="39" t="s">
        <v>134</v>
      </c>
      <c r="L1337" s="39" t="s">
        <v>4174</v>
      </c>
      <c r="M1337" s="39" t="s">
        <v>4156</v>
      </c>
      <c r="O1337" s="39" t="s">
        <v>52</v>
      </c>
      <c r="P1337" s="39" t="s">
        <v>4146</v>
      </c>
      <c r="Q1337" s="40">
        <v>30</v>
      </c>
      <c r="R1337" s="40">
        <v>3.6780835083672527</v>
      </c>
    </row>
    <row r="1338" spans="1:18" s="39" customFormat="1" ht="13.45" customHeight="1" x14ac:dyDescent="0.2">
      <c r="A1338" s="39" t="s">
        <v>4175</v>
      </c>
      <c r="B1338" s="39" t="s">
        <v>83</v>
      </c>
      <c r="C1338" s="39" t="s">
        <v>120</v>
      </c>
      <c r="D1338" s="39" t="s">
        <v>121</v>
      </c>
      <c r="E1338" s="39" t="s">
        <v>133</v>
      </c>
      <c r="F1338" s="39" t="s">
        <v>4176</v>
      </c>
      <c r="G1338" s="39" t="s">
        <v>125</v>
      </c>
      <c r="H1338" s="39" t="s">
        <v>162</v>
      </c>
      <c r="L1338" s="39" t="s">
        <v>4177</v>
      </c>
      <c r="M1338" s="39" t="s">
        <v>4156</v>
      </c>
      <c r="O1338" s="39" t="s">
        <v>52</v>
      </c>
      <c r="P1338" s="39" t="s">
        <v>4146</v>
      </c>
      <c r="Q1338" s="40">
        <v>150</v>
      </c>
      <c r="R1338" s="40">
        <v>18.390417541836264</v>
      </c>
    </row>
    <row r="1339" spans="1:18" s="39" customFormat="1" ht="13.45" customHeight="1" x14ac:dyDescent="0.2">
      <c r="A1339" s="39" t="s">
        <v>4178</v>
      </c>
      <c r="B1339" s="39" t="s">
        <v>83</v>
      </c>
      <c r="C1339" s="39" t="s">
        <v>120</v>
      </c>
      <c r="D1339" s="39" t="s">
        <v>137</v>
      </c>
      <c r="E1339" s="39" t="s">
        <v>133</v>
      </c>
      <c r="F1339" s="39" t="s">
        <v>4179</v>
      </c>
      <c r="G1339" s="39" t="s">
        <v>134</v>
      </c>
      <c r="L1339" s="39" t="s">
        <v>4180</v>
      </c>
      <c r="M1339" s="39" t="s">
        <v>4156</v>
      </c>
      <c r="O1339" s="39" t="s">
        <v>52</v>
      </c>
      <c r="P1339" s="39" t="s">
        <v>4146</v>
      </c>
      <c r="Q1339" s="40">
        <v>13</v>
      </c>
      <c r="R1339" s="40">
        <v>1.5938361869591429</v>
      </c>
    </row>
    <row r="1340" spans="1:18" s="39" customFormat="1" ht="13.45" customHeight="1" x14ac:dyDescent="0.2">
      <c r="A1340" s="39" t="s">
        <v>4181</v>
      </c>
      <c r="B1340" s="39" t="s">
        <v>83</v>
      </c>
      <c r="C1340" s="39" t="s">
        <v>171</v>
      </c>
      <c r="D1340" s="39" t="s">
        <v>137</v>
      </c>
      <c r="E1340" s="39" t="s">
        <v>133</v>
      </c>
      <c r="L1340" s="39" t="s">
        <v>4182</v>
      </c>
      <c r="M1340" s="39" t="s">
        <v>4156</v>
      </c>
      <c r="O1340" s="39" t="s">
        <v>55</v>
      </c>
      <c r="Q1340" s="40"/>
      <c r="R1340" s="40" t="s">
        <v>1604</v>
      </c>
    </row>
    <row r="1341" spans="1:18" s="39" customFormat="1" ht="13.45" customHeight="1" x14ac:dyDescent="0.2">
      <c r="A1341" s="39" t="s">
        <v>4183</v>
      </c>
      <c r="B1341" s="39" t="s">
        <v>83</v>
      </c>
      <c r="C1341" s="39" t="s">
        <v>171</v>
      </c>
      <c r="D1341" s="39" t="s">
        <v>137</v>
      </c>
      <c r="E1341" s="39" t="s">
        <v>133</v>
      </c>
      <c r="L1341" s="39" t="s">
        <v>4184</v>
      </c>
      <c r="M1341" s="39" t="s">
        <v>4156</v>
      </c>
      <c r="O1341" s="39" t="s">
        <v>55</v>
      </c>
      <c r="Q1341" s="40"/>
      <c r="R1341" s="40" t="s">
        <v>1604</v>
      </c>
    </row>
    <row r="1342" spans="1:18" s="39" customFormat="1" ht="13.45" customHeight="1" x14ac:dyDescent="0.2">
      <c r="A1342" s="39" t="s">
        <v>4185</v>
      </c>
      <c r="B1342" s="39" t="s">
        <v>83</v>
      </c>
      <c r="C1342" s="39" t="s">
        <v>120</v>
      </c>
      <c r="D1342" s="39" t="s">
        <v>121</v>
      </c>
      <c r="E1342" s="39" t="s">
        <v>122</v>
      </c>
      <c r="F1342" s="39" t="s">
        <v>4186</v>
      </c>
      <c r="G1342" s="39" t="s">
        <v>125</v>
      </c>
      <c r="H1342" s="39" t="s">
        <v>162</v>
      </c>
      <c r="L1342" s="39" t="s">
        <v>4187</v>
      </c>
      <c r="M1342" s="39" t="s">
        <v>4156</v>
      </c>
      <c r="O1342" s="39" t="s">
        <v>54</v>
      </c>
      <c r="P1342" s="39" t="s">
        <v>4146</v>
      </c>
      <c r="Q1342" s="40">
        <v>2000</v>
      </c>
      <c r="R1342" s="40">
        <v>245.2055672244835</v>
      </c>
    </row>
    <row r="1343" spans="1:18" s="39" customFormat="1" ht="13.45" customHeight="1" x14ac:dyDescent="0.2">
      <c r="A1343" s="39" t="s">
        <v>4188</v>
      </c>
      <c r="B1343" s="39" t="s">
        <v>83</v>
      </c>
      <c r="C1343" s="39" t="s">
        <v>120</v>
      </c>
      <c r="D1343" s="39" t="s">
        <v>121</v>
      </c>
      <c r="E1343" s="39" t="s">
        <v>122</v>
      </c>
      <c r="F1343" s="39" t="s">
        <v>4189</v>
      </c>
      <c r="G1343" s="39" t="s">
        <v>125</v>
      </c>
      <c r="H1343" s="39" t="s">
        <v>162</v>
      </c>
      <c r="L1343" s="39" t="s">
        <v>4190</v>
      </c>
      <c r="M1343" s="39" t="s">
        <v>4156</v>
      </c>
      <c r="O1343" s="39" t="s">
        <v>55</v>
      </c>
      <c r="P1343" s="39" t="s">
        <v>4146</v>
      </c>
      <c r="Q1343" s="40">
        <v>35</v>
      </c>
      <c r="R1343" s="40">
        <v>4.2910974264284611</v>
      </c>
    </row>
    <row r="1344" spans="1:18" s="39" customFormat="1" ht="13.45" customHeight="1" x14ac:dyDescent="0.2">
      <c r="A1344" s="39" t="s">
        <v>4191</v>
      </c>
      <c r="B1344" s="39" t="s">
        <v>83</v>
      </c>
      <c r="C1344" s="39" t="s">
        <v>120</v>
      </c>
      <c r="D1344" s="39" t="s">
        <v>121</v>
      </c>
      <c r="E1344" s="39" t="s">
        <v>734</v>
      </c>
      <c r="F1344" s="39" t="s">
        <v>4192</v>
      </c>
      <c r="G1344" s="39" t="s">
        <v>125</v>
      </c>
      <c r="H1344" s="39" t="s">
        <v>162</v>
      </c>
      <c r="L1344" s="39" t="s">
        <v>4193</v>
      </c>
      <c r="M1344" s="39" t="s">
        <v>4156</v>
      </c>
      <c r="O1344" s="39" t="s">
        <v>55</v>
      </c>
      <c r="P1344" s="39" t="s">
        <v>4146</v>
      </c>
      <c r="Q1344" s="40">
        <v>235</v>
      </c>
      <c r="R1344" s="40">
        <v>28.811654148876812</v>
      </c>
    </row>
    <row r="1345" spans="1:18" s="39" customFormat="1" ht="13.45" customHeight="1" x14ac:dyDescent="0.2">
      <c r="A1345" s="39" t="s">
        <v>4194</v>
      </c>
      <c r="B1345" s="39" t="s">
        <v>83</v>
      </c>
      <c r="C1345" s="39" t="s">
        <v>120</v>
      </c>
      <c r="D1345" s="39" t="s">
        <v>121</v>
      </c>
      <c r="E1345" s="39" t="s">
        <v>133</v>
      </c>
      <c r="F1345" s="39" t="s">
        <v>4195</v>
      </c>
      <c r="G1345" s="39" t="s">
        <v>125</v>
      </c>
      <c r="H1345" s="39" t="s">
        <v>162</v>
      </c>
      <c r="L1345" s="39" t="s">
        <v>4196</v>
      </c>
      <c r="M1345" s="39" t="s">
        <v>4156</v>
      </c>
      <c r="O1345" s="39" t="s">
        <v>52</v>
      </c>
      <c r="P1345" s="39" t="s">
        <v>4146</v>
      </c>
      <c r="Q1345" s="40">
        <v>100</v>
      </c>
      <c r="R1345" s="40">
        <v>12.260278361224175</v>
      </c>
    </row>
    <row r="1346" spans="1:18" s="39" customFormat="1" ht="13.45" customHeight="1" x14ac:dyDescent="0.2">
      <c r="A1346" s="39" t="s">
        <v>4197</v>
      </c>
      <c r="B1346" s="39" t="s">
        <v>83</v>
      </c>
      <c r="C1346" s="39" t="s">
        <v>120</v>
      </c>
      <c r="D1346" s="39" t="s">
        <v>121</v>
      </c>
      <c r="E1346" s="39" t="s">
        <v>251</v>
      </c>
      <c r="F1346" s="39" t="s">
        <v>4198</v>
      </c>
      <c r="G1346" s="39" t="s">
        <v>125</v>
      </c>
      <c r="H1346" s="39" t="s">
        <v>162</v>
      </c>
      <c r="L1346" s="39" t="s">
        <v>4199</v>
      </c>
      <c r="M1346" s="76" t="s">
        <v>4156</v>
      </c>
      <c r="O1346" s="39" t="s">
        <v>55</v>
      </c>
      <c r="P1346" s="39" t="s">
        <v>4146</v>
      </c>
      <c r="Q1346" s="40">
        <v>1550</v>
      </c>
      <c r="R1346" s="40">
        <v>190.03431459897473</v>
      </c>
    </row>
    <row r="1347" spans="1:18" s="39" customFormat="1" ht="13.45" customHeight="1" x14ac:dyDescent="0.2">
      <c r="A1347" s="39" t="s">
        <v>4200</v>
      </c>
      <c r="B1347" s="39" t="s">
        <v>83</v>
      </c>
      <c r="C1347" s="39" t="s">
        <v>120</v>
      </c>
      <c r="D1347" s="39" t="s">
        <v>121</v>
      </c>
      <c r="E1347" s="39" t="s">
        <v>133</v>
      </c>
      <c r="F1347" s="39" t="s">
        <v>4201</v>
      </c>
      <c r="G1347" s="39" t="s">
        <v>125</v>
      </c>
      <c r="H1347" s="39" t="s">
        <v>162</v>
      </c>
      <c r="L1347" s="39" t="s">
        <v>4202</v>
      </c>
      <c r="M1347" s="39" t="s">
        <v>4156</v>
      </c>
      <c r="O1347" s="39" t="s">
        <v>53</v>
      </c>
      <c r="P1347" s="39" t="s">
        <v>4146</v>
      </c>
      <c r="Q1347" s="40">
        <v>900</v>
      </c>
      <c r="R1347" s="40">
        <v>110.34250525101758</v>
      </c>
    </row>
    <row r="1348" spans="1:18" s="39" customFormat="1" ht="13.45" customHeight="1" x14ac:dyDescent="0.2">
      <c r="A1348" s="39" t="s">
        <v>4203</v>
      </c>
      <c r="B1348" s="39" t="s">
        <v>83</v>
      </c>
      <c r="C1348" s="39" t="s">
        <v>120</v>
      </c>
      <c r="D1348" s="39" t="s">
        <v>121</v>
      </c>
      <c r="E1348" s="39" t="s">
        <v>251</v>
      </c>
      <c r="F1348" s="39" t="s">
        <v>4204</v>
      </c>
      <c r="G1348" s="39" t="s">
        <v>125</v>
      </c>
      <c r="H1348" s="39" t="s">
        <v>162</v>
      </c>
      <c r="L1348" s="39" t="s">
        <v>4205</v>
      </c>
      <c r="M1348" s="39" t="s">
        <v>4206</v>
      </c>
      <c r="O1348" s="39" t="s">
        <v>55</v>
      </c>
      <c r="P1348" s="39" t="s">
        <v>4146</v>
      </c>
      <c r="Q1348" s="40">
        <v>1900</v>
      </c>
      <c r="R1348" s="40">
        <v>232.94528886325935</v>
      </c>
    </row>
    <row r="1349" spans="1:18" s="39" customFormat="1" ht="13.45" customHeight="1" x14ac:dyDescent="0.2">
      <c r="A1349" s="39" t="s">
        <v>4207</v>
      </c>
      <c r="B1349" s="39" t="s">
        <v>83</v>
      </c>
      <c r="C1349" s="39" t="s">
        <v>120</v>
      </c>
      <c r="D1349" s="39" t="s">
        <v>121</v>
      </c>
      <c r="E1349" s="39" t="s">
        <v>151</v>
      </c>
      <c r="F1349" s="39" t="s">
        <v>4208</v>
      </c>
      <c r="G1349" s="39" t="s">
        <v>125</v>
      </c>
      <c r="H1349" s="39" t="s">
        <v>162</v>
      </c>
      <c r="L1349" s="39" t="s">
        <v>4209</v>
      </c>
      <c r="M1349" s="76" t="s">
        <v>4210</v>
      </c>
      <c r="O1349" s="39" t="s">
        <v>54</v>
      </c>
      <c r="P1349" s="39" t="s">
        <v>4146</v>
      </c>
      <c r="Q1349" s="40">
        <v>40</v>
      </c>
      <c r="R1349" s="40">
        <v>4.90411134448967</v>
      </c>
    </row>
    <row r="1350" spans="1:18" s="39" customFormat="1" ht="13.45" customHeight="1" x14ac:dyDescent="0.2">
      <c r="A1350" s="39" t="s">
        <v>4211</v>
      </c>
      <c r="B1350" s="39" t="s">
        <v>83</v>
      </c>
      <c r="C1350" s="39" t="s">
        <v>120</v>
      </c>
      <c r="D1350" s="39" t="s">
        <v>137</v>
      </c>
      <c r="E1350" s="39" t="s">
        <v>133</v>
      </c>
      <c r="F1350" s="39" t="s">
        <v>4212</v>
      </c>
      <c r="G1350" s="39" t="s">
        <v>125</v>
      </c>
      <c r="H1350" s="39" t="s">
        <v>162</v>
      </c>
      <c r="L1350" s="39" t="s">
        <v>4213</v>
      </c>
      <c r="M1350" s="39" t="s">
        <v>4214</v>
      </c>
      <c r="O1350" s="39" t="s">
        <v>52</v>
      </c>
      <c r="P1350" s="39" t="s">
        <v>4146</v>
      </c>
      <c r="Q1350" s="40">
        <v>700</v>
      </c>
      <c r="R1350" s="40">
        <v>85.821948528569237</v>
      </c>
    </row>
    <row r="1351" spans="1:18" s="39" customFormat="1" ht="13.45" customHeight="1" x14ac:dyDescent="0.2">
      <c r="A1351" s="50" t="s">
        <v>4215</v>
      </c>
      <c r="B1351" s="50" t="s">
        <v>83</v>
      </c>
      <c r="C1351" s="50" t="s">
        <v>120</v>
      </c>
      <c r="D1351" s="50" t="s">
        <v>121</v>
      </c>
      <c r="E1351" s="50" t="s">
        <v>734</v>
      </c>
      <c r="F1351" s="50" t="s">
        <v>4216</v>
      </c>
      <c r="G1351" s="50" t="s">
        <v>125</v>
      </c>
      <c r="H1351" s="50" t="s">
        <v>162</v>
      </c>
      <c r="I1351" s="50"/>
      <c r="J1351" s="50"/>
      <c r="K1351" s="50"/>
      <c r="L1351" s="50" t="s">
        <v>4217</v>
      </c>
      <c r="M1351" s="50" t="s">
        <v>4218</v>
      </c>
      <c r="N1351" s="50"/>
      <c r="O1351" s="50" t="s">
        <v>52</v>
      </c>
      <c r="P1351" s="50" t="s">
        <v>4146</v>
      </c>
      <c r="Q1351" s="97">
        <v>600</v>
      </c>
      <c r="R1351" s="40">
        <v>73.561670167345056</v>
      </c>
    </row>
    <row r="1352" spans="1:18" s="39" customFormat="1" ht="13.45" customHeight="1" x14ac:dyDescent="0.2">
      <c r="A1352" s="39" t="s">
        <v>4219</v>
      </c>
      <c r="B1352" s="39" t="s">
        <v>83</v>
      </c>
      <c r="C1352" s="39" t="s">
        <v>171</v>
      </c>
      <c r="D1352" s="39" t="s">
        <v>121</v>
      </c>
      <c r="E1352" s="39" t="s">
        <v>133</v>
      </c>
      <c r="F1352" s="39">
        <v>0</v>
      </c>
      <c r="G1352" s="39" t="s">
        <v>125</v>
      </c>
      <c r="H1352" s="39" t="s">
        <v>162</v>
      </c>
      <c r="J1352" s="39" t="s">
        <v>124</v>
      </c>
      <c r="K1352" s="39" t="s">
        <v>5557</v>
      </c>
      <c r="L1352" s="179" t="s">
        <v>4220</v>
      </c>
      <c r="M1352" s="180" t="s">
        <v>4221</v>
      </c>
      <c r="O1352" s="39" t="s">
        <v>53</v>
      </c>
      <c r="Q1352" s="40"/>
      <c r="R1352" s="40" t="s">
        <v>1604</v>
      </c>
    </row>
    <row r="1353" spans="1:18" s="39" customFormat="1" ht="13.45" customHeight="1" x14ac:dyDescent="0.2">
      <c r="A1353" s="39" t="s">
        <v>4222</v>
      </c>
      <c r="B1353" s="39" t="s">
        <v>82</v>
      </c>
      <c r="C1353" s="39" t="s">
        <v>177</v>
      </c>
      <c r="D1353" s="39" t="s">
        <v>160</v>
      </c>
      <c r="E1353" s="39" t="s">
        <v>172</v>
      </c>
      <c r="F1353" s="39" t="s">
        <v>4223</v>
      </c>
      <c r="G1353" s="39" t="s">
        <v>134</v>
      </c>
      <c r="L1353" s="39" t="s">
        <v>4224</v>
      </c>
      <c r="M1353" s="39" t="s">
        <v>4225</v>
      </c>
      <c r="O1353" s="39" t="s">
        <v>52</v>
      </c>
      <c r="P1353" s="39" t="s">
        <v>4226</v>
      </c>
      <c r="Q1353" s="40">
        <v>27.5</v>
      </c>
      <c r="R1353" s="40">
        <v>18.496439170352872</v>
      </c>
    </row>
    <row r="1354" spans="1:18" s="39" customFormat="1" ht="13.45" customHeight="1" x14ac:dyDescent="0.2">
      <c r="A1354" s="39" t="s">
        <v>4227</v>
      </c>
      <c r="B1354" s="39" t="s">
        <v>82</v>
      </c>
      <c r="C1354" s="39" t="s">
        <v>177</v>
      </c>
      <c r="D1354" s="39" t="s">
        <v>160</v>
      </c>
      <c r="E1354" s="39" t="s">
        <v>292</v>
      </c>
      <c r="F1354" s="39" t="s">
        <v>4228</v>
      </c>
      <c r="G1354" s="39" t="s">
        <v>134</v>
      </c>
      <c r="L1354" s="39" t="s">
        <v>4229</v>
      </c>
      <c r="M1354" s="39" t="s">
        <v>4225</v>
      </c>
      <c r="O1354" s="39" t="s">
        <v>52</v>
      </c>
      <c r="P1354" s="39" t="s">
        <v>4226</v>
      </c>
      <c r="Q1354" s="40">
        <v>100</v>
      </c>
      <c r="R1354" s="40">
        <v>67.259778801283161</v>
      </c>
    </row>
    <row r="1355" spans="1:18" s="39" customFormat="1" ht="13.45" customHeight="1" x14ac:dyDescent="0.2">
      <c r="A1355" s="39" t="s">
        <v>4230</v>
      </c>
      <c r="B1355" s="39" t="s">
        <v>82</v>
      </c>
      <c r="C1355" s="39" t="s">
        <v>177</v>
      </c>
      <c r="D1355" s="39" t="s">
        <v>121</v>
      </c>
      <c r="E1355" s="39" t="s">
        <v>172</v>
      </c>
      <c r="F1355" s="39" t="s">
        <v>4231</v>
      </c>
      <c r="G1355" s="39" t="s">
        <v>152</v>
      </c>
      <c r="H1355" s="39" t="s">
        <v>134</v>
      </c>
      <c r="I1355" s="39" t="s">
        <v>125</v>
      </c>
      <c r="L1355" s="39" t="s">
        <v>4232</v>
      </c>
      <c r="M1355" s="39" t="s">
        <v>4225</v>
      </c>
      <c r="O1355" s="39" t="s">
        <v>55</v>
      </c>
      <c r="P1355" s="39" t="s">
        <v>4226</v>
      </c>
      <c r="Q1355" s="40">
        <v>10.55</v>
      </c>
      <c r="R1355" s="40">
        <v>7.0959066635353745</v>
      </c>
    </row>
    <row r="1356" spans="1:18" s="39" customFormat="1" ht="13.45" customHeight="1" x14ac:dyDescent="0.2">
      <c r="A1356" s="39" t="s">
        <v>4233</v>
      </c>
      <c r="B1356" s="39" t="s">
        <v>82</v>
      </c>
      <c r="C1356" s="39" t="s">
        <v>177</v>
      </c>
      <c r="D1356" s="39" t="s">
        <v>137</v>
      </c>
      <c r="E1356" s="39" t="s">
        <v>172</v>
      </c>
      <c r="F1356" s="39" t="s">
        <v>4234</v>
      </c>
      <c r="G1356" s="39" t="s">
        <v>134</v>
      </c>
      <c r="L1356" s="39" t="s">
        <v>4235</v>
      </c>
      <c r="M1356" s="39" t="s">
        <v>4225</v>
      </c>
      <c r="O1356" s="39" t="s">
        <v>52</v>
      </c>
      <c r="P1356" s="39" t="s">
        <v>4226</v>
      </c>
      <c r="Q1356" s="40">
        <v>80</v>
      </c>
      <c r="R1356" s="40">
        <v>53.807823041026531</v>
      </c>
    </row>
    <row r="1357" spans="1:18" s="39" customFormat="1" ht="13.45" customHeight="1" x14ac:dyDescent="0.2">
      <c r="A1357" s="39" t="s">
        <v>4236</v>
      </c>
      <c r="B1357" s="39" t="s">
        <v>82</v>
      </c>
      <c r="C1357" s="39" t="s">
        <v>120</v>
      </c>
      <c r="D1357" s="39" t="s">
        <v>137</v>
      </c>
      <c r="E1357" s="39" t="s">
        <v>166</v>
      </c>
      <c r="F1357" s="39" t="s">
        <v>4237</v>
      </c>
      <c r="G1357" s="39" t="s">
        <v>125</v>
      </c>
      <c r="L1357" s="39" t="s">
        <v>4238</v>
      </c>
      <c r="M1357" s="39" t="s">
        <v>4225</v>
      </c>
      <c r="O1357" s="39" t="s">
        <v>52</v>
      </c>
      <c r="P1357" s="39" t="s">
        <v>4226</v>
      </c>
      <c r="Q1357" s="40">
        <v>56.4</v>
      </c>
      <c r="R1357" s="40">
        <v>37.934515243923705</v>
      </c>
    </row>
    <row r="1358" spans="1:18" s="39" customFormat="1" ht="13.45" customHeight="1" x14ac:dyDescent="0.2">
      <c r="A1358" s="39" t="s">
        <v>4239</v>
      </c>
      <c r="B1358" s="39" t="s">
        <v>82</v>
      </c>
      <c r="C1358" s="39" t="s">
        <v>120</v>
      </c>
      <c r="D1358" s="39" t="s">
        <v>137</v>
      </c>
      <c r="E1358" s="39" t="s">
        <v>133</v>
      </c>
      <c r="F1358" s="39" t="s">
        <v>4240</v>
      </c>
      <c r="G1358" s="39" t="s">
        <v>134</v>
      </c>
      <c r="L1358" s="39" t="s">
        <v>4241</v>
      </c>
      <c r="M1358" s="76" t="s">
        <v>4225</v>
      </c>
      <c r="O1358" s="39" t="s">
        <v>52</v>
      </c>
      <c r="P1358" s="39" t="s">
        <v>4226</v>
      </c>
      <c r="Q1358" s="40">
        <v>154.245</v>
      </c>
      <c r="R1358" s="40">
        <v>103.74484581203923</v>
      </c>
    </row>
    <row r="1359" spans="1:18" s="39" customFormat="1" ht="13.45" customHeight="1" x14ac:dyDescent="0.2">
      <c r="A1359" s="39" t="s">
        <v>4242</v>
      </c>
      <c r="B1359" s="39" t="s">
        <v>82</v>
      </c>
      <c r="C1359" s="39" t="s">
        <v>120</v>
      </c>
      <c r="D1359" s="39" t="s">
        <v>137</v>
      </c>
      <c r="E1359" s="39" t="s">
        <v>172</v>
      </c>
      <c r="F1359" s="39" t="s">
        <v>4243</v>
      </c>
      <c r="G1359" s="39" t="s">
        <v>134</v>
      </c>
      <c r="L1359" s="39" t="s">
        <v>4244</v>
      </c>
      <c r="M1359" s="39" t="s">
        <v>4225</v>
      </c>
      <c r="O1359" s="39" t="s">
        <v>52</v>
      </c>
      <c r="P1359" s="39" t="s">
        <v>4226</v>
      </c>
      <c r="Q1359" s="40">
        <v>147.506</v>
      </c>
      <c r="R1359" s="40">
        <v>99.212209318620751</v>
      </c>
    </row>
    <row r="1360" spans="1:18" s="39" customFormat="1" ht="13.45" customHeight="1" x14ac:dyDescent="0.2">
      <c r="A1360" s="39" t="s">
        <v>4245</v>
      </c>
      <c r="B1360" s="39" t="s">
        <v>82</v>
      </c>
      <c r="C1360" s="39" t="s">
        <v>226</v>
      </c>
      <c r="D1360" s="39" t="s">
        <v>137</v>
      </c>
      <c r="E1360" s="39" t="s">
        <v>133</v>
      </c>
      <c r="F1360" s="39" t="s">
        <v>4246</v>
      </c>
      <c r="G1360" s="39" t="s">
        <v>134</v>
      </c>
      <c r="L1360" s="39" t="s">
        <v>4247</v>
      </c>
      <c r="M1360" s="39" t="s">
        <v>4225</v>
      </c>
      <c r="O1360" s="39" t="s">
        <v>52</v>
      </c>
      <c r="P1360" s="39" t="s">
        <v>4226</v>
      </c>
      <c r="Q1360" s="40">
        <v>200</v>
      </c>
      <c r="R1360" s="40">
        <v>134.51955760256632</v>
      </c>
    </row>
    <row r="1361" spans="1:18" s="39" customFormat="1" ht="13.45" customHeight="1" x14ac:dyDescent="0.2">
      <c r="A1361" s="39" t="s">
        <v>4248</v>
      </c>
      <c r="B1361" s="39" t="s">
        <v>82</v>
      </c>
      <c r="C1361" s="39" t="s">
        <v>120</v>
      </c>
      <c r="D1361" s="39" t="s">
        <v>137</v>
      </c>
      <c r="E1361" s="39" t="s">
        <v>199</v>
      </c>
      <c r="F1361" s="39" t="s">
        <v>4249</v>
      </c>
      <c r="G1361" s="39" t="s">
        <v>152</v>
      </c>
      <c r="H1361" s="39" t="s">
        <v>323</v>
      </c>
      <c r="L1361" s="39" t="s">
        <v>4250</v>
      </c>
      <c r="M1361" s="39" t="s">
        <v>4251</v>
      </c>
      <c r="O1361" s="39" t="s">
        <v>52</v>
      </c>
      <c r="P1361" s="39" t="s">
        <v>4226</v>
      </c>
      <c r="Q1361" s="40">
        <v>124</v>
      </c>
      <c r="R1361" s="40">
        <v>83.402125713591133</v>
      </c>
    </row>
    <row r="1362" spans="1:18" s="39" customFormat="1" ht="13.45" customHeight="1" x14ac:dyDescent="0.2">
      <c r="A1362" s="39" t="s">
        <v>4252</v>
      </c>
      <c r="B1362" s="39" t="s">
        <v>82</v>
      </c>
      <c r="C1362" s="39" t="s">
        <v>120</v>
      </c>
      <c r="D1362" s="39" t="s">
        <v>137</v>
      </c>
      <c r="E1362" s="39" t="s">
        <v>172</v>
      </c>
      <c r="F1362" s="39" t="s">
        <v>4253</v>
      </c>
      <c r="G1362" s="39" t="s">
        <v>153</v>
      </c>
      <c r="L1362" s="39" t="s">
        <v>4254</v>
      </c>
      <c r="M1362" s="39" t="s">
        <v>4225</v>
      </c>
      <c r="O1362" s="39" t="s">
        <v>52</v>
      </c>
      <c r="P1362" s="39" t="s">
        <v>4226</v>
      </c>
      <c r="Q1362" s="40">
        <v>433</v>
      </c>
      <c r="R1362" s="40">
        <v>291.23484220955612</v>
      </c>
    </row>
    <row r="1363" spans="1:18" s="39" customFormat="1" ht="13.45" customHeight="1" x14ac:dyDescent="0.2">
      <c r="A1363" s="39" t="s">
        <v>4255</v>
      </c>
      <c r="B1363" s="39" t="s">
        <v>82</v>
      </c>
      <c r="C1363" s="39" t="s">
        <v>120</v>
      </c>
      <c r="D1363" s="39" t="s">
        <v>137</v>
      </c>
      <c r="E1363" s="39" t="s">
        <v>172</v>
      </c>
      <c r="F1363" s="39" t="s">
        <v>4256</v>
      </c>
      <c r="G1363" s="39" t="s">
        <v>134</v>
      </c>
      <c r="L1363" s="39" t="s">
        <v>4257</v>
      </c>
      <c r="M1363" s="39" t="s">
        <v>4225</v>
      </c>
      <c r="O1363" s="39" t="s">
        <v>52</v>
      </c>
      <c r="P1363" s="39" t="s">
        <v>4226</v>
      </c>
      <c r="Q1363" s="40">
        <v>40</v>
      </c>
      <c r="R1363" s="40">
        <v>26.903911520513265</v>
      </c>
    </row>
    <row r="1364" spans="1:18" s="39" customFormat="1" ht="13.45" customHeight="1" x14ac:dyDescent="0.2">
      <c r="A1364" s="39" t="s">
        <v>4258</v>
      </c>
      <c r="B1364" s="39" t="s">
        <v>82</v>
      </c>
      <c r="C1364" s="39" t="s">
        <v>120</v>
      </c>
      <c r="D1364" s="39" t="s">
        <v>137</v>
      </c>
      <c r="E1364" s="39" t="s">
        <v>133</v>
      </c>
      <c r="F1364" s="39" t="s">
        <v>4259</v>
      </c>
      <c r="G1364" s="39" t="s">
        <v>134</v>
      </c>
      <c r="L1364" s="39" t="s">
        <v>4260</v>
      </c>
      <c r="M1364" s="39" t="s">
        <v>4225</v>
      </c>
      <c r="O1364" s="39" t="s">
        <v>55</v>
      </c>
      <c r="P1364" s="39" t="s">
        <v>4226</v>
      </c>
      <c r="Q1364" s="40">
        <v>50</v>
      </c>
      <c r="R1364" s="40">
        <v>33.629889400641581</v>
      </c>
    </row>
    <row r="1365" spans="1:18" s="39" customFormat="1" ht="13.45" customHeight="1" x14ac:dyDescent="0.2">
      <c r="A1365" s="39" t="s">
        <v>4261</v>
      </c>
      <c r="B1365" s="39" t="s">
        <v>82</v>
      </c>
      <c r="C1365" s="39" t="s">
        <v>120</v>
      </c>
      <c r="D1365" s="39" t="s">
        <v>121</v>
      </c>
      <c r="E1365" s="39" t="s">
        <v>122</v>
      </c>
      <c r="F1365" s="39" t="s">
        <v>4262</v>
      </c>
      <c r="G1365" s="39" t="s">
        <v>125</v>
      </c>
      <c r="L1365" s="39" t="s">
        <v>4263</v>
      </c>
      <c r="M1365" s="39" t="s">
        <v>4264</v>
      </c>
      <c r="O1365" s="39" t="s">
        <v>54</v>
      </c>
      <c r="P1365" s="39" t="s">
        <v>4226</v>
      </c>
      <c r="Q1365" s="40">
        <v>600</v>
      </c>
      <c r="R1365" s="40">
        <v>403.558672807699</v>
      </c>
    </row>
    <row r="1366" spans="1:18" s="39" customFormat="1" ht="13.45" customHeight="1" x14ac:dyDescent="0.2">
      <c r="A1366" s="39" t="s">
        <v>4265</v>
      </c>
      <c r="B1366" s="39" t="s">
        <v>82</v>
      </c>
      <c r="C1366" s="39" t="s">
        <v>171</v>
      </c>
      <c r="D1366" s="39" t="s">
        <v>137</v>
      </c>
      <c r="E1366" s="39" t="s">
        <v>133</v>
      </c>
      <c r="G1366" s="39" t="s">
        <v>158</v>
      </c>
      <c r="L1366" s="39" t="s">
        <v>4266</v>
      </c>
      <c r="M1366" s="39" t="s">
        <v>4264</v>
      </c>
      <c r="O1366" s="39" t="s">
        <v>54</v>
      </c>
      <c r="P1366" s="39" t="s">
        <v>4226</v>
      </c>
      <c r="Q1366" s="40" t="s">
        <v>1604</v>
      </c>
      <c r="R1366" s="40" t="s">
        <v>1604</v>
      </c>
    </row>
    <row r="1367" spans="1:18" s="39" customFormat="1" ht="13.45" customHeight="1" x14ac:dyDescent="0.2">
      <c r="A1367" s="39" t="s">
        <v>4267</v>
      </c>
      <c r="B1367" s="39" t="s">
        <v>82</v>
      </c>
      <c r="C1367" s="39" t="s">
        <v>120</v>
      </c>
      <c r="D1367" s="39" t="s">
        <v>121</v>
      </c>
      <c r="E1367" s="39" t="s">
        <v>251</v>
      </c>
      <c r="F1367" s="39" t="s">
        <v>4268</v>
      </c>
      <c r="G1367" s="39" t="s">
        <v>125</v>
      </c>
      <c r="L1367" s="39" t="s">
        <v>4269</v>
      </c>
      <c r="M1367" s="39" t="s">
        <v>4270</v>
      </c>
      <c r="O1367" s="39" t="s">
        <v>52</v>
      </c>
      <c r="P1367" s="39" t="s">
        <v>4226</v>
      </c>
      <c r="Q1367" s="40">
        <v>182</v>
      </c>
      <c r="R1367" s="40">
        <v>122.41279741833536</v>
      </c>
    </row>
    <row r="1368" spans="1:18" s="39" customFormat="1" ht="13.45" customHeight="1" x14ac:dyDescent="0.2">
      <c r="A1368" s="39" t="s">
        <v>4271</v>
      </c>
      <c r="B1368" s="39" t="s">
        <v>82</v>
      </c>
      <c r="C1368" s="39" t="s">
        <v>120</v>
      </c>
      <c r="D1368" s="39" t="s">
        <v>121</v>
      </c>
      <c r="E1368" s="39" t="s">
        <v>251</v>
      </c>
      <c r="F1368" s="39" t="s">
        <v>4272</v>
      </c>
      <c r="G1368" s="39" t="s">
        <v>125</v>
      </c>
      <c r="H1368" s="39" t="s">
        <v>162</v>
      </c>
      <c r="L1368" s="39" t="s">
        <v>4273</v>
      </c>
      <c r="M1368" s="39" t="s">
        <v>4274</v>
      </c>
      <c r="O1368" s="39" t="s">
        <v>52</v>
      </c>
      <c r="P1368" s="39" t="s">
        <v>4226</v>
      </c>
      <c r="Q1368" s="40">
        <v>39</v>
      </c>
      <c r="R1368" s="40">
        <v>26.231313732500436</v>
      </c>
    </row>
    <row r="1369" spans="1:18" s="39" customFormat="1" ht="13.45" customHeight="1" x14ac:dyDescent="0.2">
      <c r="A1369" s="39" t="s">
        <v>4275</v>
      </c>
      <c r="B1369" s="39" t="s">
        <v>82</v>
      </c>
      <c r="C1369" s="39" t="s">
        <v>120</v>
      </c>
      <c r="D1369" s="39" t="s">
        <v>121</v>
      </c>
      <c r="E1369" s="39" t="s">
        <v>251</v>
      </c>
      <c r="F1369" s="39" t="s">
        <v>4276</v>
      </c>
      <c r="G1369" s="39" t="s">
        <v>125</v>
      </c>
      <c r="H1369" s="39" t="s">
        <v>162</v>
      </c>
      <c r="L1369" s="39" t="s">
        <v>4277</v>
      </c>
      <c r="M1369" s="39" t="s">
        <v>4274</v>
      </c>
      <c r="O1369" s="39" t="s">
        <v>52</v>
      </c>
      <c r="P1369" s="39" t="s">
        <v>4226</v>
      </c>
      <c r="Q1369" s="40">
        <v>220</v>
      </c>
      <c r="R1369" s="40">
        <v>147.97151336282298</v>
      </c>
    </row>
    <row r="1370" spans="1:18" s="39" customFormat="1" ht="13.45" customHeight="1" x14ac:dyDescent="0.2">
      <c r="A1370" s="39" t="s">
        <v>4278</v>
      </c>
      <c r="B1370" s="39" t="s">
        <v>82</v>
      </c>
      <c r="C1370" s="39" t="s">
        <v>120</v>
      </c>
      <c r="D1370" s="39" t="s">
        <v>121</v>
      </c>
      <c r="E1370" s="39" t="s">
        <v>251</v>
      </c>
      <c r="F1370" s="50" t="s">
        <v>4279</v>
      </c>
      <c r="G1370" s="39" t="s">
        <v>125</v>
      </c>
      <c r="H1370" s="39" t="s">
        <v>162</v>
      </c>
      <c r="L1370" s="39" t="s">
        <v>4280</v>
      </c>
      <c r="M1370" s="39" t="s">
        <v>4281</v>
      </c>
      <c r="O1370" s="39" t="s">
        <v>52</v>
      </c>
      <c r="P1370" s="39" t="s">
        <v>4226</v>
      </c>
      <c r="Q1370" s="40">
        <v>20</v>
      </c>
      <c r="R1370" s="40">
        <v>13.451955760256633</v>
      </c>
    </row>
    <row r="1371" spans="1:18" s="39" customFormat="1" ht="13.45" customHeight="1" x14ac:dyDescent="0.2">
      <c r="A1371" s="39" t="s">
        <v>4282</v>
      </c>
      <c r="B1371" s="39" t="s">
        <v>82</v>
      </c>
      <c r="C1371" s="39" t="s">
        <v>120</v>
      </c>
      <c r="E1371" s="39" t="s">
        <v>133</v>
      </c>
      <c r="F1371" s="39" t="s">
        <v>4283</v>
      </c>
      <c r="G1371" s="39" t="s">
        <v>125</v>
      </c>
      <c r="H1371" s="39" t="s">
        <v>208</v>
      </c>
      <c r="L1371" s="39" t="s">
        <v>4284</v>
      </c>
      <c r="M1371" s="39" t="s">
        <v>4285</v>
      </c>
      <c r="O1371" s="39" t="s">
        <v>52</v>
      </c>
      <c r="P1371" s="39" t="s">
        <v>4226</v>
      </c>
      <c r="Q1371" s="40">
        <v>210</v>
      </c>
      <c r="R1371" s="40">
        <v>141.24553548269466</v>
      </c>
    </row>
    <row r="1372" spans="1:18" s="39" customFormat="1" ht="13.45" customHeight="1" x14ac:dyDescent="0.2">
      <c r="A1372" s="39" t="s">
        <v>4286</v>
      </c>
      <c r="B1372" s="39" t="s">
        <v>82</v>
      </c>
      <c r="C1372" s="39" t="s">
        <v>120</v>
      </c>
      <c r="D1372" s="39" t="s">
        <v>160</v>
      </c>
      <c r="E1372" s="39" t="s">
        <v>133</v>
      </c>
      <c r="F1372" s="39" t="s">
        <v>4287</v>
      </c>
      <c r="G1372" s="39" t="s">
        <v>134</v>
      </c>
      <c r="L1372" s="39" t="s">
        <v>4288</v>
      </c>
      <c r="M1372" s="39" t="s">
        <v>4289</v>
      </c>
      <c r="O1372" s="39" t="s">
        <v>55</v>
      </c>
      <c r="P1372" s="39" t="s">
        <v>4226</v>
      </c>
      <c r="Q1372" s="40">
        <v>1.69</v>
      </c>
      <c r="R1372" s="40">
        <v>1.1366902617416854</v>
      </c>
    </row>
    <row r="1373" spans="1:18" s="39" customFormat="1" ht="13.45" customHeight="1" x14ac:dyDescent="0.2">
      <c r="A1373" s="50" t="s">
        <v>4290</v>
      </c>
      <c r="B1373" s="50" t="s">
        <v>82</v>
      </c>
      <c r="C1373" s="50" t="s">
        <v>120</v>
      </c>
      <c r="D1373" s="50" t="s">
        <v>160</v>
      </c>
      <c r="E1373" s="50" t="s">
        <v>199</v>
      </c>
      <c r="F1373" s="50" t="s">
        <v>4291</v>
      </c>
      <c r="G1373" s="50" t="s">
        <v>152</v>
      </c>
      <c r="H1373" s="50"/>
      <c r="I1373" s="50"/>
      <c r="J1373" s="50"/>
      <c r="K1373" s="50"/>
      <c r="L1373" s="39" t="s">
        <v>4292</v>
      </c>
      <c r="M1373" s="50"/>
      <c r="N1373" s="50"/>
      <c r="O1373" s="50" t="s">
        <v>52</v>
      </c>
      <c r="P1373" s="50" t="s">
        <v>4226</v>
      </c>
      <c r="Q1373" s="97">
        <v>37</v>
      </c>
      <c r="R1373" s="40">
        <v>24.886118156474772</v>
      </c>
    </row>
    <row r="1374" spans="1:18" s="39" customFormat="1" ht="13.45" customHeight="1" x14ac:dyDescent="0.2">
      <c r="A1374" s="50" t="s">
        <v>4293</v>
      </c>
      <c r="B1374" s="50" t="s">
        <v>82</v>
      </c>
      <c r="C1374" s="39" t="s">
        <v>120</v>
      </c>
      <c r="D1374" s="39" t="s">
        <v>137</v>
      </c>
      <c r="E1374" s="39" t="s">
        <v>172</v>
      </c>
      <c r="F1374" s="50" t="s">
        <v>4294</v>
      </c>
      <c r="G1374" s="50" t="s">
        <v>134</v>
      </c>
      <c r="H1374" s="50"/>
      <c r="I1374" s="50"/>
      <c r="J1374" s="50"/>
      <c r="K1374" s="50"/>
      <c r="L1374" s="39" t="s">
        <v>4295</v>
      </c>
      <c r="M1374" s="50" t="s">
        <v>4296</v>
      </c>
      <c r="N1374" s="50"/>
      <c r="O1374" s="50" t="s">
        <v>52</v>
      </c>
      <c r="P1374" s="50" t="s">
        <v>4226</v>
      </c>
      <c r="Q1374" s="97">
        <v>25</v>
      </c>
      <c r="R1374" s="40">
        <v>16.81494470032079</v>
      </c>
    </row>
    <row r="1375" spans="1:18" s="39" customFormat="1" ht="13.45" customHeight="1" x14ac:dyDescent="0.2">
      <c r="A1375" s="39" t="s">
        <v>4297</v>
      </c>
      <c r="B1375" s="39" t="s">
        <v>82</v>
      </c>
      <c r="C1375" s="39" t="s">
        <v>188</v>
      </c>
      <c r="D1375" s="39" t="s">
        <v>137</v>
      </c>
      <c r="E1375" s="39" t="s">
        <v>166</v>
      </c>
      <c r="F1375" s="39" t="s">
        <v>4298</v>
      </c>
      <c r="G1375" s="39" t="s">
        <v>134</v>
      </c>
      <c r="H1375" s="39" t="s">
        <v>125</v>
      </c>
      <c r="I1375" s="39" t="s">
        <v>153</v>
      </c>
      <c r="L1375" s="39" t="s">
        <v>4299</v>
      </c>
      <c r="M1375" s="39" t="s">
        <v>4296</v>
      </c>
      <c r="O1375" s="39" t="s">
        <v>55</v>
      </c>
      <c r="P1375" s="39" t="s">
        <v>4226</v>
      </c>
      <c r="Q1375" s="40">
        <v>3800</v>
      </c>
      <c r="R1375" s="40">
        <v>2555.8715944487603</v>
      </c>
    </row>
    <row r="1376" spans="1:18" s="39" customFormat="1" ht="13.45" customHeight="1" x14ac:dyDescent="0.2">
      <c r="A1376" s="75" t="s">
        <v>4300</v>
      </c>
      <c r="B1376" s="75" t="s">
        <v>84</v>
      </c>
      <c r="C1376" s="75" t="s">
        <v>132</v>
      </c>
      <c r="D1376" s="75" t="s">
        <v>137</v>
      </c>
      <c r="E1376" s="75" t="s">
        <v>151</v>
      </c>
      <c r="F1376" s="75"/>
      <c r="G1376" s="75" t="s">
        <v>125</v>
      </c>
      <c r="H1376" s="75" t="s">
        <v>162</v>
      </c>
      <c r="I1376" s="75"/>
      <c r="J1376" s="75"/>
      <c r="K1376" s="75"/>
      <c r="L1376" s="75" t="s">
        <v>4301</v>
      </c>
      <c r="M1376" s="75" t="s">
        <v>4302</v>
      </c>
      <c r="N1376" s="75"/>
      <c r="O1376" s="75" t="s">
        <v>54</v>
      </c>
      <c r="P1376" s="106"/>
      <c r="Q1376" s="181"/>
      <c r="R1376" s="40" t="s">
        <v>1604</v>
      </c>
    </row>
    <row r="1377" spans="1:18" s="39" customFormat="1" ht="13.45" customHeight="1" x14ac:dyDescent="0.2">
      <c r="A1377" s="39" t="s">
        <v>4303</v>
      </c>
      <c r="B1377" s="39" t="s">
        <v>84</v>
      </c>
      <c r="C1377" s="39" t="s">
        <v>171</v>
      </c>
      <c r="D1377" s="39" t="s">
        <v>137</v>
      </c>
      <c r="E1377" s="39" t="s">
        <v>133</v>
      </c>
      <c r="G1377" s="39" t="s">
        <v>162</v>
      </c>
      <c r="H1377" s="39" t="s">
        <v>125</v>
      </c>
      <c r="L1377" s="39" t="s">
        <v>4304</v>
      </c>
      <c r="M1377" s="120" t="s">
        <v>4305</v>
      </c>
      <c r="N1377" s="76" t="s">
        <v>4306</v>
      </c>
      <c r="O1377" s="39" t="s">
        <v>54</v>
      </c>
      <c r="P1377" s="62"/>
      <c r="Q1377" s="152"/>
      <c r="R1377" s="40" t="s">
        <v>1604</v>
      </c>
    </row>
    <row r="1378" spans="1:18" s="39" customFormat="1" ht="13.45" customHeight="1" x14ac:dyDescent="0.2">
      <c r="A1378" s="39" t="s">
        <v>4307</v>
      </c>
      <c r="B1378" s="39" t="s">
        <v>84</v>
      </c>
      <c r="C1378" s="39" t="s">
        <v>171</v>
      </c>
      <c r="D1378" s="39" t="s">
        <v>121</v>
      </c>
      <c r="E1378" s="39" t="s">
        <v>199</v>
      </c>
      <c r="G1378" s="39" t="s">
        <v>152</v>
      </c>
      <c r="L1378" s="39" t="s">
        <v>4308</v>
      </c>
      <c r="M1378" s="39" t="s">
        <v>4309</v>
      </c>
      <c r="O1378" s="39" t="s">
        <v>55</v>
      </c>
      <c r="P1378" s="62"/>
      <c r="Q1378" s="152"/>
      <c r="R1378" s="40" t="s">
        <v>1604</v>
      </c>
    </row>
    <row r="1379" spans="1:18" s="39" customFormat="1" ht="13.45" customHeight="1" x14ac:dyDescent="0.2">
      <c r="A1379" s="39" t="s">
        <v>4310</v>
      </c>
      <c r="B1379" s="39" t="s">
        <v>84</v>
      </c>
      <c r="C1379" s="39" t="s">
        <v>120</v>
      </c>
      <c r="D1379" s="39" t="s">
        <v>137</v>
      </c>
      <c r="E1379" s="39" t="s">
        <v>133</v>
      </c>
      <c r="F1379" s="39" t="s">
        <v>295</v>
      </c>
      <c r="G1379" s="39" t="s">
        <v>125</v>
      </c>
      <c r="H1379" s="39" t="s">
        <v>162</v>
      </c>
      <c r="I1379" s="39" t="s">
        <v>158</v>
      </c>
      <c r="L1379" s="39" t="s">
        <v>4311</v>
      </c>
      <c r="M1379" s="39" t="s">
        <v>4312</v>
      </c>
      <c r="O1379" s="39" t="s">
        <v>52</v>
      </c>
      <c r="P1379" s="62"/>
      <c r="Q1379" s="152"/>
      <c r="R1379" s="40" t="s">
        <v>1604</v>
      </c>
    </row>
    <row r="1380" spans="1:18" s="39" customFormat="1" ht="13.45" customHeight="1" x14ac:dyDescent="0.2">
      <c r="A1380" s="39" t="s">
        <v>4313</v>
      </c>
      <c r="B1380" s="39" t="s">
        <v>84</v>
      </c>
      <c r="C1380" s="39" t="s">
        <v>120</v>
      </c>
      <c r="D1380" s="39" t="s">
        <v>137</v>
      </c>
      <c r="E1380" s="39" t="s">
        <v>133</v>
      </c>
      <c r="F1380" s="39" t="s">
        <v>4314</v>
      </c>
      <c r="G1380" s="39" t="s">
        <v>125</v>
      </c>
      <c r="H1380" s="39" t="s">
        <v>162</v>
      </c>
      <c r="I1380" s="39" t="s">
        <v>158</v>
      </c>
      <c r="L1380" s="39" t="s">
        <v>4315</v>
      </c>
      <c r="M1380" s="39" t="s">
        <v>4316</v>
      </c>
      <c r="O1380" s="39" t="s">
        <v>52</v>
      </c>
      <c r="P1380" s="62" t="s">
        <v>65</v>
      </c>
      <c r="Q1380" s="152">
        <v>68</v>
      </c>
      <c r="R1380" s="40">
        <v>74.981487993044809</v>
      </c>
    </row>
    <row r="1381" spans="1:18" s="39" customFormat="1" ht="13.45" customHeight="1" x14ac:dyDescent="0.2">
      <c r="A1381" s="39" t="s">
        <v>4317</v>
      </c>
      <c r="B1381" s="39" t="s">
        <v>84</v>
      </c>
      <c r="C1381" s="39" t="s">
        <v>171</v>
      </c>
      <c r="D1381" s="39" t="s">
        <v>121</v>
      </c>
      <c r="E1381" s="39" t="s">
        <v>151</v>
      </c>
      <c r="G1381" s="39" t="s">
        <v>125</v>
      </c>
      <c r="H1381" s="39" t="s">
        <v>162</v>
      </c>
      <c r="L1381" s="39" t="s">
        <v>4318</v>
      </c>
      <c r="M1381" s="39" t="s">
        <v>875</v>
      </c>
      <c r="N1381" s="39" t="s">
        <v>4319</v>
      </c>
      <c r="O1381" s="39" t="s">
        <v>52</v>
      </c>
      <c r="P1381" s="62"/>
      <c r="Q1381" s="152"/>
      <c r="R1381" s="40" t="s">
        <v>1604</v>
      </c>
    </row>
    <row r="1382" spans="1:18" s="39" customFormat="1" ht="13.45" customHeight="1" x14ac:dyDescent="0.2">
      <c r="A1382" s="39" t="s">
        <v>4320</v>
      </c>
      <c r="B1382" s="39" t="s">
        <v>84</v>
      </c>
      <c r="C1382" s="39" t="s">
        <v>171</v>
      </c>
      <c r="D1382" s="39" t="s">
        <v>121</v>
      </c>
      <c r="E1382" s="39" t="s">
        <v>151</v>
      </c>
      <c r="G1382" s="39" t="s">
        <v>125</v>
      </c>
      <c r="H1382" s="39" t="s">
        <v>162</v>
      </c>
      <c r="L1382" s="39" t="s">
        <v>4321</v>
      </c>
      <c r="M1382" s="39" t="s">
        <v>875</v>
      </c>
      <c r="N1382" s="39" t="s">
        <v>4322</v>
      </c>
      <c r="O1382" s="39" t="s">
        <v>55</v>
      </c>
      <c r="P1382" s="62"/>
      <c r="Q1382" s="152"/>
      <c r="R1382" s="40" t="s">
        <v>1604</v>
      </c>
    </row>
    <row r="1383" spans="1:18" s="39" customFormat="1" ht="13.45" customHeight="1" x14ac:dyDescent="0.2">
      <c r="A1383" s="39" t="s">
        <v>4323</v>
      </c>
      <c r="B1383" s="39" t="s">
        <v>84</v>
      </c>
      <c r="C1383" s="39" t="s">
        <v>171</v>
      </c>
      <c r="D1383" s="39" t="s">
        <v>121</v>
      </c>
      <c r="E1383" s="39" t="s">
        <v>151</v>
      </c>
      <c r="G1383" s="39" t="s">
        <v>125</v>
      </c>
      <c r="L1383" s="39" t="s">
        <v>4324</v>
      </c>
      <c r="M1383" s="39" t="s">
        <v>875</v>
      </c>
      <c r="N1383" s="39" t="s">
        <v>4325</v>
      </c>
      <c r="O1383" s="39" t="s">
        <v>54</v>
      </c>
      <c r="P1383" s="62"/>
      <c r="Q1383" s="152"/>
      <c r="R1383" s="40" t="s">
        <v>1604</v>
      </c>
    </row>
    <row r="1384" spans="1:18" s="39" customFormat="1" ht="13.45" customHeight="1" x14ac:dyDescent="0.2">
      <c r="A1384" s="39" t="s">
        <v>4326</v>
      </c>
      <c r="B1384" s="39" t="s">
        <v>84</v>
      </c>
      <c r="C1384" s="39" t="s">
        <v>120</v>
      </c>
      <c r="D1384" s="39" t="s">
        <v>121</v>
      </c>
      <c r="E1384" s="39" t="s">
        <v>122</v>
      </c>
      <c r="G1384" s="39" t="s">
        <v>125</v>
      </c>
      <c r="H1384" s="39" t="s">
        <v>162</v>
      </c>
      <c r="L1384" s="39" t="s">
        <v>4327</v>
      </c>
      <c r="M1384" s="39" t="s">
        <v>875</v>
      </c>
      <c r="N1384" s="39" t="s">
        <v>4328</v>
      </c>
      <c r="O1384" s="39" t="s">
        <v>54</v>
      </c>
      <c r="P1384" s="62"/>
      <c r="Q1384" s="152"/>
      <c r="R1384" s="40" t="s">
        <v>1604</v>
      </c>
    </row>
    <row r="1385" spans="1:18" s="39" customFormat="1" ht="13.45" customHeight="1" x14ac:dyDescent="0.2">
      <c r="A1385" s="42" t="s">
        <v>4329</v>
      </c>
      <c r="B1385" s="42" t="s">
        <v>84</v>
      </c>
      <c r="C1385" s="42" t="s">
        <v>120</v>
      </c>
      <c r="D1385" s="42" t="s">
        <v>121</v>
      </c>
      <c r="E1385" s="42" t="s">
        <v>151</v>
      </c>
      <c r="F1385" s="42" t="s">
        <v>4330</v>
      </c>
      <c r="G1385" s="42" t="s">
        <v>125</v>
      </c>
      <c r="H1385" s="42" t="s">
        <v>162</v>
      </c>
      <c r="I1385" s="42"/>
      <c r="J1385" s="42"/>
      <c r="K1385" s="42"/>
      <c r="L1385" s="42" t="s">
        <v>4331</v>
      </c>
      <c r="M1385" s="42" t="s">
        <v>875</v>
      </c>
      <c r="N1385" s="42" t="s">
        <v>4332</v>
      </c>
      <c r="O1385" s="42" t="s">
        <v>55</v>
      </c>
      <c r="P1385" s="62" t="s">
        <v>601</v>
      </c>
      <c r="Q1385" s="152">
        <f>50/3.839375</f>
        <v>13.022952954582452</v>
      </c>
      <c r="R1385" s="40">
        <v>13.022952954582452</v>
      </c>
    </row>
    <row r="1386" spans="1:18" s="39" customFormat="1" ht="13.45" customHeight="1" x14ac:dyDescent="0.2">
      <c r="A1386" s="42" t="s">
        <v>4333</v>
      </c>
      <c r="B1386" s="42" t="s">
        <v>84</v>
      </c>
      <c r="C1386" s="42" t="s">
        <v>177</v>
      </c>
      <c r="D1386" s="42" t="s">
        <v>137</v>
      </c>
      <c r="E1386" s="42" t="s">
        <v>133</v>
      </c>
      <c r="F1386" s="42" t="s">
        <v>4334</v>
      </c>
      <c r="G1386" s="42" t="s">
        <v>162</v>
      </c>
      <c r="H1386" s="42" t="s">
        <v>125</v>
      </c>
      <c r="I1386" s="42" t="s">
        <v>208</v>
      </c>
      <c r="J1386" s="42"/>
      <c r="K1386" s="42"/>
      <c r="L1386" s="42" t="s">
        <v>4335</v>
      </c>
      <c r="M1386" s="42" t="s">
        <v>4336</v>
      </c>
      <c r="N1386" s="42" t="s">
        <v>4337</v>
      </c>
      <c r="O1386" s="42" t="s">
        <v>55</v>
      </c>
      <c r="P1386" s="62" t="s">
        <v>4338</v>
      </c>
      <c r="Q1386" s="152">
        <v>1.7</v>
      </c>
      <c r="R1386" s="40">
        <v>0.45258754958406322</v>
      </c>
    </row>
    <row r="1387" spans="1:18" s="39" customFormat="1" ht="13.45" customHeight="1" x14ac:dyDescent="0.2">
      <c r="A1387" s="39" t="s">
        <v>4339</v>
      </c>
      <c r="B1387" s="39" t="s">
        <v>84</v>
      </c>
      <c r="C1387" s="39" t="s">
        <v>177</v>
      </c>
      <c r="D1387" s="39" t="s">
        <v>137</v>
      </c>
      <c r="E1387" s="39" t="s">
        <v>133</v>
      </c>
      <c r="F1387" s="39" t="s">
        <v>4340</v>
      </c>
      <c r="G1387" s="39" t="s">
        <v>162</v>
      </c>
      <c r="H1387" s="39" t="s">
        <v>208</v>
      </c>
      <c r="I1387" s="39" t="s">
        <v>125</v>
      </c>
      <c r="L1387" s="39" t="s">
        <v>4341</v>
      </c>
      <c r="M1387" s="120" t="s">
        <v>4342</v>
      </c>
      <c r="O1387" s="39" t="s">
        <v>52</v>
      </c>
      <c r="P1387" s="62" t="s">
        <v>4338</v>
      </c>
      <c r="Q1387" s="152">
        <v>2.2000000000000002</v>
      </c>
      <c r="R1387" s="40">
        <v>0.58570153475584663</v>
      </c>
    </row>
    <row r="1388" spans="1:18" s="39" customFormat="1" ht="13.45" customHeight="1" x14ac:dyDescent="0.2">
      <c r="A1388" s="39" t="s">
        <v>4343</v>
      </c>
      <c r="B1388" s="39" t="s">
        <v>84</v>
      </c>
      <c r="C1388" s="39" t="s">
        <v>226</v>
      </c>
      <c r="D1388" s="39" t="s">
        <v>160</v>
      </c>
      <c r="E1388" s="39" t="s">
        <v>133</v>
      </c>
      <c r="F1388" s="39" t="s">
        <v>4344</v>
      </c>
      <c r="G1388" s="39" t="s">
        <v>208</v>
      </c>
      <c r="H1388" s="39" t="s">
        <v>125</v>
      </c>
      <c r="I1388" s="39" t="s">
        <v>162</v>
      </c>
      <c r="L1388" s="39" t="s">
        <v>4345</v>
      </c>
      <c r="M1388" s="39" t="s">
        <v>4336</v>
      </c>
      <c r="N1388" s="76" t="s">
        <v>4346</v>
      </c>
      <c r="O1388" s="39" t="s">
        <v>52</v>
      </c>
      <c r="P1388" s="62" t="s">
        <v>4338</v>
      </c>
      <c r="Q1388" s="152">
        <v>2</v>
      </c>
      <c r="R1388" s="40">
        <v>0.5324559406871332</v>
      </c>
    </row>
    <row r="1389" spans="1:18" s="39" customFormat="1" ht="13.45" customHeight="1" x14ac:dyDescent="0.2">
      <c r="A1389" s="39" t="s">
        <v>4347</v>
      </c>
      <c r="B1389" s="39" t="s">
        <v>84</v>
      </c>
      <c r="C1389" s="39" t="s">
        <v>226</v>
      </c>
      <c r="D1389" s="39" t="s">
        <v>160</v>
      </c>
      <c r="E1389" s="39" t="s">
        <v>133</v>
      </c>
      <c r="F1389" s="39" t="s">
        <v>4348</v>
      </c>
      <c r="G1389" s="39" t="s">
        <v>208</v>
      </c>
      <c r="H1389" s="39" t="s">
        <v>125</v>
      </c>
      <c r="I1389" s="39" t="s">
        <v>162</v>
      </c>
      <c r="L1389" s="39" t="s">
        <v>4349</v>
      </c>
      <c r="M1389" s="39" t="s">
        <v>4336</v>
      </c>
      <c r="O1389" s="39" t="s">
        <v>52</v>
      </c>
      <c r="P1389" s="62" t="s">
        <v>4338</v>
      </c>
      <c r="Q1389" s="152">
        <v>3.6</v>
      </c>
      <c r="R1389" s="40">
        <v>0.95842069323683976</v>
      </c>
    </row>
    <row r="1390" spans="1:18" s="39" customFormat="1" ht="13.45" customHeight="1" x14ac:dyDescent="0.2">
      <c r="A1390" s="39" t="s">
        <v>4350</v>
      </c>
      <c r="B1390" s="39" t="s">
        <v>84</v>
      </c>
      <c r="C1390" s="39" t="s">
        <v>226</v>
      </c>
      <c r="D1390" s="39" t="s">
        <v>160</v>
      </c>
      <c r="E1390" s="39" t="s">
        <v>133</v>
      </c>
      <c r="F1390" s="39" t="s">
        <v>4351</v>
      </c>
      <c r="G1390" s="39" t="s">
        <v>208</v>
      </c>
      <c r="H1390" s="39" t="s">
        <v>125</v>
      </c>
      <c r="I1390" s="39" t="s">
        <v>162</v>
      </c>
      <c r="L1390" s="39" t="s">
        <v>4352</v>
      </c>
      <c r="M1390" s="39" t="s">
        <v>4336</v>
      </c>
      <c r="N1390" s="76" t="s">
        <v>4353</v>
      </c>
      <c r="O1390" s="39" t="s">
        <v>52</v>
      </c>
      <c r="P1390" s="62" t="s">
        <v>4338</v>
      </c>
      <c r="Q1390" s="152">
        <v>0.5</v>
      </c>
      <c r="R1390" s="40">
        <v>0.1331139851717833</v>
      </c>
    </row>
    <row r="1391" spans="1:18" s="39" customFormat="1" ht="13.45" customHeight="1" x14ac:dyDescent="0.2">
      <c r="A1391" s="39" t="s">
        <v>4354</v>
      </c>
      <c r="B1391" s="39" t="s">
        <v>84</v>
      </c>
      <c r="C1391" s="39" t="s">
        <v>280</v>
      </c>
      <c r="D1391" s="55" t="s">
        <v>121</v>
      </c>
      <c r="E1391" s="39" t="s">
        <v>166</v>
      </c>
      <c r="F1391" s="39" t="s">
        <v>4355</v>
      </c>
      <c r="G1391" s="39" t="s">
        <v>208</v>
      </c>
      <c r="H1391" s="39" t="s">
        <v>125</v>
      </c>
      <c r="I1391" s="39" t="s">
        <v>162</v>
      </c>
      <c r="L1391" s="39" t="s">
        <v>4356</v>
      </c>
      <c r="M1391" s="39" t="s">
        <v>4336</v>
      </c>
      <c r="N1391" s="76"/>
      <c r="O1391" s="39" t="s">
        <v>52</v>
      </c>
      <c r="P1391" s="62" t="s">
        <v>4338</v>
      </c>
      <c r="Q1391" s="152">
        <v>304</v>
      </c>
      <c r="R1391" s="40">
        <v>80.933302984444254</v>
      </c>
    </row>
    <row r="1392" spans="1:18" s="39" customFormat="1" ht="13.45" customHeight="1" x14ac:dyDescent="0.2">
      <c r="A1392" s="39" t="s">
        <v>4357</v>
      </c>
      <c r="B1392" s="39" t="s">
        <v>84</v>
      </c>
      <c r="C1392" s="39" t="s">
        <v>177</v>
      </c>
      <c r="D1392" s="55" t="s">
        <v>121</v>
      </c>
      <c r="E1392" s="39" t="s">
        <v>151</v>
      </c>
      <c r="F1392" s="39" t="s">
        <v>4358</v>
      </c>
      <c r="G1392" s="39" t="s">
        <v>125</v>
      </c>
      <c r="H1392" s="39" t="s">
        <v>208</v>
      </c>
      <c r="I1392" s="39" t="s">
        <v>162</v>
      </c>
      <c r="L1392" s="39" t="s">
        <v>4359</v>
      </c>
      <c r="M1392" s="39" t="s">
        <v>4336</v>
      </c>
      <c r="N1392" s="76"/>
      <c r="O1392" s="39" t="s">
        <v>52</v>
      </c>
      <c r="P1392" s="62" t="s">
        <v>4338</v>
      </c>
      <c r="Q1392" s="152">
        <v>1.5</v>
      </c>
      <c r="R1392" s="40">
        <v>0.3993419555153499</v>
      </c>
    </row>
    <row r="1393" spans="1:18" s="39" customFormat="1" ht="13.45" customHeight="1" x14ac:dyDescent="0.2">
      <c r="A1393" s="39" t="s">
        <v>4360</v>
      </c>
      <c r="B1393" s="39" t="s">
        <v>84</v>
      </c>
      <c r="C1393" s="39" t="s">
        <v>120</v>
      </c>
      <c r="D1393" s="39" t="s">
        <v>137</v>
      </c>
      <c r="E1393" s="39" t="s">
        <v>133</v>
      </c>
      <c r="F1393" s="39" t="s">
        <v>4361</v>
      </c>
      <c r="G1393" s="39" t="s">
        <v>125</v>
      </c>
      <c r="H1393" s="39" t="s">
        <v>162</v>
      </c>
      <c r="I1393" s="39" t="s">
        <v>158</v>
      </c>
      <c r="L1393" s="109" t="s">
        <v>4362</v>
      </c>
      <c r="M1393" s="120" t="s">
        <v>4363</v>
      </c>
      <c r="N1393" s="76"/>
      <c r="O1393" s="39" t="s">
        <v>55</v>
      </c>
      <c r="P1393" s="62" t="s">
        <v>65</v>
      </c>
      <c r="Q1393" s="152">
        <v>1770</v>
      </c>
      <c r="R1393" s="40">
        <v>1951.7240257013132</v>
      </c>
    </row>
    <row r="1394" spans="1:18" s="39" customFormat="1" ht="13.45" customHeight="1" x14ac:dyDescent="0.2">
      <c r="A1394" s="39" t="s">
        <v>4364</v>
      </c>
      <c r="B1394" s="39" t="s">
        <v>84</v>
      </c>
      <c r="C1394" s="39" t="s">
        <v>171</v>
      </c>
      <c r="D1394" s="39" t="s">
        <v>121</v>
      </c>
      <c r="E1394" s="39" t="s">
        <v>151</v>
      </c>
      <c r="G1394" s="39" t="s">
        <v>125</v>
      </c>
      <c r="H1394" s="39" t="s">
        <v>162</v>
      </c>
      <c r="L1394" s="109" t="s">
        <v>4365</v>
      </c>
      <c r="M1394" s="120" t="s">
        <v>4366</v>
      </c>
      <c r="O1394" s="39" t="s">
        <v>52</v>
      </c>
      <c r="P1394" s="62"/>
      <c r="Q1394" s="152"/>
      <c r="R1394" s="40" t="s">
        <v>1604</v>
      </c>
    </row>
    <row r="1395" spans="1:18" s="39" customFormat="1" ht="13.45" customHeight="1" x14ac:dyDescent="0.2">
      <c r="A1395" s="42" t="s">
        <v>4367</v>
      </c>
      <c r="B1395" s="42" t="s">
        <v>84</v>
      </c>
      <c r="C1395" s="42" t="s">
        <v>120</v>
      </c>
      <c r="D1395" s="42" t="s">
        <v>121</v>
      </c>
      <c r="E1395" s="42" t="s">
        <v>151</v>
      </c>
      <c r="F1395" s="42" t="s">
        <v>4368</v>
      </c>
      <c r="G1395" s="42" t="s">
        <v>125</v>
      </c>
      <c r="H1395" s="42" t="s">
        <v>162</v>
      </c>
      <c r="I1395" s="42"/>
      <c r="J1395" s="42"/>
      <c r="K1395" s="42"/>
      <c r="L1395" s="182" t="s">
        <v>4369</v>
      </c>
      <c r="M1395" s="171" t="s">
        <v>4370</v>
      </c>
      <c r="N1395" s="42" t="s">
        <v>4336</v>
      </c>
      <c r="O1395" s="42" t="s">
        <v>52</v>
      </c>
      <c r="P1395" s="62" t="s">
        <v>4338</v>
      </c>
      <c r="Q1395" s="152">
        <v>1</v>
      </c>
      <c r="R1395" s="40">
        <v>0.2662279703435666</v>
      </c>
    </row>
    <row r="1396" spans="1:18" s="39" customFormat="1" ht="13.45" customHeight="1" x14ac:dyDescent="0.2">
      <c r="A1396" s="39" t="s">
        <v>4371</v>
      </c>
      <c r="B1396" s="39" t="s">
        <v>84</v>
      </c>
      <c r="C1396" s="39" t="s">
        <v>171</v>
      </c>
      <c r="D1396" s="39" t="s">
        <v>121</v>
      </c>
      <c r="E1396" s="39" t="s">
        <v>151</v>
      </c>
      <c r="G1396" s="39" t="s">
        <v>125</v>
      </c>
      <c r="H1396" s="39" t="s">
        <v>162</v>
      </c>
      <c r="L1396" s="109" t="s">
        <v>4372</v>
      </c>
      <c r="M1396" s="183" t="s">
        <v>4373</v>
      </c>
      <c r="N1396" s="101" t="s">
        <v>4374</v>
      </c>
      <c r="O1396" s="39" t="s">
        <v>52</v>
      </c>
      <c r="P1396" s="62"/>
      <c r="Q1396" s="152"/>
      <c r="R1396" s="40" t="s">
        <v>1604</v>
      </c>
    </row>
    <row r="1397" spans="1:18" s="39" customFormat="1" ht="13.45" customHeight="1" x14ac:dyDescent="0.2">
      <c r="A1397" s="50" t="s">
        <v>4375</v>
      </c>
      <c r="B1397" s="50" t="s">
        <v>84</v>
      </c>
      <c r="C1397" s="50" t="s">
        <v>177</v>
      </c>
      <c r="D1397" s="50" t="s">
        <v>137</v>
      </c>
      <c r="E1397" s="50" t="s">
        <v>133</v>
      </c>
      <c r="F1397" s="50"/>
      <c r="G1397" s="50" t="s">
        <v>125</v>
      </c>
      <c r="H1397" s="50" t="s">
        <v>162</v>
      </c>
      <c r="I1397" s="50"/>
      <c r="J1397" s="50"/>
      <c r="K1397" s="50"/>
      <c r="L1397" s="113" t="s">
        <v>4376</v>
      </c>
      <c r="M1397" s="184" t="s">
        <v>4377</v>
      </c>
      <c r="N1397" s="113" t="s">
        <v>4378</v>
      </c>
      <c r="O1397" s="50" t="s">
        <v>52</v>
      </c>
      <c r="P1397" s="107"/>
      <c r="Q1397" s="153"/>
      <c r="R1397" s="40" t="s">
        <v>1604</v>
      </c>
    </row>
    <row r="1398" spans="1:18" s="39" customFormat="1" ht="13.45" customHeight="1" x14ac:dyDescent="0.2">
      <c r="A1398" s="39" t="s">
        <v>4379</v>
      </c>
      <c r="B1398" s="39" t="s">
        <v>84</v>
      </c>
      <c r="C1398" s="50" t="s">
        <v>120</v>
      </c>
      <c r="D1398" s="39" t="s">
        <v>121</v>
      </c>
      <c r="E1398" s="39" t="s">
        <v>151</v>
      </c>
      <c r="F1398" s="39" t="s">
        <v>4380</v>
      </c>
      <c r="G1398" s="39" t="s">
        <v>125</v>
      </c>
      <c r="H1398" s="39" t="s">
        <v>162</v>
      </c>
      <c r="L1398" s="39" t="s">
        <v>4381</v>
      </c>
      <c r="M1398" s="39" t="s">
        <v>4382</v>
      </c>
      <c r="O1398" s="39" t="s">
        <v>52</v>
      </c>
      <c r="P1398" s="39" t="s">
        <v>4338</v>
      </c>
      <c r="Q1398" s="40">
        <v>13500</v>
      </c>
      <c r="R1398" s="40">
        <v>3594.077599638149</v>
      </c>
    </row>
    <row r="1399" spans="1:18" s="39" customFormat="1" ht="13.45" customHeight="1" x14ac:dyDescent="0.2">
      <c r="A1399" s="42" t="s">
        <v>4383</v>
      </c>
      <c r="B1399" s="42" t="s">
        <v>84</v>
      </c>
      <c r="C1399" s="42" t="s">
        <v>120</v>
      </c>
      <c r="D1399" s="185" t="s">
        <v>121</v>
      </c>
      <c r="E1399" s="42" t="s">
        <v>151</v>
      </c>
      <c r="F1399" s="42" t="s">
        <v>4384</v>
      </c>
      <c r="G1399" s="42" t="s">
        <v>125</v>
      </c>
      <c r="H1399" s="42" t="s">
        <v>162</v>
      </c>
      <c r="I1399" s="42" t="s">
        <v>208</v>
      </c>
      <c r="J1399" s="42"/>
      <c r="K1399" s="42"/>
      <c r="L1399" s="42" t="s">
        <v>4385</v>
      </c>
      <c r="M1399" s="45" t="s">
        <v>4386</v>
      </c>
      <c r="N1399" s="42"/>
      <c r="O1399" s="42" t="s">
        <v>52</v>
      </c>
      <c r="P1399" s="39" t="s">
        <v>4338</v>
      </c>
      <c r="Q1399" s="40">
        <v>38000</v>
      </c>
      <c r="R1399" s="40">
        <v>10116.662873055531</v>
      </c>
    </row>
    <row r="1400" spans="1:18" s="39" customFormat="1" ht="13.45" customHeight="1" x14ac:dyDescent="0.2">
      <c r="A1400" s="42" t="s">
        <v>4387</v>
      </c>
      <c r="B1400" s="42" t="s">
        <v>84</v>
      </c>
      <c r="C1400" s="42" t="s">
        <v>177</v>
      </c>
      <c r="D1400" s="42" t="s">
        <v>121</v>
      </c>
      <c r="E1400" s="42" t="s">
        <v>151</v>
      </c>
      <c r="F1400" s="42"/>
      <c r="G1400" s="42" t="s">
        <v>125</v>
      </c>
      <c r="H1400" s="42" t="s">
        <v>162</v>
      </c>
      <c r="I1400" s="42"/>
      <c r="J1400" s="42"/>
      <c r="K1400" s="42"/>
      <c r="L1400" s="186" t="s">
        <v>4388</v>
      </c>
      <c r="M1400" s="45" t="s">
        <v>4389</v>
      </c>
      <c r="N1400" s="42"/>
      <c r="O1400" s="42" t="s">
        <v>52</v>
      </c>
      <c r="P1400" s="94"/>
      <c r="Q1400" s="40"/>
      <c r="R1400" s="40" t="s">
        <v>1604</v>
      </c>
    </row>
    <row r="1401" spans="1:18" s="39" customFormat="1" ht="13.45" customHeight="1" x14ac:dyDescent="0.2">
      <c r="A1401" s="39" t="s">
        <v>4390</v>
      </c>
      <c r="B1401" s="39" t="s">
        <v>84</v>
      </c>
      <c r="C1401" s="39" t="s">
        <v>120</v>
      </c>
      <c r="D1401" s="39" t="s">
        <v>160</v>
      </c>
      <c r="E1401" s="39" t="s">
        <v>151</v>
      </c>
      <c r="F1401" s="39" t="s">
        <v>4391</v>
      </c>
      <c r="G1401" s="39" t="s">
        <v>125</v>
      </c>
      <c r="H1401" s="39" t="s">
        <v>162</v>
      </c>
      <c r="L1401" s="139" t="s">
        <v>4392</v>
      </c>
      <c r="M1401" s="39" t="s">
        <v>4393</v>
      </c>
      <c r="O1401" s="39" t="s">
        <v>54</v>
      </c>
      <c r="P1401" s="94" t="s">
        <v>4338</v>
      </c>
      <c r="Q1401" s="161">
        <v>33.700000000000003</v>
      </c>
      <c r="R1401" s="40">
        <v>8.971882600578196</v>
      </c>
    </row>
    <row r="1402" spans="1:18" s="39" customFormat="1" ht="13.45" customHeight="1" x14ac:dyDescent="0.2">
      <c r="A1402" s="39" t="s">
        <v>4394</v>
      </c>
      <c r="B1402" s="39" t="s">
        <v>84</v>
      </c>
      <c r="C1402" s="39" t="s">
        <v>120</v>
      </c>
      <c r="D1402" s="39" t="s">
        <v>121</v>
      </c>
      <c r="E1402" s="39" t="s">
        <v>251</v>
      </c>
      <c r="F1402" s="39" t="s">
        <v>4395</v>
      </c>
      <c r="G1402" s="39" t="s">
        <v>162</v>
      </c>
      <c r="H1402" s="39" t="s">
        <v>125</v>
      </c>
      <c r="L1402" s="39" t="s">
        <v>4396</v>
      </c>
      <c r="M1402" s="76" t="s">
        <v>4397</v>
      </c>
      <c r="O1402" s="39" t="s">
        <v>52</v>
      </c>
      <c r="P1402" s="39" t="s">
        <v>4338</v>
      </c>
      <c r="Q1402" s="40">
        <v>100</v>
      </c>
      <c r="R1402" s="40">
        <v>26.622797034356662</v>
      </c>
    </row>
    <row r="1403" spans="1:18" s="39" customFormat="1" ht="13.45" customHeight="1" x14ac:dyDescent="0.2">
      <c r="A1403" s="39" t="s">
        <v>4398</v>
      </c>
      <c r="B1403" s="39" t="s">
        <v>84</v>
      </c>
      <c r="C1403" s="39" t="s">
        <v>120</v>
      </c>
      <c r="D1403" s="39" t="s">
        <v>121</v>
      </c>
      <c r="E1403" s="39" t="s">
        <v>151</v>
      </c>
      <c r="F1403" s="39" t="s">
        <v>4399</v>
      </c>
      <c r="G1403" s="39" t="s">
        <v>125</v>
      </c>
      <c r="H1403" s="39" t="s">
        <v>162</v>
      </c>
      <c r="L1403" s="39" t="s">
        <v>4400</v>
      </c>
      <c r="M1403" s="76" t="s">
        <v>4401</v>
      </c>
      <c r="O1403" s="39" t="s">
        <v>54</v>
      </c>
      <c r="P1403" s="39" t="s">
        <v>4338</v>
      </c>
      <c r="Q1403" s="40">
        <v>1000</v>
      </c>
      <c r="R1403" s="40">
        <v>266.2279703435666</v>
      </c>
    </row>
    <row r="1404" spans="1:18" s="39" customFormat="1" ht="13.45" customHeight="1" x14ac:dyDescent="0.2">
      <c r="A1404" s="39" t="s">
        <v>4402</v>
      </c>
      <c r="B1404" s="39" t="s">
        <v>84</v>
      </c>
      <c r="C1404" s="39" t="s">
        <v>120</v>
      </c>
      <c r="D1404" s="39" t="s">
        <v>160</v>
      </c>
      <c r="E1404" s="39" t="s">
        <v>151</v>
      </c>
      <c r="F1404" s="39" t="s">
        <v>4403</v>
      </c>
      <c r="G1404" s="39" t="s">
        <v>162</v>
      </c>
      <c r="H1404" s="39" t="s">
        <v>125</v>
      </c>
      <c r="L1404" s="39" t="s">
        <v>4404</v>
      </c>
      <c r="M1404" s="76" t="s">
        <v>4405</v>
      </c>
      <c r="O1404" s="39" t="s">
        <v>52</v>
      </c>
      <c r="P1404" s="39" t="s">
        <v>4338</v>
      </c>
      <c r="Q1404" s="40">
        <v>146</v>
      </c>
      <c r="R1404" s="40">
        <v>38.869283670160726</v>
      </c>
    </row>
    <row r="1405" spans="1:18" s="39" customFormat="1" ht="13.45" customHeight="1" x14ac:dyDescent="0.2">
      <c r="A1405" s="42" t="s">
        <v>4406</v>
      </c>
      <c r="B1405" s="42" t="s">
        <v>84</v>
      </c>
      <c r="C1405" s="42" t="s">
        <v>120</v>
      </c>
      <c r="D1405" s="42" t="s">
        <v>121</v>
      </c>
      <c r="E1405" s="42" t="s">
        <v>122</v>
      </c>
      <c r="F1405" s="42" t="s">
        <v>4407</v>
      </c>
      <c r="G1405" s="42" t="s">
        <v>125</v>
      </c>
      <c r="H1405" s="42" t="s">
        <v>162</v>
      </c>
      <c r="I1405" s="42"/>
      <c r="J1405" s="42"/>
      <c r="K1405" s="42"/>
      <c r="L1405" s="42" t="s">
        <v>4408</v>
      </c>
      <c r="M1405" s="45" t="s">
        <v>4409</v>
      </c>
      <c r="N1405" s="42"/>
      <c r="O1405" s="42" t="s">
        <v>55</v>
      </c>
      <c r="P1405" s="39" t="s">
        <v>4338</v>
      </c>
      <c r="Q1405" s="40">
        <v>2900</v>
      </c>
      <c r="R1405" s="40">
        <v>772.06111399634312</v>
      </c>
    </row>
    <row r="1406" spans="1:18" s="39" customFormat="1" ht="13.45" customHeight="1" x14ac:dyDescent="0.2">
      <c r="A1406" s="39" t="s">
        <v>4410</v>
      </c>
      <c r="B1406" s="39" t="s">
        <v>84</v>
      </c>
      <c r="C1406" s="39" t="s">
        <v>120</v>
      </c>
      <c r="D1406" s="39" t="s">
        <v>121</v>
      </c>
      <c r="E1406" s="39" t="s">
        <v>151</v>
      </c>
      <c r="F1406" s="39" t="s">
        <v>4411</v>
      </c>
      <c r="G1406" s="39" t="s">
        <v>125</v>
      </c>
      <c r="H1406" s="39" t="s">
        <v>162</v>
      </c>
      <c r="L1406" s="160" t="s">
        <v>4412</v>
      </c>
      <c r="M1406" s="76" t="s">
        <v>4413</v>
      </c>
      <c r="N1406" s="76" t="s">
        <v>4413</v>
      </c>
      <c r="O1406" s="39" t="s">
        <v>52</v>
      </c>
      <c r="P1406" s="39" t="s">
        <v>4338</v>
      </c>
      <c r="Q1406" s="40">
        <v>57</v>
      </c>
      <c r="R1406" s="40">
        <v>15.174994309583296</v>
      </c>
    </row>
    <row r="1407" spans="1:18" s="39" customFormat="1" ht="13.45" customHeight="1" x14ac:dyDescent="0.2">
      <c r="A1407" s="39" t="s">
        <v>4414</v>
      </c>
      <c r="B1407" s="39" t="s">
        <v>84</v>
      </c>
      <c r="C1407" s="39" t="s">
        <v>120</v>
      </c>
      <c r="D1407" s="39" t="s">
        <v>121</v>
      </c>
      <c r="E1407" s="39" t="s">
        <v>151</v>
      </c>
      <c r="F1407" s="39" t="s">
        <v>4415</v>
      </c>
      <c r="G1407" s="39" t="s">
        <v>125</v>
      </c>
      <c r="H1407" s="39" t="s">
        <v>162</v>
      </c>
      <c r="L1407" s="39" t="s">
        <v>4416</v>
      </c>
      <c r="M1407" s="76" t="s">
        <v>4417</v>
      </c>
      <c r="O1407" s="39" t="s">
        <v>54</v>
      </c>
      <c r="P1407" s="39" t="s">
        <v>4338</v>
      </c>
      <c r="Q1407" s="40">
        <v>1750</v>
      </c>
      <c r="R1407" s="40">
        <v>465.89894810124156</v>
      </c>
    </row>
    <row r="1408" spans="1:18" s="39" customFormat="1" ht="13.45" customHeight="1" x14ac:dyDescent="0.2">
      <c r="A1408" s="39" t="s">
        <v>4418</v>
      </c>
      <c r="B1408" s="39" t="s">
        <v>84</v>
      </c>
      <c r="C1408" s="39" t="s">
        <v>120</v>
      </c>
      <c r="D1408" s="39" t="s">
        <v>121</v>
      </c>
      <c r="E1408" s="39" t="s">
        <v>151</v>
      </c>
      <c r="G1408" s="39" t="s">
        <v>162</v>
      </c>
      <c r="H1408" s="39" t="s">
        <v>125</v>
      </c>
      <c r="L1408" s="39" t="s">
        <v>4419</v>
      </c>
      <c r="M1408" s="76" t="s">
        <v>4420</v>
      </c>
      <c r="O1408" s="39" t="s">
        <v>52</v>
      </c>
      <c r="Q1408" s="40"/>
      <c r="R1408" s="40" t="s">
        <v>1604</v>
      </c>
    </row>
    <row r="1409" spans="1:18" s="39" customFormat="1" ht="13.45" customHeight="1" x14ac:dyDescent="0.2">
      <c r="A1409" s="39" t="s">
        <v>4421</v>
      </c>
      <c r="B1409" s="39" t="s">
        <v>84</v>
      </c>
      <c r="C1409" s="39" t="s">
        <v>120</v>
      </c>
      <c r="D1409" s="55" t="s">
        <v>121</v>
      </c>
      <c r="E1409" s="39" t="s">
        <v>166</v>
      </c>
      <c r="F1409" s="39" t="s">
        <v>4395</v>
      </c>
      <c r="G1409" s="39" t="s">
        <v>153</v>
      </c>
      <c r="H1409" s="39" t="s">
        <v>134</v>
      </c>
      <c r="L1409" s="39" t="s">
        <v>4422</v>
      </c>
      <c r="M1409" s="39" t="s">
        <v>4423</v>
      </c>
      <c r="O1409" s="39" t="s">
        <v>52</v>
      </c>
      <c r="P1409" s="39" t="s">
        <v>4338</v>
      </c>
      <c r="Q1409" s="40">
        <v>100</v>
      </c>
      <c r="R1409" s="40">
        <v>26.622797034356662</v>
      </c>
    </row>
    <row r="1410" spans="1:18" s="39" customFormat="1" ht="13.45" customHeight="1" x14ac:dyDescent="0.2">
      <c r="A1410" s="42" t="s">
        <v>4424</v>
      </c>
      <c r="B1410" s="42" t="s">
        <v>84</v>
      </c>
      <c r="C1410" s="42" t="s">
        <v>120</v>
      </c>
      <c r="D1410" s="185" t="s">
        <v>121</v>
      </c>
      <c r="E1410" s="42" t="s">
        <v>199</v>
      </c>
      <c r="F1410" s="42"/>
      <c r="G1410" s="42" t="s">
        <v>152</v>
      </c>
      <c r="H1410" s="42"/>
      <c r="I1410" s="42"/>
      <c r="J1410" s="42"/>
      <c r="K1410" s="42"/>
      <c r="L1410" s="186" t="s">
        <v>4425</v>
      </c>
      <c r="M1410" s="45" t="s">
        <v>4426</v>
      </c>
      <c r="N1410" s="187" t="s">
        <v>4427</v>
      </c>
      <c r="O1410" s="42" t="s">
        <v>52</v>
      </c>
      <c r="Q1410" s="40"/>
      <c r="R1410" s="40" t="s">
        <v>1604</v>
      </c>
    </row>
    <row r="1411" spans="1:18" s="39" customFormat="1" ht="13.45" customHeight="1" x14ac:dyDescent="0.2">
      <c r="A1411" s="39" t="s">
        <v>4428</v>
      </c>
      <c r="B1411" s="39" t="s">
        <v>84</v>
      </c>
      <c r="C1411" s="39" t="s">
        <v>120</v>
      </c>
      <c r="D1411" s="39" t="s">
        <v>121</v>
      </c>
      <c r="E1411" s="39" t="s">
        <v>151</v>
      </c>
      <c r="F1411" s="39" t="s">
        <v>4429</v>
      </c>
      <c r="G1411" s="39" t="s">
        <v>125</v>
      </c>
      <c r="H1411" s="39" t="s">
        <v>162</v>
      </c>
      <c r="J1411" s="39" t="s">
        <v>124</v>
      </c>
      <c r="K1411" s="39" t="s">
        <v>124</v>
      </c>
      <c r="L1411" s="39" t="s">
        <v>4430</v>
      </c>
      <c r="M1411" s="39" t="s">
        <v>4431</v>
      </c>
      <c r="O1411" s="39" t="s">
        <v>52</v>
      </c>
      <c r="P1411" s="39" t="s">
        <v>65</v>
      </c>
      <c r="Q1411" s="39">
        <v>4180</v>
      </c>
      <c r="R1411" s="40">
        <v>4609.1561736901067</v>
      </c>
    </row>
    <row r="1412" spans="1:18" s="39" customFormat="1" ht="14.95" customHeight="1" x14ac:dyDescent="0.2">
      <c r="A1412" s="39" t="s">
        <v>4432</v>
      </c>
      <c r="B1412" s="39" t="s">
        <v>84</v>
      </c>
      <c r="C1412" s="39" t="s">
        <v>120</v>
      </c>
      <c r="D1412" s="39" t="s">
        <v>121</v>
      </c>
      <c r="E1412" s="39" t="s">
        <v>151</v>
      </c>
      <c r="F1412" s="39" t="s">
        <v>4433</v>
      </c>
      <c r="G1412" s="39" t="s">
        <v>125</v>
      </c>
      <c r="H1412" s="39" t="s">
        <v>162</v>
      </c>
      <c r="J1412" s="39" t="s">
        <v>124</v>
      </c>
      <c r="K1412" s="39" t="s">
        <v>124</v>
      </c>
      <c r="L1412" s="39" t="s">
        <v>4434</v>
      </c>
      <c r="M1412" s="39" t="s">
        <v>4431</v>
      </c>
      <c r="O1412" s="39" t="s">
        <v>52</v>
      </c>
      <c r="P1412" s="39" t="s">
        <v>65</v>
      </c>
      <c r="Q1412" s="39">
        <v>5084</v>
      </c>
      <c r="R1412" s="40">
        <v>5605.9688964211737</v>
      </c>
    </row>
    <row r="1413" spans="1:18" s="39" customFormat="1" ht="13.45" customHeight="1" x14ac:dyDescent="0.2">
      <c r="A1413" s="39" t="s">
        <v>4435</v>
      </c>
      <c r="B1413" s="39" t="s">
        <v>84</v>
      </c>
      <c r="C1413" s="39" t="s">
        <v>120</v>
      </c>
      <c r="D1413" s="39" t="s">
        <v>137</v>
      </c>
      <c r="E1413" s="39" t="s">
        <v>133</v>
      </c>
      <c r="F1413" s="39" t="s">
        <v>4436</v>
      </c>
      <c r="G1413" s="39" t="s">
        <v>208</v>
      </c>
      <c r="H1413" s="39" t="s">
        <v>158</v>
      </c>
      <c r="J1413" s="39" t="s">
        <v>124</v>
      </c>
      <c r="K1413" s="39" t="s">
        <v>124</v>
      </c>
      <c r="L1413" s="39" t="s">
        <v>4437</v>
      </c>
      <c r="M1413" s="39" t="s">
        <v>4431</v>
      </c>
      <c r="O1413" s="39" t="s">
        <v>52</v>
      </c>
      <c r="P1413" s="39" t="s">
        <v>65</v>
      </c>
      <c r="Q1413" s="39">
        <v>4626</v>
      </c>
      <c r="R1413" s="40">
        <v>5100.9465214091952</v>
      </c>
    </row>
    <row r="1414" spans="1:18" s="39" customFormat="1" ht="13.45" customHeight="1" x14ac:dyDescent="0.2">
      <c r="A1414" s="42" t="s">
        <v>4438</v>
      </c>
      <c r="B1414" s="42" t="s">
        <v>84</v>
      </c>
      <c r="C1414" s="42" t="s">
        <v>120</v>
      </c>
      <c r="D1414" s="42" t="s">
        <v>121</v>
      </c>
      <c r="E1414" s="42" t="s">
        <v>251</v>
      </c>
      <c r="F1414" s="42" t="s">
        <v>4439</v>
      </c>
      <c r="G1414" s="42" t="s">
        <v>125</v>
      </c>
      <c r="H1414" s="42" t="s">
        <v>162</v>
      </c>
      <c r="I1414" s="42"/>
      <c r="J1414" s="42" t="s">
        <v>124</v>
      </c>
      <c r="K1414" s="42" t="s">
        <v>124</v>
      </c>
      <c r="L1414" s="42" t="s">
        <v>4440</v>
      </c>
      <c r="M1414" s="42" t="s">
        <v>4431</v>
      </c>
      <c r="N1414" s="42"/>
      <c r="O1414" s="42" t="s">
        <v>52</v>
      </c>
      <c r="P1414" s="42" t="s">
        <v>65</v>
      </c>
      <c r="Q1414" s="42">
        <v>2445</v>
      </c>
      <c r="R1414" s="40">
        <v>2696.0255609263904</v>
      </c>
    </row>
    <row r="1415" spans="1:18" s="39" customFormat="1" ht="13.45" customHeight="1" x14ac:dyDescent="0.2">
      <c r="A1415" s="39" t="s">
        <v>4441</v>
      </c>
      <c r="B1415" s="39" t="s">
        <v>84</v>
      </c>
      <c r="C1415" s="39" t="s">
        <v>171</v>
      </c>
      <c r="D1415" s="39" t="s">
        <v>137</v>
      </c>
      <c r="E1415" s="39" t="s">
        <v>133</v>
      </c>
      <c r="G1415" s="39" t="s">
        <v>208</v>
      </c>
      <c r="H1415" s="39" t="s">
        <v>158</v>
      </c>
      <c r="J1415" s="39" t="s">
        <v>124</v>
      </c>
      <c r="K1415" s="39" t="s">
        <v>124</v>
      </c>
      <c r="L1415" s="39" t="s">
        <v>4442</v>
      </c>
      <c r="M1415" s="39" t="s">
        <v>4431</v>
      </c>
      <c r="O1415" s="39" t="s">
        <v>52</v>
      </c>
      <c r="Q1415" s="40"/>
      <c r="R1415" s="40" t="s">
        <v>1604</v>
      </c>
    </row>
    <row r="1416" spans="1:18" s="39" customFormat="1" ht="13.45" customHeight="1" x14ac:dyDescent="0.2">
      <c r="A1416" s="39" t="s">
        <v>4443</v>
      </c>
      <c r="B1416" s="39" t="s">
        <v>84</v>
      </c>
      <c r="C1416" s="39" t="s">
        <v>171</v>
      </c>
      <c r="D1416" s="39" t="s">
        <v>121</v>
      </c>
      <c r="E1416" s="39" t="s">
        <v>251</v>
      </c>
      <c r="G1416" s="39" t="s">
        <v>125</v>
      </c>
      <c r="H1416" s="39" t="s">
        <v>162</v>
      </c>
      <c r="J1416" s="39" t="s">
        <v>124</v>
      </c>
      <c r="K1416" s="39" t="s">
        <v>124</v>
      </c>
      <c r="L1416" s="39" t="s">
        <v>4444</v>
      </c>
      <c r="M1416" s="39" t="s">
        <v>4431</v>
      </c>
      <c r="O1416" s="39" t="s">
        <v>52</v>
      </c>
      <c r="Q1416" s="40"/>
      <c r="R1416" s="40" t="s">
        <v>1604</v>
      </c>
    </row>
    <row r="1417" spans="1:18" s="39" customFormat="1" ht="13.45" customHeight="1" x14ac:dyDescent="0.2">
      <c r="A1417" s="39" t="s">
        <v>4445</v>
      </c>
      <c r="B1417" s="39" t="s">
        <v>84</v>
      </c>
      <c r="C1417" s="39" t="s">
        <v>171</v>
      </c>
      <c r="D1417" s="39" t="s">
        <v>121</v>
      </c>
      <c r="E1417" s="39" t="s">
        <v>251</v>
      </c>
      <c r="G1417" s="39" t="s">
        <v>125</v>
      </c>
      <c r="H1417" s="39" t="s">
        <v>162</v>
      </c>
      <c r="J1417" s="39" t="s">
        <v>124</v>
      </c>
      <c r="K1417" s="39" t="s">
        <v>124</v>
      </c>
      <c r="L1417" s="39" t="s">
        <v>4446</v>
      </c>
      <c r="M1417" s="39" t="s">
        <v>4431</v>
      </c>
      <c r="O1417" s="39" t="s">
        <v>52</v>
      </c>
      <c r="Q1417" s="40"/>
      <c r="R1417" s="40" t="s">
        <v>1604</v>
      </c>
    </row>
    <row r="1418" spans="1:18" s="39" customFormat="1" ht="13.45" customHeight="1" x14ac:dyDescent="0.2">
      <c r="A1418" s="42" t="s">
        <v>4447</v>
      </c>
      <c r="B1418" s="42" t="s">
        <v>84</v>
      </c>
      <c r="C1418" s="42" t="s">
        <v>280</v>
      </c>
      <c r="D1418" s="42" t="s">
        <v>121</v>
      </c>
      <c r="E1418" s="42" t="s">
        <v>166</v>
      </c>
      <c r="F1418" s="42" t="s">
        <v>4448</v>
      </c>
      <c r="G1418" s="42" t="s">
        <v>208</v>
      </c>
      <c r="H1418" s="42" t="s">
        <v>153</v>
      </c>
      <c r="I1418" s="42" t="s">
        <v>162</v>
      </c>
      <c r="J1418" s="42" t="s">
        <v>124</v>
      </c>
      <c r="K1418" s="42" t="s">
        <v>124</v>
      </c>
      <c r="L1418" s="42" t="s">
        <v>4449</v>
      </c>
      <c r="M1418" s="43" t="s">
        <v>4450</v>
      </c>
      <c r="N1418" s="43" t="s">
        <v>4336</v>
      </c>
      <c r="O1418" s="42" t="s">
        <v>52</v>
      </c>
      <c r="P1418" s="43" t="s">
        <v>4338</v>
      </c>
      <c r="Q1418" s="43">
        <v>37.5</v>
      </c>
      <c r="R1418" s="40">
        <v>9.9835488878837477</v>
      </c>
    </row>
    <row r="1419" spans="1:18" s="39" customFormat="1" ht="13.45" customHeight="1" x14ac:dyDescent="0.2">
      <c r="A1419" s="42" t="s">
        <v>4451</v>
      </c>
      <c r="B1419" s="42" t="s">
        <v>84</v>
      </c>
      <c r="C1419" s="42" t="s">
        <v>280</v>
      </c>
      <c r="D1419" s="42" t="s">
        <v>121</v>
      </c>
      <c r="E1419" s="42" t="s">
        <v>151</v>
      </c>
      <c r="F1419" s="42" t="s">
        <v>4452</v>
      </c>
      <c r="G1419" s="42" t="s">
        <v>151</v>
      </c>
      <c r="H1419" s="42" t="s">
        <v>152</v>
      </c>
      <c r="I1419" s="42" t="s">
        <v>125</v>
      </c>
      <c r="J1419" s="42" t="s">
        <v>124</v>
      </c>
      <c r="K1419" s="42" t="s">
        <v>124</v>
      </c>
      <c r="L1419" s="42" t="s">
        <v>4453</v>
      </c>
      <c r="M1419" s="45" t="s">
        <v>4454</v>
      </c>
      <c r="N1419" s="43" t="s">
        <v>4336</v>
      </c>
      <c r="O1419" s="42" t="s">
        <v>52</v>
      </c>
      <c r="P1419" s="43" t="s">
        <v>4338</v>
      </c>
      <c r="Q1419" s="43">
        <v>32.5</v>
      </c>
      <c r="R1419" s="40">
        <v>8.6524090361659152</v>
      </c>
    </row>
    <row r="1420" spans="1:18" s="39" customFormat="1" ht="13.45" customHeight="1" x14ac:dyDescent="0.2">
      <c r="A1420" s="42" t="s">
        <v>4455</v>
      </c>
      <c r="B1420" s="42" t="s">
        <v>84</v>
      </c>
      <c r="C1420" s="42" t="s">
        <v>280</v>
      </c>
      <c r="D1420" s="42" t="s">
        <v>121</v>
      </c>
      <c r="E1420" s="42" t="s">
        <v>199</v>
      </c>
      <c r="F1420" s="42" t="s">
        <v>4456</v>
      </c>
      <c r="G1420" s="42" t="s">
        <v>152</v>
      </c>
      <c r="H1420" s="42" t="s">
        <v>153</v>
      </c>
      <c r="I1420" s="42" t="s">
        <v>125</v>
      </c>
      <c r="J1420" s="42" t="s">
        <v>124</v>
      </c>
      <c r="K1420" s="42" t="s">
        <v>124</v>
      </c>
      <c r="L1420" s="42" t="s">
        <v>4457</v>
      </c>
      <c r="M1420" s="45" t="s">
        <v>4458</v>
      </c>
      <c r="N1420" s="43" t="s">
        <v>4336</v>
      </c>
      <c r="O1420" s="42" t="s">
        <v>52</v>
      </c>
      <c r="P1420" s="43" t="s">
        <v>4338</v>
      </c>
      <c r="Q1420" s="43">
        <v>27</v>
      </c>
      <c r="R1420" s="40">
        <v>7.1881551992762986</v>
      </c>
    </row>
    <row r="1421" spans="1:18" s="39" customFormat="1" ht="13.45" customHeight="1" x14ac:dyDescent="0.2">
      <c r="A1421" s="42" t="s">
        <v>4459</v>
      </c>
      <c r="B1421" s="42" t="s">
        <v>84</v>
      </c>
      <c r="C1421" s="42" t="s">
        <v>280</v>
      </c>
      <c r="D1421" s="42" t="s">
        <v>121</v>
      </c>
      <c r="E1421" s="42" t="s">
        <v>151</v>
      </c>
      <c r="F1421" s="42" t="s">
        <v>4460</v>
      </c>
      <c r="G1421" s="42" t="s">
        <v>151</v>
      </c>
      <c r="H1421" s="42" t="s">
        <v>162</v>
      </c>
      <c r="I1421" s="42" t="s">
        <v>125</v>
      </c>
      <c r="J1421" s="42" t="s">
        <v>124</v>
      </c>
      <c r="K1421" s="42" t="s">
        <v>124</v>
      </c>
      <c r="L1421" s="42" t="s">
        <v>4461</v>
      </c>
      <c r="M1421" s="45" t="s">
        <v>4462</v>
      </c>
      <c r="N1421" s="43" t="s">
        <v>4336</v>
      </c>
      <c r="O1421" s="42" t="s">
        <v>52</v>
      </c>
      <c r="P1421" s="43" t="s">
        <v>4338</v>
      </c>
      <c r="Q1421" s="43">
        <v>38</v>
      </c>
      <c r="R1421" s="40">
        <v>10.116662873055532</v>
      </c>
    </row>
    <row r="1422" spans="1:18" s="39" customFormat="1" ht="13.45" customHeight="1" x14ac:dyDescent="0.2">
      <c r="A1422" s="42" t="s">
        <v>4463</v>
      </c>
      <c r="B1422" s="42" t="s">
        <v>84</v>
      </c>
      <c r="C1422" s="42" t="s">
        <v>280</v>
      </c>
      <c r="D1422" s="42" t="s">
        <v>121</v>
      </c>
      <c r="E1422" s="42" t="s">
        <v>151</v>
      </c>
      <c r="F1422" s="42" t="s">
        <v>4464</v>
      </c>
      <c r="G1422" s="42" t="s">
        <v>151</v>
      </c>
      <c r="H1422" s="43"/>
      <c r="I1422" s="43"/>
      <c r="J1422" s="42" t="s">
        <v>124</v>
      </c>
      <c r="K1422" s="42" t="s">
        <v>124</v>
      </c>
      <c r="L1422" s="42" t="s">
        <v>4465</v>
      </c>
      <c r="M1422" s="45" t="s">
        <v>4466</v>
      </c>
      <c r="N1422" s="43" t="s">
        <v>4336</v>
      </c>
      <c r="O1422" s="42" t="s">
        <v>52</v>
      </c>
      <c r="P1422" s="43" t="s">
        <v>4338</v>
      </c>
      <c r="Q1422" s="43">
        <v>12.9</v>
      </c>
      <c r="R1422" s="40">
        <v>3.4343408174320094</v>
      </c>
    </row>
    <row r="1423" spans="1:18" s="39" customFormat="1" ht="13.45" customHeight="1" x14ac:dyDescent="0.2">
      <c r="A1423" s="42" t="s">
        <v>4467</v>
      </c>
      <c r="B1423" s="42" t="s">
        <v>84</v>
      </c>
      <c r="C1423" s="42" t="s">
        <v>280</v>
      </c>
      <c r="D1423" s="42" t="s">
        <v>121</v>
      </c>
      <c r="E1423" s="42" t="s">
        <v>133</v>
      </c>
      <c r="F1423" s="42" t="s">
        <v>4468</v>
      </c>
      <c r="G1423" s="42" t="s">
        <v>153</v>
      </c>
      <c r="H1423" s="42" t="s">
        <v>208</v>
      </c>
      <c r="I1423" s="42" t="s">
        <v>158</v>
      </c>
      <c r="J1423" s="42" t="s">
        <v>124</v>
      </c>
      <c r="K1423" s="42" t="s">
        <v>124</v>
      </c>
      <c r="L1423" s="42" t="s">
        <v>4469</v>
      </c>
      <c r="M1423" s="45" t="s">
        <v>4470</v>
      </c>
      <c r="N1423" s="43" t="s">
        <v>4336</v>
      </c>
      <c r="O1423" s="42" t="s">
        <v>52</v>
      </c>
      <c r="P1423" s="43" t="s">
        <v>4338</v>
      </c>
      <c r="Q1423" s="43">
        <v>5.8</v>
      </c>
      <c r="R1423" s="40">
        <v>1.5441222279926863</v>
      </c>
    </row>
    <row r="1424" spans="1:18" s="39" customFormat="1" ht="13.45" customHeight="1" x14ac:dyDescent="0.2">
      <c r="A1424" s="42" t="s">
        <v>4471</v>
      </c>
      <c r="B1424" s="42" t="s">
        <v>84</v>
      </c>
      <c r="C1424" s="42" t="s">
        <v>280</v>
      </c>
      <c r="D1424" s="42" t="s">
        <v>121</v>
      </c>
      <c r="E1424" s="42" t="s">
        <v>151</v>
      </c>
      <c r="F1424" s="42" t="s">
        <v>4472</v>
      </c>
      <c r="G1424" s="42" t="s">
        <v>151</v>
      </c>
      <c r="H1424" s="42" t="s">
        <v>162</v>
      </c>
      <c r="I1424" s="42" t="s">
        <v>125</v>
      </c>
      <c r="J1424" s="42" t="s">
        <v>124</v>
      </c>
      <c r="K1424" s="42" t="s">
        <v>124</v>
      </c>
      <c r="L1424" s="42" t="s">
        <v>4473</v>
      </c>
      <c r="M1424" s="45" t="s">
        <v>4474</v>
      </c>
      <c r="N1424" s="43" t="s">
        <v>4336</v>
      </c>
      <c r="O1424" s="42" t="s">
        <v>52</v>
      </c>
      <c r="P1424" s="43" t="s">
        <v>4338</v>
      </c>
      <c r="Q1424" s="43">
        <v>41</v>
      </c>
      <c r="R1424" s="40">
        <v>10.91534678408623</v>
      </c>
    </row>
    <row r="1425" spans="1:18" s="39" customFormat="1" ht="13.45" customHeight="1" x14ac:dyDescent="0.2">
      <c r="A1425" s="42" t="s">
        <v>4475</v>
      </c>
      <c r="B1425" s="42" t="s">
        <v>84</v>
      </c>
      <c r="C1425" s="42" t="s">
        <v>280</v>
      </c>
      <c r="D1425" s="42" t="s">
        <v>121</v>
      </c>
      <c r="E1425" s="42" t="s">
        <v>166</v>
      </c>
      <c r="F1425" s="42" t="s">
        <v>4476</v>
      </c>
      <c r="G1425" s="42" t="s">
        <v>208</v>
      </c>
      <c r="H1425" s="42" t="s">
        <v>162</v>
      </c>
      <c r="I1425" s="42" t="s">
        <v>125</v>
      </c>
      <c r="J1425" s="42" t="s">
        <v>124</v>
      </c>
      <c r="K1425" s="42" t="s">
        <v>124</v>
      </c>
      <c r="L1425" s="42" t="s">
        <v>4477</v>
      </c>
      <c r="M1425" s="45" t="s">
        <v>4478</v>
      </c>
      <c r="N1425" s="43" t="s">
        <v>4336</v>
      </c>
      <c r="O1425" s="42" t="s">
        <v>52</v>
      </c>
      <c r="P1425" s="43" t="s">
        <v>4338</v>
      </c>
      <c r="Q1425" s="43">
        <v>7.5</v>
      </c>
      <c r="R1425" s="40">
        <v>1.9967097775767495</v>
      </c>
    </row>
    <row r="1426" spans="1:18" s="39" customFormat="1" ht="13.45" customHeight="1" x14ac:dyDescent="0.2">
      <c r="A1426" s="42" t="s">
        <v>4479</v>
      </c>
      <c r="B1426" s="42" t="s">
        <v>84</v>
      </c>
      <c r="C1426" s="42" t="s">
        <v>280</v>
      </c>
      <c r="D1426" s="42" t="s">
        <v>121</v>
      </c>
      <c r="E1426" s="42" t="s">
        <v>166</v>
      </c>
      <c r="F1426" s="42" t="s">
        <v>4480</v>
      </c>
      <c r="G1426" s="42" t="s">
        <v>208</v>
      </c>
      <c r="H1426" s="42" t="s">
        <v>162</v>
      </c>
      <c r="I1426" s="42" t="s">
        <v>125</v>
      </c>
      <c r="J1426" s="42" t="s">
        <v>124</v>
      </c>
      <c r="K1426" s="42" t="s">
        <v>124</v>
      </c>
      <c r="L1426" s="42" t="s">
        <v>4481</v>
      </c>
      <c r="M1426" s="45" t="s">
        <v>4482</v>
      </c>
      <c r="N1426" s="43" t="s">
        <v>4336</v>
      </c>
      <c r="O1426" s="42" t="s">
        <v>52</v>
      </c>
      <c r="P1426" s="43" t="s">
        <v>4338</v>
      </c>
      <c r="Q1426" s="44">
        <v>8.1999999999999993</v>
      </c>
      <c r="R1426" s="40">
        <v>2.1830693568172461</v>
      </c>
    </row>
    <row r="1427" spans="1:18" s="39" customFormat="1" ht="13.45" customHeight="1" x14ac:dyDescent="0.2">
      <c r="A1427" s="43" t="s">
        <v>4483</v>
      </c>
      <c r="B1427" s="43" t="s">
        <v>84</v>
      </c>
      <c r="C1427" s="43" t="s">
        <v>177</v>
      </c>
      <c r="D1427" s="43" t="s">
        <v>121</v>
      </c>
      <c r="E1427" s="43" t="s">
        <v>151</v>
      </c>
      <c r="F1427" s="43" t="s">
        <v>4484</v>
      </c>
      <c r="G1427" s="43" t="s">
        <v>162</v>
      </c>
      <c r="H1427" s="43" t="s">
        <v>125</v>
      </c>
      <c r="I1427" s="43"/>
      <c r="J1427" s="43" t="s">
        <v>124</v>
      </c>
      <c r="K1427" s="43" t="s">
        <v>124</v>
      </c>
      <c r="L1427" s="188" t="s">
        <v>4485</v>
      </c>
      <c r="M1427" s="43" t="s">
        <v>4486</v>
      </c>
      <c r="N1427" s="43" t="s">
        <v>4336</v>
      </c>
      <c r="O1427" s="43" t="s">
        <v>55</v>
      </c>
      <c r="P1427" s="43" t="s">
        <v>4338</v>
      </c>
      <c r="Q1427" s="43">
        <v>20</v>
      </c>
      <c r="R1427" s="40">
        <v>5.324559406871332</v>
      </c>
    </row>
    <row r="1428" spans="1:18" s="39" customFormat="1" ht="13.45" customHeight="1" x14ac:dyDescent="0.2">
      <c r="A1428" s="43" t="s">
        <v>4487</v>
      </c>
      <c r="B1428" s="43" t="s">
        <v>84</v>
      </c>
      <c r="C1428" s="43" t="str">
        <f>$C$22</f>
        <v>Grant/Loan (including interest-free loans)</v>
      </c>
      <c r="D1428" s="43" t="s">
        <v>121</v>
      </c>
      <c r="E1428" s="43" t="s">
        <v>151</v>
      </c>
      <c r="F1428" s="43" t="s">
        <v>4488</v>
      </c>
      <c r="G1428" s="43" t="s">
        <v>125</v>
      </c>
      <c r="H1428" s="43" t="s">
        <v>162</v>
      </c>
      <c r="I1428" s="43"/>
      <c r="J1428" s="43" t="s">
        <v>124</v>
      </c>
      <c r="K1428" s="43" t="s">
        <v>124</v>
      </c>
      <c r="L1428" s="43" t="s">
        <v>4489</v>
      </c>
      <c r="M1428" s="43" t="s">
        <v>4490</v>
      </c>
      <c r="N1428" s="43" t="s">
        <v>4336</v>
      </c>
      <c r="O1428" s="43" t="s">
        <v>52</v>
      </c>
      <c r="P1428" s="43" t="s">
        <v>4338</v>
      </c>
      <c r="Q1428" s="43">
        <v>500</v>
      </c>
      <c r="R1428" s="40">
        <v>133.1139851717833</v>
      </c>
    </row>
    <row r="1429" spans="1:18" s="39" customFormat="1" ht="13.45" customHeight="1" x14ac:dyDescent="0.2">
      <c r="A1429" s="39" t="s">
        <v>4491</v>
      </c>
      <c r="B1429" s="39" t="s">
        <v>85</v>
      </c>
      <c r="C1429" s="39" t="s">
        <v>177</v>
      </c>
      <c r="D1429" s="39" t="s">
        <v>160</v>
      </c>
      <c r="E1429" s="39" t="s">
        <v>251</v>
      </c>
      <c r="G1429" s="39" t="s">
        <v>125</v>
      </c>
      <c r="H1429" s="39" t="s">
        <v>162</v>
      </c>
      <c r="L1429" s="39" t="s">
        <v>4492</v>
      </c>
      <c r="O1429" s="39" t="s">
        <v>52</v>
      </c>
      <c r="Q1429" s="40"/>
      <c r="R1429" s="40" t="s">
        <v>1604</v>
      </c>
    </row>
    <row r="1430" spans="1:18" s="39" customFormat="1" ht="13.45" customHeight="1" x14ac:dyDescent="0.2">
      <c r="A1430" s="39" t="s">
        <v>4493</v>
      </c>
      <c r="B1430" s="39" t="s">
        <v>85</v>
      </c>
      <c r="C1430" s="39" t="s">
        <v>177</v>
      </c>
      <c r="D1430" s="39" t="s">
        <v>160</v>
      </c>
      <c r="E1430" s="39" t="s">
        <v>122</v>
      </c>
      <c r="G1430" s="39" t="s">
        <v>125</v>
      </c>
      <c r="H1430" s="39" t="s">
        <v>162</v>
      </c>
      <c r="L1430" s="39" t="s">
        <v>4494</v>
      </c>
      <c r="O1430" s="39" t="s">
        <v>53</v>
      </c>
      <c r="Q1430" s="40"/>
      <c r="R1430" s="40" t="s">
        <v>1604</v>
      </c>
    </row>
    <row r="1431" spans="1:18" s="39" customFormat="1" ht="13.45" customHeight="1" x14ac:dyDescent="0.2">
      <c r="A1431" s="39" t="s">
        <v>4495</v>
      </c>
      <c r="B1431" s="39" t="s">
        <v>85</v>
      </c>
      <c r="C1431" s="39" t="s">
        <v>177</v>
      </c>
      <c r="D1431" s="39" t="s">
        <v>137</v>
      </c>
      <c r="E1431" s="39" t="s">
        <v>133</v>
      </c>
      <c r="G1431" s="39" t="s">
        <v>125</v>
      </c>
      <c r="H1431" s="39" t="s">
        <v>152</v>
      </c>
      <c r="L1431" s="39" t="s">
        <v>4496</v>
      </c>
      <c r="O1431" s="39" t="s">
        <v>52</v>
      </c>
      <c r="Q1431" s="40"/>
      <c r="R1431" s="40" t="s">
        <v>1604</v>
      </c>
    </row>
    <row r="1432" spans="1:18" s="39" customFormat="1" ht="13.45" customHeight="1" x14ac:dyDescent="0.2">
      <c r="A1432" s="39" t="s">
        <v>4499</v>
      </c>
      <c r="B1432" s="39" t="s">
        <v>85</v>
      </c>
      <c r="C1432" s="39" t="s">
        <v>280</v>
      </c>
      <c r="D1432" s="39" t="s">
        <v>137</v>
      </c>
      <c r="E1432" s="39" t="s">
        <v>133</v>
      </c>
      <c r="F1432" s="39" t="s">
        <v>4500</v>
      </c>
      <c r="G1432" s="39" t="s">
        <v>153</v>
      </c>
      <c r="J1432" s="39" t="s">
        <v>124</v>
      </c>
      <c r="K1432" s="39" t="s">
        <v>5557</v>
      </c>
      <c r="L1432" s="39" t="s">
        <v>4501</v>
      </c>
      <c r="M1432" s="120" t="s">
        <v>4502</v>
      </c>
      <c r="O1432" s="39" t="s">
        <v>52</v>
      </c>
      <c r="P1432" s="39" t="s">
        <v>65</v>
      </c>
      <c r="Q1432" s="40">
        <v>87</v>
      </c>
      <c r="R1432" s="40">
        <v>95.932197873454385</v>
      </c>
    </row>
    <row r="1433" spans="1:18" s="39" customFormat="1" ht="13.45" customHeight="1" x14ac:dyDescent="0.2">
      <c r="A1433" s="39" t="s">
        <v>4503</v>
      </c>
      <c r="B1433" s="39" t="s">
        <v>85</v>
      </c>
      <c r="C1433" s="39" t="s">
        <v>120</v>
      </c>
      <c r="D1433" s="55" t="s">
        <v>121</v>
      </c>
      <c r="E1433" s="39" t="s">
        <v>172</v>
      </c>
      <c r="F1433" s="39" t="s">
        <v>4504</v>
      </c>
      <c r="G1433" s="39" t="s">
        <v>153</v>
      </c>
      <c r="H1433" s="39" t="s">
        <v>125</v>
      </c>
      <c r="I1433" s="39" t="s">
        <v>162</v>
      </c>
      <c r="J1433" s="39" t="s">
        <v>124</v>
      </c>
      <c r="K1433" s="39" t="s">
        <v>5557</v>
      </c>
      <c r="L1433" s="39" t="s">
        <v>4505</v>
      </c>
      <c r="M1433" s="120" t="s">
        <v>4502</v>
      </c>
      <c r="O1433" s="39" t="s">
        <v>52</v>
      </c>
      <c r="P1433" s="39" t="s">
        <v>65</v>
      </c>
      <c r="Q1433" s="40">
        <v>21</v>
      </c>
      <c r="R1433" s="40">
        <v>23.156047762557954</v>
      </c>
    </row>
    <row r="1434" spans="1:18" s="39" customFormat="1" ht="13.45" customHeight="1" x14ac:dyDescent="0.2">
      <c r="A1434" s="39" t="s">
        <v>4506</v>
      </c>
      <c r="B1434" s="39" t="s">
        <v>85</v>
      </c>
      <c r="C1434" s="39" t="s">
        <v>177</v>
      </c>
      <c r="D1434" s="55" t="s">
        <v>121</v>
      </c>
      <c r="E1434" s="39" t="s">
        <v>172</v>
      </c>
      <c r="F1434" s="39" t="s">
        <v>4507</v>
      </c>
      <c r="G1434" s="39" t="s">
        <v>153</v>
      </c>
      <c r="J1434" s="39" t="s">
        <v>124</v>
      </c>
      <c r="K1434" s="39" t="s">
        <v>5557</v>
      </c>
      <c r="L1434" s="39" t="s">
        <v>4508</v>
      </c>
      <c r="M1434" s="120" t="s">
        <v>4502</v>
      </c>
      <c r="O1434" s="39" t="s">
        <v>52</v>
      </c>
      <c r="P1434" s="39" t="s">
        <v>65</v>
      </c>
      <c r="Q1434" s="40">
        <v>112</v>
      </c>
      <c r="R1434" s="40">
        <v>123.49892140030909</v>
      </c>
    </row>
    <row r="1435" spans="1:18" s="39" customFormat="1" ht="13.45" customHeight="1" x14ac:dyDescent="0.2">
      <c r="A1435" s="39" t="s">
        <v>4509</v>
      </c>
      <c r="B1435" s="39" t="s">
        <v>85</v>
      </c>
      <c r="C1435" s="39" t="s">
        <v>120</v>
      </c>
      <c r="D1435" s="39" t="s">
        <v>160</v>
      </c>
      <c r="E1435" s="39" t="s">
        <v>133</v>
      </c>
      <c r="F1435" s="39" t="s">
        <v>4510</v>
      </c>
      <c r="G1435" s="39" t="s">
        <v>153</v>
      </c>
      <c r="J1435" s="39" t="s">
        <v>124</v>
      </c>
      <c r="K1435" s="39" t="s">
        <v>5557</v>
      </c>
      <c r="L1435" s="39" t="s">
        <v>4511</v>
      </c>
      <c r="M1435" s="120" t="s">
        <v>4502</v>
      </c>
      <c r="O1435" s="39" t="s">
        <v>52</v>
      </c>
      <c r="P1435" s="39" t="s">
        <v>65</v>
      </c>
      <c r="Q1435" s="40">
        <v>32</v>
      </c>
      <c r="R1435" s="40">
        <v>35.285406114374027</v>
      </c>
    </row>
    <row r="1436" spans="1:18" s="39" customFormat="1" ht="13.45" customHeight="1" x14ac:dyDescent="0.2">
      <c r="A1436" s="39" t="s">
        <v>4512</v>
      </c>
      <c r="B1436" s="39" t="s">
        <v>85</v>
      </c>
      <c r="C1436" s="39" t="s">
        <v>120</v>
      </c>
      <c r="D1436" s="55" t="s">
        <v>121</v>
      </c>
      <c r="E1436" s="39" t="s">
        <v>147</v>
      </c>
      <c r="F1436" s="39" t="s">
        <v>4513</v>
      </c>
      <c r="G1436" s="39" t="s">
        <v>125</v>
      </c>
      <c r="H1436" s="39" t="s">
        <v>162</v>
      </c>
      <c r="J1436" s="39" t="s">
        <v>124</v>
      </c>
      <c r="K1436" s="39" t="s">
        <v>5557</v>
      </c>
      <c r="L1436" s="39" t="s">
        <v>4514</v>
      </c>
      <c r="M1436" s="120" t="s">
        <v>4502</v>
      </c>
      <c r="O1436" s="39" t="s">
        <v>52</v>
      </c>
      <c r="P1436" s="39" t="s">
        <v>65</v>
      </c>
      <c r="Q1436" s="40">
        <v>715</v>
      </c>
      <c r="R1436" s="40">
        <v>788.40829286804467</v>
      </c>
    </row>
    <row r="1437" spans="1:18" s="39" customFormat="1" ht="13.45" customHeight="1" x14ac:dyDescent="0.2">
      <c r="A1437" s="39" t="s">
        <v>4515</v>
      </c>
      <c r="B1437" s="39" t="s">
        <v>85</v>
      </c>
      <c r="C1437" s="39" t="s">
        <v>171</v>
      </c>
      <c r="D1437" s="39" t="s">
        <v>137</v>
      </c>
      <c r="E1437" s="39" t="s">
        <v>133</v>
      </c>
      <c r="F1437" s="39">
        <v>0</v>
      </c>
      <c r="G1437" s="39" t="s">
        <v>152</v>
      </c>
      <c r="H1437" s="39" t="s">
        <v>125</v>
      </c>
      <c r="J1437" s="39" t="s">
        <v>124</v>
      </c>
      <c r="K1437" s="39" t="s">
        <v>5557</v>
      </c>
      <c r="L1437" s="62" t="s">
        <v>4516</v>
      </c>
      <c r="M1437" s="120" t="s">
        <v>4502</v>
      </c>
      <c r="O1437" s="39" t="s">
        <v>52</v>
      </c>
      <c r="P1437" s="39" t="s">
        <v>65</v>
      </c>
      <c r="Q1437" s="40"/>
      <c r="R1437" s="40">
        <v>0</v>
      </c>
    </row>
    <row r="1438" spans="1:18" s="39" customFormat="1" ht="13.45" customHeight="1" x14ac:dyDescent="0.2">
      <c r="A1438" s="39" t="s">
        <v>4517</v>
      </c>
      <c r="B1438" s="39" t="s">
        <v>85</v>
      </c>
      <c r="C1438" s="39" t="s">
        <v>120</v>
      </c>
      <c r="D1438" s="39" t="s">
        <v>137</v>
      </c>
      <c r="E1438" s="39" t="s">
        <v>133</v>
      </c>
      <c r="F1438" s="39" t="s">
        <v>4518</v>
      </c>
      <c r="G1438" s="39" t="s">
        <v>152</v>
      </c>
      <c r="H1438" s="39" t="s">
        <v>125</v>
      </c>
      <c r="J1438" s="39" t="s">
        <v>124</v>
      </c>
      <c r="K1438" s="39" t="s">
        <v>5557</v>
      </c>
      <c r="L1438" s="62" t="s">
        <v>4519</v>
      </c>
      <c r="M1438" s="120" t="s">
        <v>4502</v>
      </c>
      <c r="O1438" s="39" t="s">
        <v>52</v>
      </c>
      <c r="P1438" s="39" t="s">
        <v>65</v>
      </c>
      <c r="Q1438" s="40">
        <v>145</v>
      </c>
      <c r="R1438" s="40">
        <v>159.8869964557573</v>
      </c>
    </row>
    <row r="1439" spans="1:18" s="39" customFormat="1" ht="13.45" customHeight="1" x14ac:dyDescent="0.2">
      <c r="A1439" s="39" t="s">
        <v>4520</v>
      </c>
      <c r="B1439" s="39" t="s">
        <v>85</v>
      </c>
      <c r="C1439" s="39" t="s">
        <v>120</v>
      </c>
      <c r="D1439" s="55" t="s">
        <v>121</v>
      </c>
      <c r="E1439" s="39" t="s">
        <v>166</v>
      </c>
      <c r="F1439" s="39" t="s">
        <v>4521</v>
      </c>
      <c r="G1439" s="39" t="s">
        <v>125</v>
      </c>
      <c r="H1439" s="39" t="s">
        <v>162</v>
      </c>
      <c r="J1439" s="39" t="s">
        <v>124</v>
      </c>
      <c r="K1439" s="39" t="s">
        <v>5557</v>
      </c>
      <c r="L1439" s="62" t="s">
        <v>4522</v>
      </c>
      <c r="M1439" s="120" t="s">
        <v>4502</v>
      </c>
      <c r="O1439" s="39" t="s">
        <v>52</v>
      </c>
      <c r="P1439" s="39" t="s">
        <v>65</v>
      </c>
      <c r="Q1439" s="40">
        <v>300</v>
      </c>
      <c r="R1439" s="40">
        <v>330.80068232225648</v>
      </c>
    </row>
    <row r="1440" spans="1:18" s="39" customFormat="1" ht="13.45" customHeight="1" x14ac:dyDescent="0.2">
      <c r="A1440" s="39" t="s">
        <v>4523</v>
      </c>
      <c r="B1440" s="39" t="s">
        <v>85</v>
      </c>
      <c r="C1440" s="39" t="s">
        <v>120</v>
      </c>
      <c r="D1440" s="55" t="s">
        <v>121</v>
      </c>
      <c r="E1440" s="39" t="s">
        <v>166</v>
      </c>
      <c r="F1440" s="39" t="s">
        <v>4524</v>
      </c>
      <c r="G1440" s="39" t="s">
        <v>125</v>
      </c>
      <c r="H1440" s="39" t="s">
        <v>162</v>
      </c>
      <c r="J1440" s="39" t="s">
        <v>124</v>
      </c>
      <c r="K1440" s="39" t="s">
        <v>5557</v>
      </c>
      <c r="L1440" s="62" t="s">
        <v>4525</v>
      </c>
      <c r="M1440" s="120" t="s">
        <v>4502</v>
      </c>
      <c r="O1440" s="39" t="s">
        <v>52</v>
      </c>
      <c r="P1440" s="39" t="s">
        <v>65</v>
      </c>
      <c r="Q1440" s="40">
        <v>240</v>
      </c>
      <c r="R1440" s="40">
        <v>264.64054585780519</v>
      </c>
    </row>
    <row r="1441" spans="1:18" s="39" customFormat="1" ht="13.45" customHeight="1" x14ac:dyDescent="0.2">
      <c r="A1441" s="39" t="s">
        <v>4526</v>
      </c>
      <c r="B1441" s="39" t="s">
        <v>85</v>
      </c>
      <c r="C1441" s="39" t="s">
        <v>120</v>
      </c>
      <c r="D1441" s="55" t="s">
        <v>121</v>
      </c>
      <c r="E1441" s="39" t="s">
        <v>166</v>
      </c>
      <c r="F1441" s="39" t="s">
        <v>4527</v>
      </c>
      <c r="G1441" s="39" t="s">
        <v>125</v>
      </c>
      <c r="H1441" s="39" t="s">
        <v>162</v>
      </c>
      <c r="J1441" s="39" t="s">
        <v>124</v>
      </c>
      <c r="K1441" s="39" t="s">
        <v>5557</v>
      </c>
      <c r="L1441" s="62" t="s">
        <v>4528</v>
      </c>
      <c r="M1441" s="120" t="s">
        <v>4502</v>
      </c>
      <c r="O1441" s="39" t="s">
        <v>52</v>
      </c>
      <c r="P1441" s="39" t="s">
        <v>65</v>
      </c>
      <c r="Q1441" s="40">
        <v>70</v>
      </c>
      <c r="R1441" s="40">
        <v>77.186825875193179</v>
      </c>
    </row>
    <row r="1442" spans="1:18" s="39" customFormat="1" ht="13.45" customHeight="1" x14ac:dyDescent="0.2">
      <c r="A1442" s="39" t="s">
        <v>4529</v>
      </c>
      <c r="B1442" s="39" t="s">
        <v>85</v>
      </c>
      <c r="C1442" s="39" t="s">
        <v>120</v>
      </c>
      <c r="D1442" s="55" t="s">
        <v>121</v>
      </c>
      <c r="E1442" s="39" t="s">
        <v>151</v>
      </c>
      <c r="F1442" s="39" t="s">
        <v>4530</v>
      </c>
      <c r="G1442" s="39" t="s">
        <v>125</v>
      </c>
      <c r="H1442" s="39" t="s">
        <v>162</v>
      </c>
      <c r="J1442" s="39" t="s">
        <v>124</v>
      </c>
      <c r="K1442" s="39" t="s">
        <v>5557</v>
      </c>
      <c r="L1442" s="62" t="s">
        <v>4531</v>
      </c>
      <c r="M1442" s="120" t="s">
        <v>4502</v>
      </c>
      <c r="O1442" s="39" t="s">
        <v>52</v>
      </c>
      <c r="P1442" s="39" t="s">
        <v>65</v>
      </c>
      <c r="Q1442" s="40">
        <v>185</v>
      </c>
      <c r="R1442" s="40">
        <v>203.99375409872482</v>
      </c>
    </row>
    <row r="1443" spans="1:18" s="50" customFormat="1" ht="13.45" customHeight="1" x14ac:dyDescent="0.2">
      <c r="A1443" s="39" t="s">
        <v>4532</v>
      </c>
      <c r="B1443" s="39" t="s">
        <v>85</v>
      </c>
      <c r="C1443" s="39" t="s">
        <v>120</v>
      </c>
      <c r="D1443" s="39" t="s">
        <v>160</v>
      </c>
      <c r="E1443" s="39" t="s">
        <v>151</v>
      </c>
      <c r="F1443" s="39" t="s">
        <v>4533</v>
      </c>
      <c r="G1443" s="39" t="s">
        <v>125</v>
      </c>
      <c r="H1443" s="39" t="s">
        <v>162</v>
      </c>
      <c r="I1443" s="39"/>
      <c r="J1443" s="39" t="s">
        <v>124</v>
      </c>
      <c r="K1443" s="39" t="s">
        <v>5557</v>
      </c>
      <c r="L1443" s="62" t="s">
        <v>4534</v>
      </c>
      <c r="M1443" s="120" t="s">
        <v>4502</v>
      </c>
      <c r="N1443" s="39"/>
      <c r="O1443" s="39" t="s">
        <v>53</v>
      </c>
      <c r="P1443" s="39" t="s">
        <v>65</v>
      </c>
      <c r="Q1443" s="40">
        <v>69</v>
      </c>
      <c r="R1443" s="40">
        <v>76.084156934118994</v>
      </c>
    </row>
    <row r="1444" spans="1:18" s="39" customFormat="1" ht="13.45" customHeight="1" x14ac:dyDescent="0.2">
      <c r="A1444" s="39" t="s">
        <v>4535</v>
      </c>
      <c r="B1444" s="39" t="s">
        <v>85</v>
      </c>
      <c r="C1444" s="39" t="s">
        <v>120</v>
      </c>
      <c r="D1444" s="39" t="s">
        <v>160</v>
      </c>
      <c r="E1444" s="39" t="s">
        <v>151</v>
      </c>
      <c r="F1444" s="39" t="s">
        <v>4536</v>
      </c>
      <c r="G1444" s="39" t="s">
        <v>125</v>
      </c>
      <c r="H1444" s="39" t="s">
        <v>162</v>
      </c>
      <c r="J1444" s="39" t="s">
        <v>124</v>
      </c>
      <c r="K1444" s="39" t="s">
        <v>5557</v>
      </c>
      <c r="L1444" s="62" t="s">
        <v>4537</v>
      </c>
      <c r="M1444" s="120" t="s">
        <v>4502</v>
      </c>
      <c r="O1444" s="39" t="s">
        <v>53</v>
      </c>
      <c r="P1444" s="39" t="s">
        <v>65</v>
      </c>
      <c r="Q1444" s="40">
        <v>116</v>
      </c>
      <c r="R1444" s="40">
        <v>127.90959716460584</v>
      </c>
    </row>
    <row r="1445" spans="1:18" s="39" customFormat="1" ht="13.45" customHeight="1" x14ac:dyDescent="0.2">
      <c r="A1445" s="39" t="s">
        <v>4538</v>
      </c>
      <c r="B1445" s="39" t="s">
        <v>85</v>
      </c>
      <c r="C1445" s="39" t="s">
        <v>120</v>
      </c>
      <c r="D1445" s="39" t="s">
        <v>160</v>
      </c>
      <c r="E1445" s="39" t="s">
        <v>2849</v>
      </c>
      <c r="F1445" s="39" t="s">
        <v>4539</v>
      </c>
      <c r="G1445" s="39" t="s">
        <v>125</v>
      </c>
      <c r="H1445" s="39" t="s">
        <v>162</v>
      </c>
      <c r="J1445" s="39" t="s">
        <v>124</v>
      </c>
      <c r="K1445" s="39" t="s">
        <v>5557</v>
      </c>
      <c r="L1445" s="62" t="s">
        <v>4540</v>
      </c>
      <c r="M1445" s="120" t="s">
        <v>4502</v>
      </c>
      <c r="O1445" s="39" t="s">
        <v>52</v>
      </c>
      <c r="P1445" s="39" t="s">
        <v>65</v>
      </c>
      <c r="Q1445" s="40">
        <v>304</v>
      </c>
      <c r="R1445" s="40">
        <v>335.21135808655322</v>
      </c>
    </row>
    <row r="1446" spans="1:18" s="39" customFormat="1" ht="13.45" customHeight="1" x14ac:dyDescent="0.2">
      <c r="A1446" s="39" t="s">
        <v>4541</v>
      </c>
      <c r="B1446" s="39" t="s">
        <v>85</v>
      </c>
      <c r="C1446" s="39" t="s">
        <v>120</v>
      </c>
      <c r="D1446" s="39" t="s">
        <v>160</v>
      </c>
      <c r="E1446" s="39" t="s">
        <v>2849</v>
      </c>
      <c r="F1446" s="39" t="s">
        <v>4542</v>
      </c>
      <c r="G1446" s="39" t="s">
        <v>125</v>
      </c>
      <c r="H1446" s="39" t="s">
        <v>162</v>
      </c>
      <c r="J1446" s="39" t="s">
        <v>124</v>
      </c>
      <c r="K1446" s="39" t="s">
        <v>5557</v>
      </c>
      <c r="L1446" s="62" t="s">
        <v>4543</v>
      </c>
      <c r="M1446" s="120" t="s">
        <v>4502</v>
      </c>
      <c r="O1446" s="39" t="s">
        <v>52</v>
      </c>
      <c r="P1446" s="39" t="s">
        <v>65</v>
      </c>
      <c r="Q1446" s="40">
        <v>299</v>
      </c>
      <c r="R1446" s="40">
        <v>329.69801338118231</v>
      </c>
    </row>
    <row r="1447" spans="1:18" s="39" customFormat="1" ht="13.45" customHeight="1" x14ac:dyDescent="0.2">
      <c r="A1447" s="39" t="s">
        <v>4544</v>
      </c>
      <c r="B1447" s="39" t="s">
        <v>85</v>
      </c>
      <c r="C1447" s="39" t="s">
        <v>120</v>
      </c>
      <c r="D1447" s="39" t="s">
        <v>160</v>
      </c>
      <c r="E1447" s="39" t="s">
        <v>2849</v>
      </c>
      <c r="F1447" s="39" t="s">
        <v>4498</v>
      </c>
      <c r="G1447" s="39" t="s">
        <v>125</v>
      </c>
      <c r="H1447" s="39" t="s">
        <v>162</v>
      </c>
      <c r="J1447" s="39" t="s">
        <v>124</v>
      </c>
      <c r="K1447" s="39" t="s">
        <v>5557</v>
      </c>
      <c r="L1447" s="62" t="s">
        <v>4545</v>
      </c>
      <c r="M1447" s="120" t="s">
        <v>4502</v>
      </c>
      <c r="O1447" s="39" t="s">
        <v>52</v>
      </c>
      <c r="P1447" s="39" t="s">
        <v>65</v>
      </c>
      <c r="Q1447" s="40">
        <v>250</v>
      </c>
      <c r="R1447" s="40">
        <v>275.66723526854707</v>
      </c>
    </row>
    <row r="1448" spans="1:18" s="39" customFormat="1" ht="13.45" customHeight="1" x14ac:dyDescent="0.2">
      <c r="A1448" s="39" t="s">
        <v>4546</v>
      </c>
      <c r="B1448" s="39" t="s">
        <v>85</v>
      </c>
      <c r="C1448" s="39" t="s">
        <v>120</v>
      </c>
      <c r="D1448" s="39" t="s">
        <v>160</v>
      </c>
      <c r="E1448" s="39" t="s">
        <v>2849</v>
      </c>
      <c r="F1448" s="39" t="s">
        <v>4547</v>
      </c>
      <c r="G1448" s="39" t="s">
        <v>125</v>
      </c>
      <c r="H1448" s="39" t="s">
        <v>162</v>
      </c>
      <c r="J1448" s="39" t="s">
        <v>124</v>
      </c>
      <c r="K1448" s="39" t="s">
        <v>5557</v>
      </c>
      <c r="L1448" s="62" t="s">
        <v>4548</v>
      </c>
      <c r="M1448" s="120" t="s">
        <v>4502</v>
      </c>
      <c r="O1448" s="39" t="s">
        <v>52</v>
      </c>
      <c r="P1448" s="39" t="s">
        <v>65</v>
      </c>
      <c r="Q1448" s="40">
        <v>66</v>
      </c>
      <c r="R1448" s="40">
        <v>72.776150110896424</v>
      </c>
    </row>
    <row r="1449" spans="1:18" s="39" customFormat="1" ht="13.45" customHeight="1" x14ac:dyDescent="0.2">
      <c r="A1449" s="39" t="s">
        <v>4549</v>
      </c>
      <c r="B1449" s="39" t="s">
        <v>85</v>
      </c>
      <c r="C1449" s="39" t="s">
        <v>120</v>
      </c>
      <c r="D1449" s="55" t="s">
        <v>121</v>
      </c>
      <c r="E1449" s="39" t="s">
        <v>2849</v>
      </c>
      <c r="F1449" s="39" t="s">
        <v>4550</v>
      </c>
      <c r="G1449" s="39" t="s">
        <v>125</v>
      </c>
      <c r="H1449" s="39" t="s">
        <v>162</v>
      </c>
      <c r="J1449" s="39" t="s">
        <v>124</v>
      </c>
      <c r="K1449" s="39" t="s">
        <v>5557</v>
      </c>
      <c r="L1449" s="62" t="s">
        <v>4551</v>
      </c>
      <c r="M1449" s="120" t="s">
        <v>4502</v>
      </c>
      <c r="O1449" s="39" t="s">
        <v>52</v>
      </c>
      <c r="P1449" s="39" t="s">
        <v>65</v>
      </c>
      <c r="Q1449" s="40">
        <v>48</v>
      </c>
      <c r="R1449" s="40">
        <v>52.92810917156104</v>
      </c>
    </row>
    <row r="1450" spans="1:18" s="39" customFormat="1" ht="13.45" customHeight="1" x14ac:dyDescent="0.2">
      <c r="A1450" s="39" t="s">
        <v>4552</v>
      </c>
      <c r="B1450" s="39" t="s">
        <v>85</v>
      </c>
      <c r="C1450" s="39" t="s">
        <v>171</v>
      </c>
      <c r="D1450" s="55" t="s">
        <v>121</v>
      </c>
      <c r="E1450" s="39" t="s">
        <v>292</v>
      </c>
      <c r="F1450" s="39">
        <v>0</v>
      </c>
      <c r="G1450" s="39" t="s">
        <v>134</v>
      </c>
      <c r="J1450" s="39" t="s">
        <v>124</v>
      </c>
      <c r="K1450" s="39" t="s">
        <v>5557</v>
      </c>
      <c r="L1450" s="62" t="s">
        <v>4553</v>
      </c>
      <c r="M1450" s="120" t="s">
        <v>4502</v>
      </c>
      <c r="O1450" s="39" t="s">
        <v>52</v>
      </c>
      <c r="P1450" s="39" t="s">
        <v>65</v>
      </c>
      <c r="Q1450" s="40"/>
      <c r="R1450" s="40">
        <v>0</v>
      </c>
    </row>
    <row r="1451" spans="1:18" s="39" customFormat="1" ht="13.45" customHeight="1" x14ac:dyDescent="0.2">
      <c r="A1451" s="39" t="s">
        <v>4554</v>
      </c>
      <c r="B1451" s="39" t="s">
        <v>85</v>
      </c>
      <c r="C1451" s="39" t="s">
        <v>171</v>
      </c>
      <c r="D1451" s="55" t="s">
        <v>121</v>
      </c>
      <c r="E1451" s="39" t="s">
        <v>292</v>
      </c>
      <c r="F1451" s="39">
        <v>0</v>
      </c>
      <c r="G1451" s="39" t="s">
        <v>208</v>
      </c>
      <c r="H1451" s="39" t="s">
        <v>125</v>
      </c>
      <c r="I1451" s="39" t="s">
        <v>208</v>
      </c>
      <c r="J1451" s="39" t="s">
        <v>124</v>
      </c>
      <c r="K1451" s="39" t="s">
        <v>5557</v>
      </c>
      <c r="L1451" s="62" t="s">
        <v>4555</v>
      </c>
      <c r="M1451" s="120" t="s">
        <v>4502</v>
      </c>
      <c r="O1451" s="39" t="s">
        <v>52</v>
      </c>
      <c r="P1451" s="39" t="s">
        <v>65</v>
      </c>
      <c r="Q1451" s="40"/>
      <c r="R1451" s="40">
        <v>0</v>
      </c>
    </row>
    <row r="1452" spans="1:18" s="39" customFormat="1" ht="13.45" customHeight="1" x14ac:dyDescent="0.2">
      <c r="A1452" s="39" t="s">
        <v>4556</v>
      </c>
      <c r="B1452" s="39" t="s">
        <v>85</v>
      </c>
      <c r="C1452" s="39" t="s">
        <v>120</v>
      </c>
      <c r="D1452" s="55" t="s">
        <v>121</v>
      </c>
      <c r="E1452" s="39" t="s">
        <v>292</v>
      </c>
      <c r="F1452" s="39" t="s">
        <v>4557</v>
      </c>
      <c r="G1452" s="39" t="s">
        <v>134</v>
      </c>
      <c r="H1452" s="39" t="s">
        <v>208</v>
      </c>
      <c r="J1452" s="39" t="s">
        <v>124</v>
      </c>
      <c r="K1452" s="39" t="s">
        <v>5557</v>
      </c>
      <c r="L1452" s="62" t="s">
        <v>4558</v>
      </c>
      <c r="M1452" s="120" t="s">
        <v>4502</v>
      </c>
      <c r="O1452" s="39" t="s">
        <v>52</v>
      </c>
      <c r="P1452" s="39" t="s">
        <v>65</v>
      </c>
      <c r="Q1452" s="40">
        <v>270</v>
      </c>
      <c r="R1452" s="40">
        <v>297.72061409003084</v>
      </c>
    </row>
    <row r="1453" spans="1:18" s="39" customFormat="1" ht="13.45" customHeight="1" x14ac:dyDescent="0.2">
      <c r="A1453" s="39" t="s">
        <v>4559</v>
      </c>
      <c r="B1453" s="39" t="s">
        <v>85</v>
      </c>
      <c r="C1453" s="39" t="s">
        <v>120</v>
      </c>
      <c r="D1453" s="55" t="s">
        <v>121</v>
      </c>
      <c r="E1453" s="39" t="s">
        <v>292</v>
      </c>
      <c r="F1453" s="39" t="s">
        <v>4560</v>
      </c>
      <c r="G1453" s="39" t="s">
        <v>134</v>
      </c>
      <c r="H1453" s="39" t="s">
        <v>125</v>
      </c>
      <c r="J1453" s="39" t="s">
        <v>124</v>
      </c>
      <c r="K1453" s="39" t="s">
        <v>5557</v>
      </c>
      <c r="L1453" s="62" t="s">
        <v>4561</v>
      </c>
      <c r="M1453" s="120" t="s">
        <v>4502</v>
      </c>
      <c r="O1453" s="39" t="s">
        <v>52</v>
      </c>
      <c r="P1453" s="39" t="s">
        <v>65</v>
      </c>
      <c r="Q1453" s="40">
        <v>86</v>
      </c>
      <c r="R1453" s="40">
        <v>94.829528932380185</v>
      </c>
    </row>
    <row r="1454" spans="1:18" s="39" customFormat="1" ht="13.45" customHeight="1" x14ac:dyDescent="0.2">
      <c r="A1454" s="39" t="s">
        <v>4562</v>
      </c>
      <c r="B1454" s="39" t="s">
        <v>85</v>
      </c>
      <c r="C1454" s="39" t="s">
        <v>120</v>
      </c>
      <c r="D1454" s="55" t="s">
        <v>121</v>
      </c>
      <c r="E1454" s="39" t="s">
        <v>292</v>
      </c>
      <c r="F1454" s="39" t="s">
        <v>4563</v>
      </c>
      <c r="G1454" s="39" t="s">
        <v>134</v>
      </c>
      <c r="H1454" s="39" t="s">
        <v>125</v>
      </c>
      <c r="I1454" s="39" t="s">
        <v>208</v>
      </c>
      <c r="J1454" s="39" t="s">
        <v>124</v>
      </c>
      <c r="K1454" s="39" t="s">
        <v>5557</v>
      </c>
      <c r="L1454" s="62" t="s">
        <v>4564</v>
      </c>
      <c r="M1454" s="120" t="s">
        <v>4502</v>
      </c>
      <c r="O1454" s="39" t="s">
        <v>52</v>
      </c>
      <c r="P1454" s="39" t="s">
        <v>65</v>
      </c>
      <c r="Q1454" s="40">
        <v>89</v>
      </c>
      <c r="R1454" s="40">
        <v>98.137535755602755</v>
      </c>
    </row>
    <row r="1455" spans="1:18" s="39" customFormat="1" ht="13.45" customHeight="1" x14ac:dyDescent="0.2">
      <c r="A1455" s="39" t="s">
        <v>4565</v>
      </c>
      <c r="B1455" s="39" t="s">
        <v>85</v>
      </c>
      <c r="C1455" s="39" t="s">
        <v>120</v>
      </c>
      <c r="D1455" s="55" t="s">
        <v>121</v>
      </c>
      <c r="E1455" s="39" t="s">
        <v>292</v>
      </c>
      <c r="F1455" s="39" t="s">
        <v>4566</v>
      </c>
      <c r="G1455" s="39" t="s">
        <v>134</v>
      </c>
      <c r="H1455" s="39" t="s">
        <v>125</v>
      </c>
      <c r="J1455" s="39" t="s">
        <v>124</v>
      </c>
      <c r="K1455" s="39" t="s">
        <v>5557</v>
      </c>
      <c r="L1455" s="62" t="s">
        <v>4567</v>
      </c>
      <c r="M1455" s="120" t="s">
        <v>4502</v>
      </c>
      <c r="O1455" s="39" t="s">
        <v>52</v>
      </c>
      <c r="P1455" s="39" t="s">
        <v>65</v>
      </c>
      <c r="Q1455" s="40">
        <v>50</v>
      </c>
      <c r="R1455" s="40">
        <v>55.133447053709418</v>
      </c>
    </row>
    <row r="1456" spans="1:18" s="39" customFormat="1" ht="13.45" customHeight="1" x14ac:dyDescent="0.2">
      <c r="A1456" s="39" t="s">
        <v>4568</v>
      </c>
      <c r="B1456" s="39" t="s">
        <v>85</v>
      </c>
      <c r="C1456" s="39" t="s">
        <v>171</v>
      </c>
      <c r="D1456" s="55" t="s">
        <v>121</v>
      </c>
      <c r="E1456" s="39" t="s">
        <v>133</v>
      </c>
      <c r="F1456" s="39">
        <v>0</v>
      </c>
      <c r="G1456" s="39" t="s">
        <v>153</v>
      </c>
      <c r="H1456" s="39" t="s">
        <v>208</v>
      </c>
      <c r="J1456" s="39" t="s">
        <v>124</v>
      </c>
      <c r="K1456" s="39" t="s">
        <v>5557</v>
      </c>
      <c r="L1456" s="62" t="s">
        <v>4569</v>
      </c>
      <c r="M1456" s="120" t="s">
        <v>4502</v>
      </c>
      <c r="O1456" s="39" t="s">
        <v>52</v>
      </c>
      <c r="P1456" s="39" t="s">
        <v>65</v>
      </c>
      <c r="Q1456" s="40"/>
      <c r="R1456" s="40">
        <v>0</v>
      </c>
    </row>
    <row r="1457" spans="1:18" s="39" customFormat="1" ht="13.45" customHeight="1" x14ac:dyDescent="0.2">
      <c r="A1457" s="39" t="s">
        <v>4570</v>
      </c>
      <c r="B1457" s="39" t="s">
        <v>85</v>
      </c>
      <c r="C1457" s="39" t="s">
        <v>120</v>
      </c>
      <c r="D1457" s="39" t="s">
        <v>160</v>
      </c>
      <c r="E1457" s="39" t="s">
        <v>133</v>
      </c>
      <c r="F1457" s="39" t="s">
        <v>4571</v>
      </c>
      <c r="G1457" s="39" t="s">
        <v>153</v>
      </c>
      <c r="J1457" s="39" t="s">
        <v>124</v>
      </c>
      <c r="K1457" s="39" t="s">
        <v>5557</v>
      </c>
      <c r="L1457" s="39" t="s">
        <v>4572</v>
      </c>
      <c r="M1457" s="120" t="s">
        <v>4502</v>
      </c>
      <c r="O1457" s="39" t="s">
        <v>52</v>
      </c>
      <c r="P1457" s="39" t="s">
        <v>65</v>
      </c>
      <c r="Q1457" s="40">
        <v>200</v>
      </c>
      <c r="R1457" s="40">
        <v>220.53378821483767</v>
      </c>
    </row>
    <row r="1458" spans="1:18" s="39" customFormat="1" ht="13.45" customHeight="1" x14ac:dyDescent="0.2">
      <c r="A1458" s="39" t="s">
        <v>4573</v>
      </c>
      <c r="B1458" s="39" t="s">
        <v>85</v>
      </c>
      <c r="C1458" s="39" t="s">
        <v>120</v>
      </c>
      <c r="D1458" s="39" t="s">
        <v>160</v>
      </c>
      <c r="E1458" s="39" t="s">
        <v>133</v>
      </c>
      <c r="F1458" s="39" t="s">
        <v>4497</v>
      </c>
      <c r="G1458" s="39" t="s">
        <v>153</v>
      </c>
      <c r="J1458" s="39" t="s">
        <v>124</v>
      </c>
      <c r="K1458" s="39" t="s">
        <v>5557</v>
      </c>
      <c r="L1458" s="62" t="s">
        <v>4574</v>
      </c>
      <c r="M1458" s="120" t="s">
        <v>4502</v>
      </c>
      <c r="O1458" s="39" t="s">
        <v>52</v>
      </c>
      <c r="P1458" s="39" t="s">
        <v>65</v>
      </c>
      <c r="Q1458" s="40">
        <v>120</v>
      </c>
      <c r="R1458" s="40">
        <v>132.3202729289026</v>
      </c>
    </row>
    <row r="1459" spans="1:18" s="39" customFormat="1" ht="13.45" customHeight="1" x14ac:dyDescent="0.2">
      <c r="A1459" s="39" t="s">
        <v>4575</v>
      </c>
      <c r="B1459" s="39" t="s">
        <v>85</v>
      </c>
      <c r="C1459" s="39" t="s">
        <v>120</v>
      </c>
      <c r="D1459" s="39" t="s">
        <v>160</v>
      </c>
      <c r="E1459" s="39" t="s">
        <v>133</v>
      </c>
      <c r="F1459" s="39" t="s">
        <v>4527</v>
      </c>
      <c r="G1459" s="39" t="s">
        <v>153</v>
      </c>
      <c r="H1459" s="39" t="s">
        <v>208</v>
      </c>
      <c r="J1459" s="39" t="s">
        <v>124</v>
      </c>
      <c r="K1459" s="39" t="s">
        <v>5557</v>
      </c>
      <c r="L1459" s="62" t="s">
        <v>4576</v>
      </c>
      <c r="M1459" s="76" t="s">
        <v>4502</v>
      </c>
      <c r="O1459" s="39" t="s">
        <v>52</v>
      </c>
      <c r="P1459" s="39" t="s">
        <v>65</v>
      </c>
      <c r="Q1459" s="40">
        <v>70</v>
      </c>
      <c r="R1459" s="40">
        <v>77.186825875193179</v>
      </c>
    </row>
    <row r="1460" spans="1:18" s="39" customFormat="1" ht="13.45" customHeight="1" x14ac:dyDescent="0.2">
      <c r="A1460" s="39" t="s">
        <v>4577</v>
      </c>
      <c r="B1460" s="39" t="s">
        <v>85</v>
      </c>
      <c r="C1460" s="39" t="s">
        <v>120</v>
      </c>
      <c r="D1460" s="39" t="s">
        <v>121</v>
      </c>
      <c r="E1460" s="39" t="s">
        <v>166</v>
      </c>
      <c r="F1460" s="39" t="s">
        <v>4578</v>
      </c>
      <c r="G1460" s="39" t="s">
        <v>125</v>
      </c>
      <c r="H1460" s="39" t="s">
        <v>162</v>
      </c>
      <c r="J1460" s="39" t="s">
        <v>124</v>
      </c>
      <c r="K1460" s="39" t="s">
        <v>5557</v>
      </c>
      <c r="L1460" s="48" t="s">
        <v>4579</v>
      </c>
      <c r="M1460" s="39" t="s">
        <v>4580</v>
      </c>
      <c r="O1460" s="39" t="s">
        <v>52</v>
      </c>
      <c r="P1460" s="39" t="s">
        <v>65</v>
      </c>
      <c r="Q1460" s="40">
        <v>1211</v>
      </c>
      <c r="R1460" s="40">
        <v>1335.332087640842</v>
      </c>
    </row>
    <row r="1461" spans="1:18" s="39" customFormat="1" ht="13.45" customHeight="1" x14ac:dyDescent="0.2">
      <c r="A1461" s="39" t="s">
        <v>4581</v>
      </c>
      <c r="B1461" s="39" t="s">
        <v>85</v>
      </c>
      <c r="C1461" s="39" t="s">
        <v>120</v>
      </c>
      <c r="D1461" s="39" t="s">
        <v>121</v>
      </c>
      <c r="E1461" s="39" t="s">
        <v>166</v>
      </c>
      <c r="F1461" s="39" t="s">
        <v>4582</v>
      </c>
      <c r="G1461" s="39" t="s">
        <v>125</v>
      </c>
      <c r="H1461" s="39" t="s">
        <v>162</v>
      </c>
      <c r="J1461" s="39" t="s">
        <v>124</v>
      </c>
      <c r="K1461" s="39" t="s">
        <v>5557</v>
      </c>
      <c r="L1461" s="48" t="s">
        <v>4583</v>
      </c>
      <c r="M1461" s="39" t="s">
        <v>4580</v>
      </c>
      <c r="O1461" s="39" t="s">
        <v>52</v>
      </c>
      <c r="P1461" s="39" t="s">
        <v>65</v>
      </c>
      <c r="Q1461" s="40">
        <v>176</v>
      </c>
      <c r="R1461" s="40">
        <v>194.06973362905714</v>
      </c>
    </row>
    <row r="1462" spans="1:18" s="39" customFormat="1" ht="13.45" customHeight="1" x14ac:dyDescent="0.2">
      <c r="A1462" s="39" t="s">
        <v>4584</v>
      </c>
      <c r="B1462" s="39" t="s">
        <v>85</v>
      </c>
      <c r="C1462" s="39" t="s">
        <v>120</v>
      </c>
      <c r="D1462" s="39" t="s">
        <v>160</v>
      </c>
      <c r="E1462" s="39" t="s">
        <v>166</v>
      </c>
      <c r="F1462" s="39" t="s">
        <v>4585</v>
      </c>
      <c r="G1462" s="39" t="s">
        <v>125</v>
      </c>
      <c r="H1462" s="39" t="s">
        <v>162</v>
      </c>
      <c r="J1462" s="39" t="s">
        <v>124</v>
      </c>
      <c r="K1462" s="39" t="s">
        <v>5557</v>
      </c>
      <c r="L1462" s="48" t="s">
        <v>4586</v>
      </c>
      <c r="M1462" s="39" t="s">
        <v>4580</v>
      </c>
      <c r="O1462" s="39" t="s">
        <v>52</v>
      </c>
      <c r="P1462" s="39" t="s">
        <v>65</v>
      </c>
      <c r="Q1462" s="40">
        <v>136</v>
      </c>
      <c r="R1462" s="40">
        <v>149.96297598608962</v>
      </c>
    </row>
    <row r="1463" spans="1:18" s="39" customFormat="1" ht="13.45" customHeight="1" x14ac:dyDescent="0.2">
      <c r="A1463" s="39" t="s">
        <v>4587</v>
      </c>
      <c r="B1463" s="39" t="s">
        <v>85</v>
      </c>
      <c r="C1463" s="39" t="s">
        <v>120</v>
      </c>
      <c r="D1463" s="39" t="s">
        <v>160</v>
      </c>
      <c r="E1463" s="39" t="s">
        <v>166</v>
      </c>
      <c r="F1463" s="39" t="s">
        <v>331</v>
      </c>
      <c r="G1463" s="39" t="s">
        <v>125</v>
      </c>
      <c r="H1463" s="39" t="s">
        <v>162</v>
      </c>
      <c r="J1463" s="39" t="s">
        <v>124</v>
      </c>
      <c r="K1463" s="39" t="s">
        <v>5557</v>
      </c>
      <c r="L1463" s="48" t="s">
        <v>4588</v>
      </c>
      <c r="M1463" s="39" t="s">
        <v>4580</v>
      </c>
      <c r="O1463" s="39" t="s">
        <v>52</v>
      </c>
      <c r="P1463" s="39" t="s">
        <v>65</v>
      </c>
      <c r="Q1463" s="40">
        <v>60</v>
      </c>
      <c r="R1463" s="40">
        <v>66.160136464451298</v>
      </c>
    </row>
    <row r="1464" spans="1:18" s="39" customFormat="1" ht="13.45" customHeight="1" x14ac:dyDescent="0.2">
      <c r="A1464" s="39" t="s">
        <v>4589</v>
      </c>
      <c r="B1464" s="39" t="s">
        <v>85</v>
      </c>
      <c r="C1464" s="39" t="s">
        <v>120</v>
      </c>
      <c r="D1464" s="39" t="s">
        <v>121</v>
      </c>
      <c r="E1464" s="39" t="s">
        <v>166</v>
      </c>
      <c r="F1464" s="39" t="s">
        <v>4590</v>
      </c>
      <c r="G1464" s="39" t="s">
        <v>125</v>
      </c>
      <c r="H1464" s="39" t="s">
        <v>162</v>
      </c>
      <c r="J1464" s="39" t="s">
        <v>124</v>
      </c>
      <c r="K1464" s="39" t="s">
        <v>5557</v>
      </c>
      <c r="L1464" s="48" t="s">
        <v>4591</v>
      </c>
      <c r="M1464" s="39" t="s">
        <v>4580</v>
      </c>
      <c r="O1464" s="39" t="s">
        <v>52</v>
      </c>
      <c r="P1464" s="39" t="s">
        <v>65</v>
      </c>
      <c r="Q1464" s="40">
        <v>775</v>
      </c>
      <c r="R1464" s="40">
        <v>854.56842933249595</v>
      </c>
    </row>
    <row r="1465" spans="1:18" s="39" customFormat="1" ht="13.45" customHeight="1" x14ac:dyDescent="0.2">
      <c r="A1465" s="39" t="s">
        <v>4592</v>
      </c>
      <c r="B1465" s="39" t="s">
        <v>85</v>
      </c>
      <c r="C1465" s="39" t="s">
        <v>120</v>
      </c>
      <c r="D1465" s="39" t="s">
        <v>121</v>
      </c>
      <c r="E1465" s="39" t="s">
        <v>166</v>
      </c>
      <c r="F1465" s="39" t="s">
        <v>4593</v>
      </c>
      <c r="G1465" s="39" t="s">
        <v>125</v>
      </c>
      <c r="H1465" s="39" t="s">
        <v>162</v>
      </c>
      <c r="J1465" s="39" t="s">
        <v>124</v>
      </c>
      <c r="K1465" s="39" t="s">
        <v>5557</v>
      </c>
      <c r="L1465" s="48" t="s">
        <v>4594</v>
      </c>
      <c r="M1465" s="39" t="s">
        <v>4580</v>
      </c>
      <c r="O1465" s="39" t="s">
        <v>52</v>
      </c>
      <c r="P1465" s="39" t="s">
        <v>65</v>
      </c>
      <c r="Q1465" s="40">
        <v>375</v>
      </c>
      <c r="R1465" s="40">
        <v>413.50085290282061</v>
      </c>
    </row>
    <row r="1466" spans="1:18" s="39" customFormat="1" ht="13.45" customHeight="1" x14ac:dyDescent="0.2">
      <c r="A1466" s="39" t="s">
        <v>4595</v>
      </c>
      <c r="B1466" s="39" t="s">
        <v>85</v>
      </c>
      <c r="C1466" s="39" t="s">
        <v>120</v>
      </c>
      <c r="D1466" s="39" t="s">
        <v>121</v>
      </c>
      <c r="E1466" s="39" t="s">
        <v>166</v>
      </c>
      <c r="F1466" s="39" t="s">
        <v>4596</v>
      </c>
      <c r="G1466" s="39" t="s">
        <v>125</v>
      </c>
      <c r="H1466" s="39" t="s">
        <v>162</v>
      </c>
      <c r="J1466" s="39" t="s">
        <v>124</v>
      </c>
      <c r="K1466" s="39" t="s">
        <v>5557</v>
      </c>
      <c r="L1466" s="48" t="s">
        <v>4597</v>
      </c>
      <c r="M1466" s="39" t="s">
        <v>4580</v>
      </c>
      <c r="O1466" s="39" t="s">
        <v>52</v>
      </c>
      <c r="P1466" s="39" t="s">
        <v>65</v>
      </c>
      <c r="Q1466" s="40">
        <v>83</v>
      </c>
      <c r="R1466" s="40">
        <v>91.52152210915763</v>
      </c>
    </row>
    <row r="1467" spans="1:18" s="39" customFormat="1" ht="13.45" customHeight="1" x14ac:dyDescent="0.2">
      <c r="A1467" s="39" t="s">
        <v>4598</v>
      </c>
      <c r="B1467" s="39" t="s">
        <v>85</v>
      </c>
      <c r="C1467" s="39" t="s">
        <v>120</v>
      </c>
      <c r="D1467" s="39" t="s">
        <v>121</v>
      </c>
      <c r="E1467" s="39" t="s">
        <v>133</v>
      </c>
      <c r="F1467" s="39" t="s">
        <v>352</v>
      </c>
      <c r="G1467" s="39" t="s">
        <v>125</v>
      </c>
      <c r="H1467" s="39" t="s">
        <v>162</v>
      </c>
      <c r="J1467" s="39" t="s">
        <v>124</v>
      </c>
      <c r="K1467" s="39" t="s">
        <v>5557</v>
      </c>
      <c r="L1467" s="48" t="s">
        <v>4599</v>
      </c>
      <c r="M1467" s="39" t="s">
        <v>4580</v>
      </c>
      <c r="O1467" s="39" t="s">
        <v>52</v>
      </c>
      <c r="P1467" s="39" t="s">
        <v>65</v>
      </c>
      <c r="Q1467" s="40">
        <v>35</v>
      </c>
      <c r="R1467" s="40">
        <v>38.59341293759659</v>
      </c>
    </row>
    <row r="1468" spans="1:18" s="39" customFormat="1" ht="13.45" customHeight="1" x14ac:dyDescent="0.2">
      <c r="A1468" s="39" t="s">
        <v>4600</v>
      </c>
      <c r="B1468" s="39" t="s">
        <v>85</v>
      </c>
      <c r="C1468" s="39" t="s">
        <v>280</v>
      </c>
      <c r="D1468" s="39" t="s">
        <v>137</v>
      </c>
      <c r="E1468" s="39" t="s">
        <v>133</v>
      </c>
      <c r="F1468" s="39" t="s">
        <v>4601</v>
      </c>
      <c r="G1468" s="39" t="s">
        <v>125</v>
      </c>
      <c r="H1468" s="39" t="s">
        <v>162</v>
      </c>
      <c r="I1468" s="39" t="s">
        <v>158</v>
      </c>
      <c r="J1468" s="39" t="s">
        <v>124</v>
      </c>
      <c r="K1468" s="39" t="s">
        <v>5557</v>
      </c>
      <c r="L1468" s="48" t="s">
        <v>4602</v>
      </c>
      <c r="M1468" s="39" t="s">
        <v>4580</v>
      </c>
      <c r="O1468" s="39" t="s">
        <v>52</v>
      </c>
      <c r="P1468" s="39" t="s">
        <v>65</v>
      </c>
      <c r="Q1468" s="40">
        <v>558</v>
      </c>
      <c r="R1468" s="40">
        <v>615.28926911939709</v>
      </c>
    </row>
    <row r="1469" spans="1:18" s="39" customFormat="1" ht="13.45" customHeight="1" x14ac:dyDescent="0.2">
      <c r="A1469" s="39" t="s">
        <v>4603</v>
      </c>
      <c r="B1469" s="39" t="s">
        <v>85</v>
      </c>
      <c r="C1469" s="39" t="s">
        <v>280</v>
      </c>
      <c r="D1469" s="39" t="s">
        <v>121</v>
      </c>
      <c r="E1469" s="39" t="s">
        <v>172</v>
      </c>
      <c r="F1469" s="39" t="s">
        <v>4604</v>
      </c>
      <c r="G1469" s="39" t="s">
        <v>125</v>
      </c>
      <c r="H1469" s="39" t="s">
        <v>162</v>
      </c>
      <c r="I1469" s="39" t="s">
        <v>158</v>
      </c>
      <c r="J1469" s="39" t="s">
        <v>124</v>
      </c>
      <c r="K1469" s="39" t="s">
        <v>5557</v>
      </c>
      <c r="L1469" s="48" t="s">
        <v>4605</v>
      </c>
      <c r="M1469" s="39" t="s">
        <v>4580</v>
      </c>
      <c r="O1469" s="39" t="s">
        <v>52</v>
      </c>
      <c r="P1469" s="39" t="s">
        <v>65</v>
      </c>
      <c r="Q1469" s="40">
        <v>93</v>
      </c>
      <c r="R1469" s="40">
        <v>102.54821151989951</v>
      </c>
    </row>
    <row r="1470" spans="1:18" s="39" customFormat="1" ht="13.45" customHeight="1" x14ac:dyDescent="0.2">
      <c r="A1470" s="39" t="s">
        <v>4606</v>
      </c>
      <c r="B1470" s="39" t="s">
        <v>85</v>
      </c>
      <c r="C1470" s="39" t="s">
        <v>280</v>
      </c>
      <c r="D1470" s="39" t="s">
        <v>137</v>
      </c>
      <c r="E1470" s="39" t="s">
        <v>133</v>
      </c>
      <c r="F1470" s="39" t="s">
        <v>4607</v>
      </c>
      <c r="G1470" s="39" t="s">
        <v>125</v>
      </c>
      <c r="H1470" s="39" t="s">
        <v>162</v>
      </c>
      <c r="I1470" s="39" t="s">
        <v>158</v>
      </c>
      <c r="J1470" s="39" t="s">
        <v>157</v>
      </c>
      <c r="K1470" s="39" t="s">
        <v>5558</v>
      </c>
      <c r="L1470" s="48" t="s">
        <v>4608</v>
      </c>
      <c r="M1470" s="39" t="s">
        <v>4580</v>
      </c>
      <c r="O1470" s="39" t="s">
        <v>52</v>
      </c>
      <c r="P1470" s="39" t="s">
        <v>65</v>
      </c>
      <c r="Q1470" s="40">
        <v>710</v>
      </c>
      <c r="R1470" s="40">
        <v>782.8949481626737</v>
      </c>
    </row>
    <row r="1471" spans="1:18" s="39" customFormat="1" ht="13.45" customHeight="1" x14ac:dyDescent="0.2">
      <c r="A1471" s="39" t="s">
        <v>4609</v>
      </c>
      <c r="B1471" s="39" t="s">
        <v>85</v>
      </c>
      <c r="C1471" s="39" t="s">
        <v>280</v>
      </c>
      <c r="D1471" s="39" t="s">
        <v>160</v>
      </c>
      <c r="E1471" s="39" t="s">
        <v>133</v>
      </c>
      <c r="F1471" s="39" t="s">
        <v>4610</v>
      </c>
      <c r="G1471" s="39" t="s">
        <v>125</v>
      </c>
      <c r="H1471" s="39" t="s">
        <v>162</v>
      </c>
      <c r="I1471" s="39" t="s">
        <v>158</v>
      </c>
      <c r="J1471" s="39" t="s">
        <v>157</v>
      </c>
      <c r="K1471" s="39" t="s">
        <v>5558</v>
      </c>
      <c r="L1471" s="48" t="s">
        <v>4611</v>
      </c>
      <c r="M1471" s="39" t="s">
        <v>4580</v>
      </c>
      <c r="O1471" s="39" t="s">
        <v>52</v>
      </c>
      <c r="P1471" s="39" t="s">
        <v>65</v>
      </c>
      <c r="Q1471" s="40">
        <v>29</v>
      </c>
      <c r="R1471" s="40">
        <v>31.97739929115146</v>
      </c>
    </row>
    <row r="1472" spans="1:18" s="39" customFormat="1" ht="13.45" customHeight="1" x14ac:dyDescent="0.2">
      <c r="A1472" s="39" t="s">
        <v>4612</v>
      </c>
      <c r="B1472" s="39" t="s">
        <v>85</v>
      </c>
      <c r="C1472" s="39" t="s">
        <v>280</v>
      </c>
      <c r="D1472" s="39" t="s">
        <v>137</v>
      </c>
      <c r="E1472" s="39" t="s">
        <v>133</v>
      </c>
      <c r="F1472" s="39" t="s">
        <v>328</v>
      </c>
      <c r="G1472" s="39" t="s">
        <v>125</v>
      </c>
      <c r="H1472" s="39" t="s">
        <v>162</v>
      </c>
      <c r="I1472" s="39" t="s">
        <v>158</v>
      </c>
      <c r="J1472" s="39" t="s">
        <v>157</v>
      </c>
      <c r="K1472" s="39" t="s">
        <v>5558</v>
      </c>
      <c r="L1472" s="48" t="s">
        <v>4613</v>
      </c>
      <c r="M1472" s="39" t="s">
        <v>4580</v>
      </c>
      <c r="O1472" s="39" t="s">
        <v>52</v>
      </c>
      <c r="P1472" s="39" t="s">
        <v>65</v>
      </c>
      <c r="Q1472" s="40">
        <v>110</v>
      </c>
      <c r="R1472" s="40">
        <v>121.29358351816072</v>
      </c>
    </row>
    <row r="1473" spans="1:18" s="39" customFormat="1" ht="13.45" customHeight="1" x14ac:dyDescent="0.2">
      <c r="A1473" s="39" t="s">
        <v>4614</v>
      </c>
      <c r="B1473" s="39" t="s">
        <v>85</v>
      </c>
      <c r="C1473" s="39" t="s">
        <v>177</v>
      </c>
      <c r="D1473" s="39" t="s">
        <v>137</v>
      </c>
      <c r="E1473" s="39" t="s">
        <v>251</v>
      </c>
      <c r="F1473" s="39">
        <v>0</v>
      </c>
      <c r="G1473" s="39" t="s">
        <v>125</v>
      </c>
      <c r="H1473" s="39" t="s">
        <v>162</v>
      </c>
      <c r="I1473" s="39" t="s">
        <v>158</v>
      </c>
      <c r="J1473" s="39" t="s">
        <v>124</v>
      </c>
      <c r="K1473" s="39" t="s">
        <v>5557</v>
      </c>
      <c r="L1473" s="48" t="s">
        <v>4615</v>
      </c>
      <c r="M1473" s="39" t="s">
        <v>4580</v>
      </c>
      <c r="O1473" s="39" t="s">
        <v>52</v>
      </c>
      <c r="P1473" s="39" t="s">
        <v>65</v>
      </c>
      <c r="Q1473" s="40">
        <v>0</v>
      </c>
      <c r="R1473" s="40">
        <v>0</v>
      </c>
    </row>
    <row r="1474" spans="1:18" s="39" customFormat="1" ht="13.45" customHeight="1" x14ac:dyDescent="0.2">
      <c r="A1474" s="39" t="s">
        <v>4616</v>
      </c>
      <c r="B1474" s="39" t="s">
        <v>85</v>
      </c>
      <c r="C1474" s="39" t="s">
        <v>171</v>
      </c>
      <c r="D1474" s="39" t="s">
        <v>137</v>
      </c>
      <c r="E1474" s="39" t="s">
        <v>147</v>
      </c>
      <c r="F1474" s="39">
        <v>0</v>
      </c>
      <c r="G1474" s="39" t="s">
        <v>125</v>
      </c>
      <c r="H1474" s="39" t="s">
        <v>162</v>
      </c>
      <c r="J1474" s="39" t="s">
        <v>124</v>
      </c>
      <c r="K1474" s="39" t="s">
        <v>5557</v>
      </c>
      <c r="L1474" s="48" t="s">
        <v>4617</v>
      </c>
      <c r="M1474" s="39" t="s">
        <v>4580</v>
      </c>
      <c r="O1474" s="39" t="s">
        <v>52</v>
      </c>
      <c r="P1474" s="39" t="s">
        <v>65</v>
      </c>
      <c r="Q1474" s="40">
        <v>0</v>
      </c>
      <c r="R1474" s="40">
        <v>0</v>
      </c>
    </row>
    <row r="1475" spans="1:18" s="39" customFormat="1" ht="13.45" customHeight="1" x14ac:dyDescent="0.2">
      <c r="A1475" s="39" t="s">
        <v>4618</v>
      </c>
      <c r="B1475" s="39" t="s">
        <v>85</v>
      </c>
      <c r="C1475" s="39" t="s">
        <v>171</v>
      </c>
      <c r="D1475" s="39" t="s">
        <v>137</v>
      </c>
      <c r="E1475" s="39" t="s">
        <v>151</v>
      </c>
      <c r="F1475" s="39">
        <v>0</v>
      </c>
      <c r="G1475" s="39" t="s">
        <v>125</v>
      </c>
      <c r="H1475" s="39" t="s">
        <v>162</v>
      </c>
      <c r="J1475" s="39" t="s">
        <v>124</v>
      </c>
      <c r="K1475" s="39" t="s">
        <v>5557</v>
      </c>
      <c r="L1475" s="48" t="s">
        <v>4619</v>
      </c>
      <c r="M1475" s="39" t="s">
        <v>4580</v>
      </c>
      <c r="O1475" s="39" t="s">
        <v>52</v>
      </c>
      <c r="P1475" s="39" t="s">
        <v>65</v>
      </c>
      <c r="Q1475" s="40">
        <v>0</v>
      </c>
      <c r="R1475" s="40">
        <v>0</v>
      </c>
    </row>
    <row r="1476" spans="1:18" s="39" customFormat="1" ht="13.45" customHeight="1" x14ac:dyDescent="0.2">
      <c r="A1476" s="39" t="s">
        <v>4620</v>
      </c>
      <c r="B1476" s="39" t="s">
        <v>85</v>
      </c>
      <c r="C1476" s="39" t="s">
        <v>171</v>
      </c>
      <c r="D1476" s="39" t="s">
        <v>137</v>
      </c>
      <c r="E1476" s="39" t="s">
        <v>151</v>
      </c>
      <c r="F1476" s="39">
        <v>0</v>
      </c>
      <c r="G1476" s="39" t="s">
        <v>125</v>
      </c>
      <c r="H1476" s="39" t="s">
        <v>162</v>
      </c>
      <c r="J1476" s="39" t="s">
        <v>124</v>
      </c>
      <c r="K1476" s="39" t="s">
        <v>5557</v>
      </c>
      <c r="L1476" s="48" t="s">
        <v>4621</v>
      </c>
      <c r="M1476" s="39" t="s">
        <v>4580</v>
      </c>
      <c r="O1476" s="39" t="s">
        <v>52</v>
      </c>
      <c r="P1476" s="39" t="s">
        <v>65</v>
      </c>
      <c r="Q1476" s="40">
        <v>0</v>
      </c>
      <c r="R1476" s="40">
        <v>0</v>
      </c>
    </row>
    <row r="1477" spans="1:18" s="39" customFormat="1" ht="13.45" customHeight="1" x14ac:dyDescent="0.2">
      <c r="A1477" s="39" t="s">
        <v>4622</v>
      </c>
      <c r="B1477" s="39" t="s">
        <v>85</v>
      </c>
      <c r="C1477" s="39" t="s">
        <v>171</v>
      </c>
      <c r="D1477" s="39" t="s">
        <v>137</v>
      </c>
      <c r="E1477" s="39" t="s">
        <v>251</v>
      </c>
      <c r="F1477" s="39">
        <v>0</v>
      </c>
      <c r="G1477" s="39" t="s">
        <v>125</v>
      </c>
      <c r="H1477" s="39" t="s">
        <v>162</v>
      </c>
      <c r="J1477" s="39" t="s">
        <v>124</v>
      </c>
      <c r="K1477" s="39" t="s">
        <v>5557</v>
      </c>
      <c r="L1477" s="48" t="s">
        <v>4623</v>
      </c>
      <c r="M1477" s="39" t="s">
        <v>4580</v>
      </c>
      <c r="O1477" s="39" t="s">
        <v>52</v>
      </c>
      <c r="P1477" s="39" t="s">
        <v>65</v>
      </c>
      <c r="Q1477" s="40">
        <v>0</v>
      </c>
      <c r="R1477" s="40">
        <v>0</v>
      </c>
    </row>
    <row r="1478" spans="1:18" s="39" customFormat="1" ht="13.45" customHeight="1" x14ac:dyDescent="0.2">
      <c r="A1478" s="39" t="s">
        <v>4624</v>
      </c>
      <c r="B1478" s="39" t="s">
        <v>85</v>
      </c>
      <c r="C1478" s="39" t="s">
        <v>120</v>
      </c>
      <c r="D1478" s="39" t="s">
        <v>121</v>
      </c>
      <c r="E1478" s="39" t="s">
        <v>122</v>
      </c>
      <c r="F1478" s="39" t="s">
        <v>4625</v>
      </c>
      <c r="G1478" s="39" t="s">
        <v>125</v>
      </c>
      <c r="H1478" s="39" t="s">
        <v>162</v>
      </c>
      <c r="J1478" s="39" t="s">
        <v>124</v>
      </c>
      <c r="K1478" s="39" t="s">
        <v>5557</v>
      </c>
      <c r="L1478" s="103" t="s">
        <v>4626</v>
      </c>
      <c r="M1478" s="39" t="s">
        <v>4078</v>
      </c>
      <c r="N1478" s="103" t="s">
        <v>4627</v>
      </c>
      <c r="O1478" s="39" t="s">
        <v>54</v>
      </c>
      <c r="P1478" s="39" t="s">
        <v>65</v>
      </c>
      <c r="Q1478" s="40">
        <v>133</v>
      </c>
      <c r="R1478" s="40">
        <v>146.65496916286705</v>
      </c>
    </row>
    <row r="1479" spans="1:18" s="39" customFormat="1" ht="13.45" customHeight="1" x14ac:dyDescent="0.2">
      <c r="A1479" s="39" t="s">
        <v>4628</v>
      </c>
      <c r="B1479" s="39" t="s">
        <v>85</v>
      </c>
      <c r="C1479" s="39" t="s">
        <v>120</v>
      </c>
      <c r="D1479" s="39" t="s">
        <v>121</v>
      </c>
      <c r="E1479" s="39" t="s">
        <v>122</v>
      </c>
      <c r="F1479" s="39" t="s">
        <v>4629</v>
      </c>
      <c r="G1479" s="39" t="s">
        <v>125</v>
      </c>
      <c r="H1479" s="39" t="s">
        <v>162</v>
      </c>
      <c r="J1479" s="39" t="s">
        <v>124</v>
      </c>
      <c r="K1479" s="39" t="s">
        <v>5557</v>
      </c>
      <c r="L1479" s="103" t="s">
        <v>4630</v>
      </c>
      <c r="M1479" s="39" t="s">
        <v>4078</v>
      </c>
      <c r="N1479" s="179" t="s">
        <v>4631</v>
      </c>
      <c r="O1479" s="39" t="s">
        <v>54</v>
      </c>
      <c r="P1479" s="39" t="s">
        <v>65</v>
      </c>
      <c r="Q1479" s="40">
        <v>1200</v>
      </c>
      <c r="R1479" s="40">
        <v>1323.2027292890259</v>
      </c>
    </row>
    <row r="1480" spans="1:18" s="39" customFormat="1" ht="13.45" customHeight="1" x14ac:dyDescent="0.2">
      <c r="A1480" s="75" t="s">
        <v>4632</v>
      </c>
      <c r="B1480" s="75" t="s">
        <v>86</v>
      </c>
      <c r="C1480" s="75" t="s">
        <v>120</v>
      </c>
      <c r="D1480" s="75" t="s">
        <v>137</v>
      </c>
      <c r="E1480" s="75" t="s">
        <v>133</v>
      </c>
      <c r="F1480" s="75" t="s">
        <v>4633</v>
      </c>
      <c r="G1480" s="75" t="s">
        <v>158</v>
      </c>
      <c r="H1480" s="75"/>
      <c r="I1480" s="75"/>
      <c r="J1480" s="75" t="s">
        <v>124</v>
      </c>
      <c r="K1480" s="75" t="s">
        <v>5557</v>
      </c>
      <c r="L1480" s="75" t="s">
        <v>4634</v>
      </c>
      <c r="M1480" s="75" t="s">
        <v>4635</v>
      </c>
      <c r="N1480" s="75"/>
      <c r="O1480" s="75" t="s">
        <v>53</v>
      </c>
      <c r="P1480" s="75" t="s">
        <v>65</v>
      </c>
      <c r="Q1480" s="189">
        <v>2097</v>
      </c>
      <c r="R1480" s="40">
        <v>2312.296769432573</v>
      </c>
    </row>
    <row r="1481" spans="1:18" s="39" customFormat="1" ht="13.45" customHeight="1" x14ac:dyDescent="0.2">
      <c r="A1481" s="39" t="s">
        <v>4636</v>
      </c>
      <c r="B1481" s="39" t="s">
        <v>86</v>
      </c>
      <c r="C1481" s="39" t="s">
        <v>177</v>
      </c>
      <c r="D1481" s="39" t="s">
        <v>137</v>
      </c>
      <c r="E1481" s="39" t="s">
        <v>133</v>
      </c>
      <c r="F1481" s="39" t="s">
        <v>4637</v>
      </c>
      <c r="G1481" s="39" t="s">
        <v>152</v>
      </c>
      <c r="H1481" s="39" t="s">
        <v>134</v>
      </c>
      <c r="I1481" s="39" t="s">
        <v>162</v>
      </c>
      <c r="L1481" s="39" t="s">
        <v>4638</v>
      </c>
      <c r="M1481" s="39" t="s">
        <v>4639</v>
      </c>
      <c r="O1481" s="39" t="s">
        <v>54</v>
      </c>
      <c r="Q1481" s="148"/>
      <c r="R1481" s="40" t="s">
        <v>1604</v>
      </c>
    </row>
    <row r="1482" spans="1:18" s="39" customFormat="1" ht="13.45" customHeight="1" x14ac:dyDescent="0.2">
      <c r="A1482" s="39" t="s">
        <v>4640</v>
      </c>
      <c r="B1482" s="39" t="s">
        <v>86</v>
      </c>
      <c r="C1482" s="39" t="s">
        <v>171</v>
      </c>
      <c r="D1482" s="39" t="s">
        <v>137</v>
      </c>
      <c r="E1482" s="39" t="s">
        <v>133</v>
      </c>
      <c r="F1482" s="39" t="s">
        <v>4637</v>
      </c>
      <c r="G1482" s="39" t="s">
        <v>162</v>
      </c>
      <c r="H1482" s="39" t="s">
        <v>125</v>
      </c>
      <c r="J1482" s="39" t="s">
        <v>124</v>
      </c>
      <c r="K1482" s="39" t="s">
        <v>5557</v>
      </c>
      <c r="L1482" s="39" t="s">
        <v>4641</v>
      </c>
      <c r="M1482" s="39" t="s">
        <v>4642</v>
      </c>
      <c r="O1482" s="39" t="s">
        <v>55</v>
      </c>
      <c r="Q1482" s="148"/>
      <c r="R1482" s="40" t="s">
        <v>1604</v>
      </c>
    </row>
    <row r="1483" spans="1:18" s="39" customFormat="1" ht="13.45" customHeight="1" x14ac:dyDescent="0.2">
      <c r="A1483" s="39" t="s">
        <v>4643</v>
      </c>
      <c r="B1483" s="39" t="s">
        <v>86</v>
      </c>
      <c r="C1483" s="39" t="s">
        <v>171</v>
      </c>
      <c r="D1483" s="39" t="s">
        <v>137</v>
      </c>
      <c r="E1483" s="39" t="s">
        <v>151</v>
      </c>
      <c r="F1483" s="39" t="s">
        <v>4637</v>
      </c>
      <c r="G1483" s="39" t="s">
        <v>125</v>
      </c>
      <c r="J1483" s="39" t="s">
        <v>124</v>
      </c>
      <c r="K1483" s="39" t="s">
        <v>5557</v>
      </c>
      <c r="L1483" s="39" t="s">
        <v>4644</v>
      </c>
      <c r="M1483" s="39" t="s">
        <v>4642</v>
      </c>
      <c r="O1483" s="39" t="s">
        <v>54</v>
      </c>
      <c r="Q1483" s="148"/>
      <c r="R1483" s="40" t="s">
        <v>1604</v>
      </c>
    </row>
    <row r="1484" spans="1:18" s="39" customFormat="1" ht="13.45" customHeight="1" x14ac:dyDescent="0.2">
      <c r="A1484" s="39" t="s">
        <v>4645</v>
      </c>
      <c r="B1484" s="39" t="s">
        <v>86</v>
      </c>
      <c r="C1484" s="39" t="s">
        <v>171</v>
      </c>
      <c r="D1484" s="39" t="s">
        <v>121</v>
      </c>
      <c r="E1484" s="39" t="s">
        <v>172</v>
      </c>
      <c r="F1484" s="39" t="s">
        <v>4637</v>
      </c>
      <c r="G1484" s="39" t="s">
        <v>152</v>
      </c>
      <c r="H1484" s="39" t="s">
        <v>134</v>
      </c>
      <c r="I1484" s="39" t="s">
        <v>158</v>
      </c>
      <c r="J1484" s="39" t="s">
        <v>124</v>
      </c>
      <c r="K1484" s="39" t="s">
        <v>5557</v>
      </c>
      <c r="L1484" s="39" t="s">
        <v>4646</v>
      </c>
      <c r="M1484" s="39" t="s">
        <v>4642</v>
      </c>
      <c r="O1484" s="39" t="s">
        <v>52</v>
      </c>
      <c r="Q1484" s="148"/>
      <c r="R1484" s="40" t="s">
        <v>1604</v>
      </c>
    </row>
    <row r="1485" spans="1:18" s="39" customFormat="1" ht="13.45" customHeight="1" x14ac:dyDescent="0.2">
      <c r="A1485" s="39" t="s">
        <v>4647</v>
      </c>
      <c r="B1485" s="39" t="s">
        <v>86</v>
      </c>
      <c r="C1485" s="39" t="s">
        <v>171</v>
      </c>
      <c r="D1485" s="39" t="s">
        <v>121</v>
      </c>
      <c r="E1485" s="39" t="s">
        <v>199</v>
      </c>
      <c r="F1485" s="39" t="s">
        <v>4637</v>
      </c>
      <c r="G1485" s="39" t="s">
        <v>152</v>
      </c>
      <c r="J1485" s="39" t="s">
        <v>124</v>
      </c>
      <c r="K1485" s="39" t="s">
        <v>5557</v>
      </c>
      <c r="L1485" s="39" t="s">
        <v>4648</v>
      </c>
      <c r="M1485" s="39" t="s">
        <v>4649</v>
      </c>
      <c r="O1485" s="39" t="s">
        <v>52</v>
      </c>
      <c r="Q1485" s="148"/>
      <c r="R1485" s="40" t="s">
        <v>1604</v>
      </c>
    </row>
    <row r="1486" spans="1:18" s="39" customFormat="1" ht="13.45" customHeight="1" x14ac:dyDescent="0.2">
      <c r="A1486" s="39" t="s">
        <v>4650</v>
      </c>
      <c r="B1486" s="39" t="s">
        <v>86</v>
      </c>
      <c r="C1486" s="39" t="s">
        <v>120</v>
      </c>
      <c r="D1486" s="39" t="s">
        <v>121</v>
      </c>
      <c r="E1486" s="39" t="s">
        <v>166</v>
      </c>
      <c r="F1486" s="39" t="s">
        <v>4651</v>
      </c>
      <c r="G1486" s="39" t="s">
        <v>125</v>
      </c>
      <c r="H1486" s="39" t="s">
        <v>162</v>
      </c>
      <c r="I1486" s="39" t="s">
        <v>158</v>
      </c>
      <c r="J1486" s="39" t="s">
        <v>124</v>
      </c>
      <c r="K1486" s="39" t="s">
        <v>5557</v>
      </c>
      <c r="L1486" s="39" t="s">
        <v>4652</v>
      </c>
      <c r="M1486" s="39" t="s">
        <v>4653</v>
      </c>
      <c r="O1486" s="39" t="s">
        <v>53</v>
      </c>
      <c r="P1486" s="39" t="s">
        <v>65</v>
      </c>
      <c r="Q1486" s="148">
        <v>1030</v>
      </c>
      <c r="R1486" s="40">
        <v>1135.7490093064139</v>
      </c>
    </row>
    <row r="1487" spans="1:18" s="39" customFormat="1" ht="13.45" customHeight="1" x14ac:dyDescent="0.2">
      <c r="A1487" s="39" t="s">
        <v>4654</v>
      </c>
      <c r="B1487" s="39" t="s">
        <v>86</v>
      </c>
      <c r="C1487" s="39" t="s">
        <v>120</v>
      </c>
      <c r="D1487" s="39" t="s">
        <v>121</v>
      </c>
      <c r="E1487" s="39" t="s">
        <v>166</v>
      </c>
      <c r="F1487" s="39" t="s">
        <v>4655</v>
      </c>
      <c r="G1487" s="39" t="s">
        <v>125</v>
      </c>
      <c r="H1487" s="39" t="s">
        <v>162</v>
      </c>
      <c r="I1487" s="39" t="s">
        <v>158</v>
      </c>
      <c r="J1487" s="39" t="s">
        <v>124</v>
      </c>
      <c r="K1487" s="39" t="s">
        <v>5557</v>
      </c>
      <c r="L1487" s="39" t="s">
        <v>4656</v>
      </c>
      <c r="M1487" s="39" t="s">
        <v>4653</v>
      </c>
      <c r="O1487" s="39" t="s">
        <v>53</v>
      </c>
      <c r="Q1487" s="148"/>
      <c r="R1487" s="40" t="s">
        <v>1604</v>
      </c>
    </row>
    <row r="1488" spans="1:18" s="39" customFormat="1" ht="13.45" customHeight="1" x14ac:dyDescent="0.2">
      <c r="A1488" s="39" t="s">
        <v>4657</v>
      </c>
      <c r="B1488" s="39" t="s">
        <v>86</v>
      </c>
      <c r="C1488" s="39" t="s">
        <v>120</v>
      </c>
      <c r="D1488" s="39" t="s">
        <v>121</v>
      </c>
      <c r="E1488" s="39" t="s">
        <v>133</v>
      </c>
      <c r="F1488" s="39" t="s">
        <v>4655</v>
      </c>
      <c r="G1488" s="39" t="s">
        <v>162</v>
      </c>
      <c r="H1488" s="39" t="s">
        <v>152</v>
      </c>
      <c r="I1488" s="39" t="s">
        <v>134</v>
      </c>
      <c r="J1488" s="39" t="s">
        <v>124</v>
      </c>
      <c r="K1488" s="39" t="s">
        <v>5557</v>
      </c>
      <c r="L1488" s="39" t="s">
        <v>4658</v>
      </c>
      <c r="M1488" s="39" t="s">
        <v>4653</v>
      </c>
      <c r="O1488" s="39" t="s">
        <v>52</v>
      </c>
      <c r="Q1488" s="148"/>
      <c r="R1488" s="40" t="s">
        <v>1604</v>
      </c>
    </row>
    <row r="1489" spans="1:18" s="39" customFormat="1" ht="13.45" customHeight="1" x14ac:dyDescent="0.2">
      <c r="A1489" s="39" t="s">
        <v>4659</v>
      </c>
      <c r="B1489" s="39" t="s">
        <v>86</v>
      </c>
      <c r="C1489" s="39" t="s">
        <v>120</v>
      </c>
      <c r="D1489" s="39" t="s">
        <v>121</v>
      </c>
      <c r="E1489" s="39" t="s">
        <v>133</v>
      </c>
      <c r="F1489" s="39" t="s">
        <v>4660</v>
      </c>
      <c r="G1489" s="39" t="s">
        <v>125</v>
      </c>
      <c r="H1489" s="39" t="s">
        <v>162</v>
      </c>
      <c r="I1489" s="39" t="s">
        <v>152</v>
      </c>
      <c r="J1489" s="39" t="s">
        <v>124</v>
      </c>
      <c r="K1489" s="39" t="s">
        <v>5557</v>
      </c>
      <c r="L1489" s="39" t="s">
        <v>4661</v>
      </c>
      <c r="M1489" s="39" t="s">
        <v>4653</v>
      </c>
      <c r="O1489" s="39" t="s">
        <v>52</v>
      </c>
      <c r="P1489" s="39" t="s">
        <v>65</v>
      </c>
      <c r="Q1489" s="148">
        <v>741.5</v>
      </c>
      <c r="R1489" s="40">
        <v>817.62901980651066</v>
      </c>
    </row>
    <row r="1490" spans="1:18" s="39" customFormat="1" ht="13.45" customHeight="1" x14ac:dyDescent="0.2">
      <c r="A1490" s="39" t="s">
        <v>4662</v>
      </c>
      <c r="B1490" s="39" t="s">
        <v>86</v>
      </c>
      <c r="C1490" s="39" t="s">
        <v>120</v>
      </c>
      <c r="D1490" s="39" t="s">
        <v>121</v>
      </c>
      <c r="E1490" s="39" t="s">
        <v>133</v>
      </c>
      <c r="F1490" s="39" t="s">
        <v>4663</v>
      </c>
      <c r="G1490" s="39" t="s">
        <v>208</v>
      </c>
      <c r="H1490" s="39" t="s">
        <v>125</v>
      </c>
      <c r="I1490" s="39" t="s">
        <v>134</v>
      </c>
      <c r="J1490" s="39" t="s">
        <v>124</v>
      </c>
      <c r="K1490" s="39" t="s">
        <v>5557</v>
      </c>
      <c r="L1490" s="39" t="s">
        <v>4664</v>
      </c>
      <c r="M1490" s="39" t="s">
        <v>4653</v>
      </c>
      <c r="O1490" s="39" t="s">
        <v>52</v>
      </c>
      <c r="P1490" s="39" t="s">
        <v>65</v>
      </c>
      <c r="Q1490" s="148">
        <v>159</v>
      </c>
      <c r="R1490" s="40">
        <v>175.32436163079595</v>
      </c>
    </row>
    <row r="1491" spans="1:18" s="39" customFormat="1" ht="13.45" customHeight="1" x14ac:dyDescent="0.2">
      <c r="A1491" s="39" t="s">
        <v>4665</v>
      </c>
      <c r="B1491" s="39" t="s">
        <v>86</v>
      </c>
      <c r="C1491" s="39" t="s">
        <v>120</v>
      </c>
      <c r="D1491" s="39" t="s">
        <v>121</v>
      </c>
      <c r="E1491" s="39" t="s">
        <v>147</v>
      </c>
      <c r="F1491" s="39" t="s">
        <v>4666</v>
      </c>
      <c r="G1491" s="39" t="s">
        <v>125</v>
      </c>
      <c r="H1491" s="39" t="s">
        <v>162</v>
      </c>
      <c r="J1491" s="39" t="s">
        <v>124</v>
      </c>
      <c r="K1491" s="39" t="s">
        <v>5557</v>
      </c>
      <c r="L1491" s="39" t="s">
        <v>4667</v>
      </c>
      <c r="M1491" s="39" t="s">
        <v>4653</v>
      </c>
      <c r="O1491" s="39" t="s">
        <v>52</v>
      </c>
      <c r="P1491" s="39" t="s">
        <v>65</v>
      </c>
      <c r="Q1491" s="148">
        <v>368</v>
      </c>
      <c r="R1491" s="40">
        <v>405.7821703153013</v>
      </c>
    </row>
    <row r="1492" spans="1:18" s="50" customFormat="1" ht="13.45" customHeight="1" x14ac:dyDescent="0.2">
      <c r="A1492" s="39" t="s">
        <v>4668</v>
      </c>
      <c r="B1492" s="39" t="s">
        <v>86</v>
      </c>
      <c r="C1492" s="39" t="s">
        <v>120</v>
      </c>
      <c r="D1492" s="39" t="s">
        <v>121</v>
      </c>
      <c r="E1492" s="39" t="s">
        <v>251</v>
      </c>
      <c r="F1492" s="39" t="s">
        <v>4669</v>
      </c>
      <c r="G1492" s="39" t="s">
        <v>125</v>
      </c>
      <c r="H1492" s="39" t="s">
        <v>162</v>
      </c>
      <c r="I1492" s="39" t="s">
        <v>158</v>
      </c>
      <c r="J1492" s="39" t="s">
        <v>124</v>
      </c>
      <c r="K1492" s="39" t="s">
        <v>5557</v>
      </c>
      <c r="L1492" s="39" t="s">
        <v>4670</v>
      </c>
      <c r="M1492" s="39" t="s">
        <v>4653</v>
      </c>
      <c r="N1492" s="39"/>
      <c r="O1492" s="39" t="s">
        <v>52</v>
      </c>
      <c r="P1492" s="39" t="s">
        <v>65</v>
      </c>
      <c r="Q1492" s="148">
        <v>801</v>
      </c>
      <c r="R1492" s="40">
        <v>883.23782180042485</v>
      </c>
    </row>
    <row r="1493" spans="1:18" s="39" customFormat="1" ht="13.45" customHeight="1" x14ac:dyDescent="0.2">
      <c r="A1493" s="39" t="s">
        <v>4671</v>
      </c>
      <c r="B1493" s="39" t="s">
        <v>86</v>
      </c>
      <c r="C1493" s="39" t="s">
        <v>120</v>
      </c>
      <c r="D1493" s="39" t="s">
        <v>121</v>
      </c>
      <c r="E1493" s="39" t="s">
        <v>151</v>
      </c>
      <c r="F1493" s="39" t="s">
        <v>4672</v>
      </c>
      <c r="G1493" s="39" t="s">
        <v>125</v>
      </c>
      <c r="H1493" s="39" t="s">
        <v>162</v>
      </c>
      <c r="I1493" s="39" t="s">
        <v>158</v>
      </c>
      <c r="J1493" s="39" t="s">
        <v>124</v>
      </c>
      <c r="K1493" s="39" t="s">
        <v>5557</v>
      </c>
      <c r="L1493" s="39" t="s">
        <v>4673</v>
      </c>
      <c r="M1493" s="39" t="s">
        <v>4653</v>
      </c>
      <c r="O1493" s="39" t="s">
        <v>52</v>
      </c>
      <c r="P1493" s="39" t="s">
        <v>65</v>
      </c>
      <c r="Q1493" s="148">
        <v>232</v>
      </c>
      <c r="R1493" s="40">
        <v>255.81919432921168</v>
      </c>
    </row>
    <row r="1494" spans="1:18" s="39" customFormat="1" ht="13.45" customHeight="1" x14ac:dyDescent="0.2">
      <c r="A1494" s="39" t="s">
        <v>4674</v>
      </c>
      <c r="B1494" s="39" t="s">
        <v>86</v>
      </c>
      <c r="C1494" s="39" t="s">
        <v>171</v>
      </c>
      <c r="D1494" s="39" t="s">
        <v>121</v>
      </c>
      <c r="E1494" s="39" t="s">
        <v>133</v>
      </c>
      <c r="F1494" s="39" t="s">
        <v>4637</v>
      </c>
      <c r="G1494" s="39" t="s">
        <v>125</v>
      </c>
      <c r="H1494" s="39" t="s">
        <v>162</v>
      </c>
      <c r="I1494" s="39" t="s">
        <v>152</v>
      </c>
      <c r="J1494" s="39" t="s">
        <v>124</v>
      </c>
      <c r="K1494" s="39" t="s">
        <v>124</v>
      </c>
      <c r="L1494" s="39" t="s">
        <v>4675</v>
      </c>
      <c r="M1494" s="39" t="s">
        <v>4653</v>
      </c>
      <c r="O1494" s="39" t="s">
        <v>52</v>
      </c>
      <c r="Q1494" s="148"/>
      <c r="R1494" s="40" t="s">
        <v>1604</v>
      </c>
    </row>
    <row r="1495" spans="1:18" s="39" customFormat="1" ht="13.45" customHeight="1" x14ac:dyDescent="0.2">
      <c r="A1495" s="39" t="s">
        <v>4676</v>
      </c>
      <c r="B1495" s="39" t="s">
        <v>86</v>
      </c>
      <c r="C1495" s="39" t="s">
        <v>171</v>
      </c>
      <c r="D1495" s="39" t="s">
        <v>121</v>
      </c>
      <c r="E1495" s="39" t="s">
        <v>151</v>
      </c>
      <c r="F1495" s="39" t="s">
        <v>4637</v>
      </c>
      <c r="G1495" s="39" t="s">
        <v>125</v>
      </c>
      <c r="H1495" s="39" t="s">
        <v>158</v>
      </c>
      <c r="J1495" s="39" t="s">
        <v>124</v>
      </c>
      <c r="K1495" s="39" t="s">
        <v>124</v>
      </c>
      <c r="L1495" s="39" t="s">
        <v>4677</v>
      </c>
      <c r="M1495" s="39" t="s">
        <v>4653</v>
      </c>
      <c r="O1495" s="39" t="s">
        <v>52</v>
      </c>
      <c r="Q1495" s="148"/>
      <c r="R1495" s="40" t="s">
        <v>1604</v>
      </c>
    </row>
    <row r="1496" spans="1:18" s="39" customFormat="1" ht="13.45" customHeight="1" x14ac:dyDescent="0.2">
      <c r="A1496" s="39" t="s">
        <v>4678</v>
      </c>
      <c r="B1496" s="39" t="s">
        <v>86</v>
      </c>
      <c r="C1496" s="39" t="s">
        <v>171</v>
      </c>
      <c r="D1496" s="39" t="s">
        <v>121</v>
      </c>
      <c r="E1496" s="39" t="s">
        <v>251</v>
      </c>
      <c r="F1496" s="39" t="s">
        <v>4637</v>
      </c>
      <c r="G1496" s="39" t="s">
        <v>125</v>
      </c>
      <c r="H1496" s="39" t="s">
        <v>162</v>
      </c>
      <c r="I1496" s="39" t="s">
        <v>158</v>
      </c>
      <c r="J1496" s="39" t="s">
        <v>124</v>
      </c>
      <c r="K1496" s="39" t="s">
        <v>124</v>
      </c>
      <c r="L1496" s="39" t="s">
        <v>4679</v>
      </c>
      <c r="M1496" s="39" t="s">
        <v>4653</v>
      </c>
      <c r="O1496" s="39" t="s">
        <v>52</v>
      </c>
      <c r="Q1496" s="148"/>
      <c r="R1496" s="40" t="s">
        <v>1604</v>
      </c>
    </row>
    <row r="1497" spans="1:18" s="39" customFormat="1" ht="13.45" customHeight="1" x14ac:dyDescent="0.2">
      <c r="A1497" s="39" t="s">
        <v>4680</v>
      </c>
      <c r="B1497" s="39" t="s">
        <v>86</v>
      </c>
      <c r="C1497" s="39" t="s">
        <v>171</v>
      </c>
      <c r="D1497" s="39" t="s">
        <v>121</v>
      </c>
      <c r="E1497" s="39" t="s">
        <v>147</v>
      </c>
      <c r="F1497" s="39" t="s">
        <v>4637</v>
      </c>
      <c r="G1497" s="39" t="s">
        <v>125</v>
      </c>
      <c r="H1497" s="39" t="s">
        <v>162</v>
      </c>
      <c r="J1497" s="39" t="s">
        <v>124</v>
      </c>
      <c r="K1497" s="39" t="s">
        <v>124</v>
      </c>
      <c r="L1497" s="39" t="s">
        <v>4681</v>
      </c>
      <c r="M1497" s="39" t="s">
        <v>4653</v>
      </c>
      <c r="O1497" s="39" t="s">
        <v>52</v>
      </c>
      <c r="Q1497" s="148"/>
      <c r="R1497" s="40" t="s">
        <v>1604</v>
      </c>
    </row>
    <row r="1498" spans="1:18" s="39" customFormat="1" ht="13.45" customHeight="1" x14ac:dyDescent="0.2">
      <c r="A1498" s="39" t="s">
        <v>4682</v>
      </c>
      <c r="B1498" s="39" t="s">
        <v>86</v>
      </c>
      <c r="C1498" s="39" t="s">
        <v>171</v>
      </c>
      <c r="D1498" s="39" t="s">
        <v>121</v>
      </c>
      <c r="E1498" s="39" t="s">
        <v>133</v>
      </c>
      <c r="F1498" s="39" t="s">
        <v>4637</v>
      </c>
      <c r="G1498" s="39" t="s">
        <v>208</v>
      </c>
      <c r="H1498" s="39" t="s">
        <v>125</v>
      </c>
      <c r="I1498" s="39" t="s">
        <v>134</v>
      </c>
      <c r="J1498" s="39" t="s">
        <v>124</v>
      </c>
      <c r="K1498" s="39" t="s">
        <v>124</v>
      </c>
      <c r="L1498" s="39" t="s">
        <v>4683</v>
      </c>
      <c r="M1498" s="39" t="s">
        <v>4653</v>
      </c>
      <c r="O1498" s="39" t="s">
        <v>52</v>
      </c>
      <c r="Q1498" s="148"/>
      <c r="R1498" s="40" t="s">
        <v>1604</v>
      </c>
    </row>
    <row r="1499" spans="1:18" s="39" customFormat="1" ht="13.45" customHeight="1" x14ac:dyDescent="0.2">
      <c r="A1499" s="39" t="s">
        <v>4684</v>
      </c>
      <c r="B1499" s="39" t="s">
        <v>86</v>
      </c>
      <c r="C1499" s="39" t="s">
        <v>120</v>
      </c>
      <c r="D1499" s="39" t="s">
        <v>121</v>
      </c>
      <c r="E1499" s="39" t="s">
        <v>133</v>
      </c>
      <c r="F1499" s="39" t="s">
        <v>4685</v>
      </c>
      <c r="G1499" s="39" t="s">
        <v>125</v>
      </c>
      <c r="H1499" s="39" t="s">
        <v>162</v>
      </c>
      <c r="I1499" s="39" t="s">
        <v>134</v>
      </c>
      <c r="J1499" s="39" t="s">
        <v>124</v>
      </c>
      <c r="K1499" s="39" t="s">
        <v>124</v>
      </c>
      <c r="L1499" s="39" t="s">
        <v>4686</v>
      </c>
      <c r="M1499" s="39" t="s">
        <v>4653</v>
      </c>
      <c r="O1499" s="39" t="s">
        <v>52</v>
      </c>
      <c r="P1499" s="39" t="s">
        <v>65</v>
      </c>
      <c r="Q1499" s="148">
        <v>78.7</v>
      </c>
      <c r="R1499" s="40">
        <v>86.780045662538626</v>
      </c>
    </row>
    <row r="1500" spans="1:18" s="39" customFormat="1" ht="13.45" customHeight="1" x14ac:dyDescent="0.2">
      <c r="A1500" s="39" t="s">
        <v>4687</v>
      </c>
      <c r="B1500" s="39" t="s">
        <v>87</v>
      </c>
      <c r="C1500" s="39" t="s">
        <v>120</v>
      </c>
      <c r="D1500" s="39" t="s">
        <v>121</v>
      </c>
      <c r="E1500" s="39" t="s">
        <v>151</v>
      </c>
      <c r="F1500" s="39" t="s">
        <v>4688</v>
      </c>
      <c r="G1500" s="39" t="s">
        <v>125</v>
      </c>
      <c r="H1500" s="39" t="s">
        <v>162</v>
      </c>
      <c r="J1500" s="39" t="s">
        <v>124</v>
      </c>
      <c r="K1500" s="39" t="s">
        <v>5557</v>
      </c>
      <c r="L1500" s="48" t="s">
        <v>4689</v>
      </c>
      <c r="M1500" s="39" t="s">
        <v>4690</v>
      </c>
      <c r="O1500" s="39" t="s">
        <v>52</v>
      </c>
      <c r="P1500" s="39" t="s">
        <v>65</v>
      </c>
      <c r="Q1500" s="39">
        <v>11</v>
      </c>
      <c r="R1500" s="40">
        <v>12.129358351816071</v>
      </c>
    </row>
    <row r="1501" spans="1:18" s="39" customFormat="1" ht="13.45" customHeight="1" x14ac:dyDescent="0.2">
      <c r="A1501" s="39" t="s">
        <v>4691</v>
      </c>
      <c r="B1501" s="39" t="s">
        <v>87</v>
      </c>
      <c r="C1501" s="39" t="s">
        <v>120</v>
      </c>
      <c r="D1501" s="39" t="s">
        <v>121</v>
      </c>
      <c r="E1501" s="39" t="s">
        <v>151</v>
      </c>
      <c r="F1501" s="39" t="s">
        <v>308</v>
      </c>
      <c r="G1501" s="39" t="s">
        <v>125</v>
      </c>
      <c r="H1501" s="39" t="s">
        <v>162</v>
      </c>
      <c r="J1501" s="39" t="s">
        <v>124</v>
      </c>
      <c r="K1501" s="39" t="s">
        <v>5557</v>
      </c>
      <c r="L1501" s="48" t="s">
        <v>4692</v>
      </c>
      <c r="M1501" s="39" t="s">
        <v>4693</v>
      </c>
      <c r="O1501" s="39" t="s">
        <v>52</v>
      </c>
      <c r="P1501" s="39" t="s">
        <v>65</v>
      </c>
      <c r="Q1501" s="39">
        <v>50</v>
      </c>
      <c r="R1501" s="40">
        <v>55.133447053709418</v>
      </c>
    </row>
    <row r="1502" spans="1:18" s="39" customFormat="1" ht="13.45" customHeight="1" x14ac:dyDescent="0.2">
      <c r="A1502" s="39" t="s">
        <v>4694</v>
      </c>
      <c r="B1502" s="39" t="s">
        <v>87</v>
      </c>
      <c r="C1502" s="39" t="s">
        <v>120</v>
      </c>
      <c r="D1502" s="39" t="s">
        <v>121</v>
      </c>
      <c r="E1502" s="39" t="s">
        <v>151</v>
      </c>
      <c r="F1502" s="39" t="s">
        <v>4695</v>
      </c>
      <c r="G1502" s="39" t="s">
        <v>125</v>
      </c>
      <c r="H1502" s="39" t="s">
        <v>162</v>
      </c>
      <c r="J1502" s="39" t="s">
        <v>124</v>
      </c>
      <c r="K1502" s="39" t="s">
        <v>5557</v>
      </c>
      <c r="L1502" s="48" t="s">
        <v>4696</v>
      </c>
      <c r="M1502" s="39" t="s">
        <v>4697</v>
      </c>
      <c r="O1502" s="39" t="s">
        <v>52</v>
      </c>
      <c r="P1502" s="39" t="s">
        <v>65</v>
      </c>
      <c r="Q1502" s="39">
        <v>80</v>
      </c>
      <c r="R1502" s="40">
        <v>88.21351528593506</v>
      </c>
    </row>
    <row r="1503" spans="1:18" s="39" customFormat="1" ht="13.45" customHeight="1" x14ac:dyDescent="0.2">
      <c r="A1503" s="39" t="s">
        <v>4698</v>
      </c>
      <c r="B1503" s="39" t="s">
        <v>87</v>
      </c>
      <c r="C1503" s="39" t="s">
        <v>120</v>
      </c>
      <c r="D1503" s="39" t="s">
        <v>121</v>
      </c>
      <c r="E1503" s="39" t="s">
        <v>151</v>
      </c>
      <c r="F1503" s="39" t="s">
        <v>406</v>
      </c>
      <c r="G1503" s="39" t="s">
        <v>125</v>
      </c>
      <c r="H1503" s="39" t="s">
        <v>162</v>
      </c>
      <c r="J1503" s="39" t="s">
        <v>124</v>
      </c>
      <c r="K1503" s="39" t="s">
        <v>5557</v>
      </c>
      <c r="L1503" s="48" t="s">
        <v>4699</v>
      </c>
      <c r="M1503" s="39" t="s">
        <v>4700</v>
      </c>
      <c r="O1503" s="39" t="s">
        <v>52</v>
      </c>
      <c r="P1503" s="39" t="s">
        <v>65</v>
      </c>
      <c r="Q1503" s="39">
        <v>5</v>
      </c>
      <c r="R1503" s="40">
        <v>5.5133447053709412</v>
      </c>
    </row>
    <row r="1504" spans="1:18" s="39" customFormat="1" ht="13.45" customHeight="1" x14ac:dyDescent="0.2">
      <c r="A1504" s="39" t="s">
        <v>4701</v>
      </c>
      <c r="B1504" s="39" t="s">
        <v>87</v>
      </c>
      <c r="C1504" s="39" t="s">
        <v>120</v>
      </c>
      <c r="D1504" s="39" t="s">
        <v>121</v>
      </c>
      <c r="E1504" s="39" t="s">
        <v>166</v>
      </c>
      <c r="F1504" s="39" t="s">
        <v>4702</v>
      </c>
      <c r="G1504" s="39" t="s">
        <v>125</v>
      </c>
      <c r="H1504" s="39" t="s">
        <v>162</v>
      </c>
      <c r="J1504" s="39" t="s">
        <v>124</v>
      </c>
      <c r="K1504" s="39" t="s">
        <v>5557</v>
      </c>
      <c r="L1504" s="48" t="s">
        <v>4703</v>
      </c>
      <c r="M1504" s="39" t="s">
        <v>4704</v>
      </c>
      <c r="O1504" s="39" t="s">
        <v>52</v>
      </c>
      <c r="P1504" s="39" t="s">
        <v>65</v>
      </c>
      <c r="Q1504" s="39">
        <v>86.05</v>
      </c>
      <c r="R1504" s="40">
        <v>94.884662379433905</v>
      </c>
    </row>
    <row r="1505" spans="1:18" s="39" customFormat="1" ht="13.45" customHeight="1" x14ac:dyDescent="0.2">
      <c r="A1505" s="39" t="s">
        <v>4705</v>
      </c>
      <c r="B1505" s="39" t="s">
        <v>87</v>
      </c>
      <c r="C1505" s="39" t="s">
        <v>120</v>
      </c>
      <c r="D1505" s="39" t="s">
        <v>137</v>
      </c>
      <c r="E1505" s="39" t="s">
        <v>133</v>
      </c>
      <c r="F1505" s="39" t="s">
        <v>4706</v>
      </c>
      <c r="G1505" s="39" t="s">
        <v>125</v>
      </c>
      <c r="H1505" s="39" t="s">
        <v>208</v>
      </c>
      <c r="J1505" s="39" t="s">
        <v>124</v>
      </c>
      <c r="K1505" s="39" t="s">
        <v>5557</v>
      </c>
      <c r="L1505" s="48" t="s">
        <v>4707</v>
      </c>
      <c r="M1505" s="39" t="s">
        <v>4708</v>
      </c>
      <c r="O1505" s="39" t="s">
        <v>52</v>
      </c>
      <c r="P1505" s="39" t="s">
        <v>65</v>
      </c>
      <c r="Q1505" s="39">
        <v>25</v>
      </c>
      <c r="R1505" s="40">
        <v>27.566723526854709</v>
      </c>
    </row>
    <row r="1506" spans="1:18" s="39" customFormat="1" ht="13.45" customHeight="1" x14ac:dyDescent="0.2">
      <c r="A1506" s="39" t="s">
        <v>4709</v>
      </c>
      <c r="B1506" s="39" t="s">
        <v>87</v>
      </c>
      <c r="C1506" s="39" t="s">
        <v>120</v>
      </c>
      <c r="D1506" s="39" t="s">
        <v>137</v>
      </c>
      <c r="E1506" s="39" t="s">
        <v>133</v>
      </c>
      <c r="F1506" s="39" t="s">
        <v>4710</v>
      </c>
      <c r="G1506" s="39" t="s">
        <v>125</v>
      </c>
      <c r="H1506" s="39" t="s">
        <v>208</v>
      </c>
      <c r="I1506" s="39" t="s">
        <v>153</v>
      </c>
      <c r="J1506" s="39" t="s">
        <v>124</v>
      </c>
      <c r="K1506" s="39" t="s">
        <v>5557</v>
      </c>
      <c r="L1506" s="48" t="s">
        <v>4711</v>
      </c>
      <c r="M1506" s="39" t="s">
        <v>4712</v>
      </c>
      <c r="O1506" s="39" t="s">
        <v>52</v>
      </c>
      <c r="P1506" s="39" t="s">
        <v>65</v>
      </c>
      <c r="Q1506" s="39">
        <v>335</v>
      </c>
      <c r="R1506" s="40">
        <v>369.39409525985309</v>
      </c>
    </row>
    <row r="1507" spans="1:18" s="39" customFormat="1" ht="13.45" customHeight="1" x14ac:dyDescent="0.2">
      <c r="A1507" s="39" t="s">
        <v>4713</v>
      </c>
      <c r="B1507" s="39" t="s">
        <v>87</v>
      </c>
      <c r="C1507" s="39" t="s">
        <v>120</v>
      </c>
      <c r="D1507" s="39" t="s">
        <v>121</v>
      </c>
      <c r="E1507" s="39" t="s">
        <v>292</v>
      </c>
      <c r="F1507" s="39" t="s">
        <v>4714</v>
      </c>
      <c r="G1507" s="39" t="s">
        <v>125</v>
      </c>
      <c r="H1507" s="39" t="s">
        <v>208</v>
      </c>
      <c r="I1507" s="39" t="s">
        <v>134</v>
      </c>
      <c r="J1507" s="39" t="s">
        <v>124</v>
      </c>
      <c r="K1507" s="39" t="s">
        <v>5557</v>
      </c>
      <c r="L1507" s="48" t="s">
        <v>4715</v>
      </c>
      <c r="M1507" s="39" t="s">
        <v>4716</v>
      </c>
      <c r="O1507" s="39" t="s">
        <v>52</v>
      </c>
      <c r="P1507" s="39" t="s">
        <v>65</v>
      </c>
      <c r="Q1507" s="39">
        <v>5.0999999999999996</v>
      </c>
      <c r="R1507" s="40">
        <v>5.6236115994783598</v>
      </c>
    </row>
    <row r="1508" spans="1:18" s="39" customFormat="1" ht="13.45" customHeight="1" x14ac:dyDescent="0.2">
      <c r="A1508" s="39" t="s">
        <v>4717</v>
      </c>
      <c r="B1508" s="39" t="s">
        <v>87</v>
      </c>
      <c r="C1508" s="39" t="s">
        <v>120</v>
      </c>
      <c r="D1508" s="39" t="s">
        <v>137</v>
      </c>
      <c r="E1508" s="39" t="s">
        <v>133</v>
      </c>
      <c r="F1508" s="39" t="s">
        <v>4718</v>
      </c>
      <c r="G1508" s="39" t="s">
        <v>152</v>
      </c>
      <c r="J1508" s="39" t="s">
        <v>124</v>
      </c>
      <c r="K1508" s="39" t="s">
        <v>5557</v>
      </c>
      <c r="L1508" s="48" t="s">
        <v>4719</v>
      </c>
      <c r="M1508" s="39" t="s">
        <v>4720</v>
      </c>
      <c r="O1508" s="39" t="s">
        <v>52</v>
      </c>
      <c r="P1508" s="39" t="s">
        <v>65</v>
      </c>
      <c r="Q1508" s="39">
        <v>107.7</v>
      </c>
      <c r="R1508" s="40">
        <v>118.75744495369008</v>
      </c>
    </row>
    <row r="1509" spans="1:18" s="39" customFormat="1" ht="13.45" customHeight="1" x14ac:dyDescent="0.2">
      <c r="A1509" s="39" t="s">
        <v>4721</v>
      </c>
      <c r="B1509" s="39" t="s">
        <v>87</v>
      </c>
      <c r="C1509" s="39" t="s">
        <v>120</v>
      </c>
      <c r="D1509" s="39" t="s">
        <v>121</v>
      </c>
      <c r="E1509" s="39" t="s">
        <v>251</v>
      </c>
      <c r="F1509" s="39" t="s">
        <v>4722</v>
      </c>
      <c r="G1509" s="39" t="s">
        <v>125</v>
      </c>
      <c r="H1509" s="39" t="s">
        <v>162</v>
      </c>
      <c r="J1509" s="39" t="s">
        <v>124</v>
      </c>
      <c r="K1509" s="39" t="s">
        <v>5557</v>
      </c>
      <c r="L1509" s="48" t="s">
        <v>4723</v>
      </c>
      <c r="M1509" s="39" t="s">
        <v>4724</v>
      </c>
      <c r="O1509" s="39" t="s">
        <v>52</v>
      </c>
      <c r="P1509" s="39" t="s">
        <v>65</v>
      </c>
      <c r="Q1509" s="39">
        <v>5.75</v>
      </c>
      <c r="R1509" s="40">
        <v>6.3403464111765828</v>
      </c>
    </row>
    <row r="1510" spans="1:18" s="39" customFormat="1" ht="13.45" customHeight="1" x14ac:dyDescent="0.2">
      <c r="A1510" s="39" t="s">
        <v>4725</v>
      </c>
      <c r="B1510" s="39" t="s">
        <v>87</v>
      </c>
      <c r="C1510" s="39" t="s">
        <v>120</v>
      </c>
      <c r="D1510" s="39" t="s">
        <v>160</v>
      </c>
      <c r="E1510" s="39" t="s">
        <v>251</v>
      </c>
      <c r="F1510" s="39" t="s">
        <v>4726</v>
      </c>
      <c r="G1510" s="39" t="s">
        <v>125</v>
      </c>
      <c r="H1510" s="39" t="s">
        <v>162</v>
      </c>
      <c r="J1510" s="39" t="s">
        <v>124</v>
      </c>
      <c r="K1510" s="39" t="s">
        <v>5557</v>
      </c>
      <c r="L1510" s="48" t="s">
        <v>4727</v>
      </c>
      <c r="M1510" s="39" t="s">
        <v>4728</v>
      </c>
      <c r="O1510" s="39" t="s">
        <v>52</v>
      </c>
      <c r="P1510" s="39" t="s">
        <v>65</v>
      </c>
      <c r="Q1510" s="39">
        <v>280</v>
      </c>
      <c r="R1510" s="40">
        <v>308.74730350077272</v>
      </c>
    </row>
    <row r="1511" spans="1:18" s="39" customFormat="1" ht="13.45" customHeight="1" x14ac:dyDescent="0.2">
      <c r="A1511" s="39" t="s">
        <v>4729</v>
      </c>
      <c r="B1511" s="39" t="s">
        <v>87</v>
      </c>
      <c r="C1511" s="39" t="s">
        <v>120</v>
      </c>
      <c r="D1511" s="39" t="s">
        <v>121</v>
      </c>
      <c r="E1511" s="39" t="s">
        <v>251</v>
      </c>
      <c r="F1511" s="39" t="s">
        <v>4730</v>
      </c>
      <c r="G1511" s="39" t="s">
        <v>125</v>
      </c>
      <c r="H1511" s="39" t="s">
        <v>162</v>
      </c>
      <c r="J1511" s="39" t="s">
        <v>124</v>
      </c>
      <c r="K1511" s="39" t="s">
        <v>5557</v>
      </c>
      <c r="L1511" s="48" t="s">
        <v>4731</v>
      </c>
      <c r="M1511" s="39" t="s">
        <v>4732</v>
      </c>
      <c r="O1511" s="39" t="s">
        <v>52</v>
      </c>
      <c r="P1511" s="39" t="s">
        <v>65</v>
      </c>
      <c r="Q1511" s="39">
        <v>22.05</v>
      </c>
      <c r="R1511" s="40">
        <v>24.313850150685852</v>
      </c>
    </row>
    <row r="1512" spans="1:18" s="39" customFormat="1" ht="13.45" customHeight="1" x14ac:dyDescent="0.2">
      <c r="A1512" s="39" t="s">
        <v>4733</v>
      </c>
      <c r="B1512" s="39" t="s">
        <v>87</v>
      </c>
      <c r="C1512" s="39" t="s">
        <v>120</v>
      </c>
      <c r="D1512" s="39" t="s">
        <v>137</v>
      </c>
      <c r="E1512" s="39" t="s">
        <v>133</v>
      </c>
      <c r="F1512" s="39" t="s">
        <v>416</v>
      </c>
      <c r="G1512" s="39" t="s">
        <v>125</v>
      </c>
      <c r="H1512" s="39" t="s">
        <v>162</v>
      </c>
      <c r="I1512" s="39" t="s">
        <v>152</v>
      </c>
      <c r="J1512" s="39" t="s">
        <v>124</v>
      </c>
      <c r="K1512" s="39" t="s">
        <v>5557</v>
      </c>
      <c r="L1512" s="48" t="s">
        <v>4734</v>
      </c>
      <c r="M1512" s="39" t="s">
        <v>4735</v>
      </c>
      <c r="O1512" s="39" t="s">
        <v>52</v>
      </c>
      <c r="P1512" s="39" t="s">
        <v>65</v>
      </c>
      <c r="Q1512" s="39">
        <v>20</v>
      </c>
      <c r="R1512" s="40">
        <v>22.053378821483765</v>
      </c>
    </row>
    <row r="1513" spans="1:18" s="39" customFormat="1" ht="13.45" customHeight="1" x14ac:dyDescent="0.2">
      <c r="A1513" s="39" t="s">
        <v>4736</v>
      </c>
      <c r="B1513" s="39" t="s">
        <v>87</v>
      </c>
      <c r="C1513" s="39" t="s">
        <v>120</v>
      </c>
      <c r="D1513" s="39" t="s">
        <v>121</v>
      </c>
      <c r="E1513" s="39" t="s">
        <v>292</v>
      </c>
      <c r="F1513" s="39" t="s">
        <v>4737</v>
      </c>
      <c r="G1513" s="39" t="s">
        <v>125</v>
      </c>
      <c r="H1513" s="39" t="s">
        <v>162</v>
      </c>
      <c r="J1513" s="39" t="s">
        <v>124</v>
      </c>
      <c r="K1513" s="39" t="s">
        <v>5557</v>
      </c>
      <c r="L1513" s="48" t="s">
        <v>4738</v>
      </c>
      <c r="M1513" s="39" t="s">
        <v>4739</v>
      </c>
      <c r="O1513" s="39" t="s">
        <v>52</v>
      </c>
      <c r="P1513" s="39" t="s">
        <v>65</v>
      </c>
      <c r="Q1513" s="39">
        <v>28</v>
      </c>
      <c r="R1513" s="40">
        <v>30.874730350077272</v>
      </c>
    </row>
    <row r="1514" spans="1:18" s="39" customFormat="1" ht="13.25" customHeight="1" x14ac:dyDescent="0.2">
      <c r="A1514" s="39" t="s">
        <v>4740</v>
      </c>
      <c r="B1514" s="39" t="s">
        <v>87</v>
      </c>
      <c r="C1514" s="39" t="s">
        <v>280</v>
      </c>
      <c r="D1514" s="39" t="s">
        <v>137</v>
      </c>
      <c r="E1514" s="39" t="s">
        <v>133</v>
      </c>
      <c r="F1514" s="39" t="s">
        <v>4741</v>
      </c>
      <c r="G1514" s="39" t="s">
        <v>125</v>
      </c>
      <c r="H1514" s="39" t="s">
        <v>162</v>
      </c>
      <c r="I1514" s="39" t="s">
        <v>152</v>
      </c>
      <c r="J1514" s="39" t="s">
        <v>124</v>
      </c>
      <c r="K1514" s="39" t="s">
        <v>5557</v>
      </c>
      <c r="L1514" s="48" t="s">
        <v>4742</v>
      </c>
      <c r="M1514" s="39" t="s">
        <v>4743</v>
      </c>
      <c r="O1514" s="39" t="s">
        <v>52</v>
      </c>
      <c r="P1514" s="39" t="s">
        <v>65</v>
      </c>
      <c r="Q1514" s="39">
        <v>65</v>
      </c>
      <c r="R1514" s="40">
        <v>71.673481169822239</v>
      </c>
    </row>
    <row r="1515" spans="1:18" s="50" customFormat="1" ht="13.45" customHeight="1" x14ac:dyDescent="0.2">
      <c r="A1515" s="39" t="s">
        <v>4744</v>
      </c>
      <c r="B1515" s="39" t="s">
        <v>87</v>
      </c>
      <c r="C1515" s="39" t="s">
        <v>120</v>
      </c>
      <c r="D1515" s="39" t="s">
        <v>137</v>
      </c>
      <c r="E1515" s="39" t="s">
        <v>133</v>
      </c>
      <c r="F1515" s="39" t="s">
        <v>409</v>
      </c>
      <c r="G1515" s="39" t="s">
        <v>125</v>
      </c>
      <c r="H1515" s="39" t="s">
        <v>162</v>
      </c>
      <c r="I1515" s="39"/>
      <c r="J1515" s="39" t="s">
        <v>124</v>
      </c>
      <c r="K1515" s="39" t="s">
        <v>5557</v>
      </c>
      <c r="L1515" s="48" t="s">
        <v>4745</v>
      </c>
      <c r="M1515" s="39" t="s">
        <v>4746</v>
      </c>
      <c r="N1515" s="39"/>
      <c r="O1515" s="39" t="s">
        <v>52</v>
      </c>
      <c r="P1515" s="39" t="s">
        <v>65</v>
      </c>
      <c r="Q1515" s="39">
        <v>30</v>
      </c>
      <c r="R1515" s="40">
        <v>33.080068232225649</v>
      </c>
    </row>
    <row r="1516" spans="1:18" s="39" customFormat="1" ht="13.45" customHeight="1" x14ac:dyDescent="0.2">
      <c r="A1516" s="39" t="s">
        <v>4747</v>
      </c>
      <c r="B1516" s="39" t="s">
        <v>87</v>
      </c>
      <c r="C1516" s="39" t="s">
        <v>120</v>
      </c>
      <c r="D1516" s="39" t="s">
        <v>137</v>
      </c>
      <c r="E1516" s="39" t="s">
        <v>133</v>
      </c>
      <c r="F1516" s="39" t="s">
        <v>4748</v>
      </c>
      <c r="G1516" s="39" t="s">
        <v>125</v>
      </c>
      <c r="H1516" s="39" t="s">
        <v>162</v>
      </c>
      <c r="J1516" s="39" t="s">
        <v>124</v>
      </c>
      <c r="K1516" s="39" t="s">
        <v>5557</v>
      </c>
      <c r="L1516" s="48" t="s">
        <v>4749</v>
      </c>
      <c r="M1516" s="39" t="s">
        <v>4750</v>
      </c>
      <c r="O1516" s="39" t="s">
        <v>637</v>
      </c>
      <c r="P1516" s="39" t="s">
        <v>65</v>
      </c>
      <c r="Q1516" s="39">
        <v>138.5</v>
      </c>
      <c r="R1516" s="40">
        <v>152.71964833877507</v>
      </c>
    </row>
    <row r="1517" spans="1:18" s="39" customFormat="1" ht="13.45" customHeight="1" x14ac:dyDescent="0.2">
      <c r="A1517" s="39" t="s">
        <v>4751</v>
      </c>
      <c r="B1517" s="39" t="s">
        <v>87</v>
      </c>
      <c r="C1517" s="39" t="s">
        <v>120</v>
      </c>
      <c r="D1517" s="39" t="s">
        <v>121</v>
      </c>
      <c r="E1517" s="39" t="s">
        <v>166</v>
      </c>
      <c r="F1517" s="39" t="s">
        <v>4752</v>
      </c>
      <c r="G1517" s="39" t="s">
        <v>125</v>
      </c>
      <c r="H1517" s="39" t="s">
        <v>162</v>
      </c>
      <c r="J1517" s="39" t="s">
        <v>124</v>
      </c>
      <c r="K1517" s="39" t="s">
        <v>5557</v>
      </c>
      <c r="L1517" s="48" t="s">
        <v>4753</v>
      </c>
      <c r="M1517" s="39" t="s">
        <v>4754</v>
      </c>
      <c r="O1517" s="39" t="s">
        <v>52</v>
      </c>
      <c r="P1517" s="39" t="s">
        <v>65</v>
      </c>
      <c r="Q1517" s="39">
        <v>70</v>
      </c>
      <c r="R1517" s="40">
        <v>77.186825875193179</v>
      </c>
    </row>
    <row r="1518" spans="1:18" s="39" customFormat="1" ht="13.45" customHeight="1" x14ac:dyDescent="0.2">
      <c r="A1518" s="39" t="s">
        <v>4755</v>
      </c>
      <c r="B1518" s="39" t="s">
        <v>87</v>
      </c>
      <c r="C1518" s="39" t="s">
        <v>120</v>
      </c>
      <c r="D1518" s="39" t="s">
        <v>121</v>
      </c>
      <c r="E1518" s="39" t="s">
        <v>166</v>
      </c>
      <c r="F1518" s="39" t="s">
        <v>507</v>
      </c>
      <c r="G1518" s="39" t="s">
        <v>125</v>
      </c>
      <c r="H1518" s="39" t="s">
        <v>162</v>
      </c>
      <c r="J1518" s="39" t="s">
        <v>124</v>
      </c>
      <c r="K1518" s="39" t="s">
        <v>5557</v>
      </c>
      <c r="L1518" s="48" t="s">
        <v>4756</v>
      </c>
      <c r="M1518" s="39" t="s">
        <v>4757</v>
      </c>
      <c r="O1518" s="39" t="s">
        <v>52</v>
      </c>
      <c r="P1518" s="39" t="s">
        <v>65</v>
      </c>
      <c r="Q1518" s="39">
        <v>10</v>
      </c>
      <c r="R1518" s="40">
        <v>11.026689410741882</v>
      </c>
    </row>
    <row r="1519" spans="1:18" s="39" customFormat="1" ht="13.45" customHeight="1" x14ac:dyDescent="0.2">
      <c r="A1519" s="39" t="s">
        <v>4758</v>
      </c>
      <c r="B1519" s="39" t="s">
        <v>87</v>
      </c>
      <c r="C1519" s="39" t="s">
        <v>226</v>
      </c>
      <c r="D1519" s="39" t="s">
        <v>137</v>
      </c>
      <c r="E1519" s="39" t="s">
        <v>133</v>
      </c>
      <c r="F1519" s="39" t="s">
        <v>2106</v>
      </c>
      <c r="G1519" s="39" t="s">
        <v>125</v>
      </c>
      <c r="H1519" s="39" t="s">
        <v>162</v>
      </c>
      <c r="J1519" s="39" t="s">
        <v>124</v>
      </c>
      <c r="K1519" s="39" t="s">
        <v>5557</v>
      </c>
      <c r="L1519" s="48" t="s">
        <v>4759</v>
      </c>
      <c r="M1519" s="39" t="s">
        <v>4760</v>
      </c>
      <c r="O1519" s="39" t="s">
        <v>52</v>
      </c>
      <c r="P1519" s="39" t="s">
        <v>65</v>
      </c>
      <c r="Q1519" s="39">
        <v>47</v>
      </c>
      <c r="R1519" s="40">
        <v>51.825440230486848</v>
      </c>
    </row>
    <row r="1520" spans="1:18" s="39" customFormat="1" ht="13.45" customHeight="1" x14ac:dyDescent="0.2">
      <c r="A1520" s="39" t="s">
        <v>4761</v>
      </c>
      <c r="B1520" s="39" t="s">
        <v>87</v>
      </c>
      <c r="C1520" s="39" t="s">
        <v>226</v>
      </c>
      <c r="D1520" s="39" t="s">
        <v>137</v>
      </c>
      <c r="E1520" s="39" t="s">
        <v>133</v>
      </c>
      <c r="F1520" s="39" t="s">
        <v>4762</v>
      </c>
      <c r="G1520" s="39" t="s">
        <v>125</v>
      </c>
      <c r="H1520" s="39" t="s">
        <v>162</v>
      </c>
      <c r="J1520" s="39" t="s">
        <v>124</v>
      </c>
      <c r="K1520" s="39" t="s">
        <v>5557</v>
      </c>
      <c r="L1520" s="48" t="s">
        <v>4763</v>
      </c>
      <c r="M1520" s="39" t="s">
        <v>4764</v>
      </c>
      <c r="O1520" s="39" t="s">
        <v>52</v>
      </c>
      <c r="P1520" s="39" t="s">
        <v>65</v>
      </c>
      <c r="Q1520" s="39">
        <v>59</v>
      </c>
      <c r="R1520" s="40">
        <v>65.057467523377113</v>
      </c>
    </row>
    <row r="1521" spans="1:18" s="39" customFormat="1" ht="13.45" customHeight="1" x14ac:dyDescent="0.2">
      <c r="A1521" s="39" t="s">
        <v>4765</v>
      </c>
      <c r="B1521" s="39" t="s">
        <v>87</v>
      </c>
      <c r="C1521" s="39" t="s">
        <v>120</v>
      </c>
      <c r="D1521" s="39" t="s">
        <v>121</v>
      </c>
      <c r="E1521" s="39" t="s">
        <v>166</v>
      </c>
      <c r="F1521" s="39" t="s">
        <v>4766</v>
      </c>
      <c r="G1521" s="39" t="s">
        <v>125</v>
      </c>
      <c r="H1521" s="39" t="s">
        <v>162</v>
      </c>
      <c r="J1521" s="39" t="s">
        <v>124</v>
      </c>
      <c r="K1521" s="39" t="s">
        <v>5557</v>
      </c>
      <c r="L1521" s="48" t="s">
        <v>4767</v>
      </c>
      <c r="M1521" s="39" t="s">
        <v>4768</v>
      </c>
      <c r="O1521" s="39" t="s">
        <v>637</v>
      </c>
      <c r="P1521" s="39" t="s">
        <v>65</v>
      </c>
      <c r="Q1521" s="39">
        <v>106.2</v>
      </c>
      <c r="R1521" s="40">
        <v>117.1034415420788</v>
      </c>
    </row>
    <row r="1522" spans="1:18" s="39" customFormat="1" ht="13.45" customHeight="1" x14ac:dyDescent="0.2">
      <c r="A1522" s="39" t="s">
        <v>4769</v>
      </c>
      <c r="B1522" s="39" t="s">
        <v>87</v>
      </c>
      <c r="C1522" s="39" t="s">
        <v>171</v>
      </c>
      <c r="D1522" s="39" t="s">
        <v>121</v>
      </c>
      <c r="E1522" s="39" t="s">
        <v>151</v>
      </c>
      <c r="F1522" s="39">
        <v>0</v>
      </c>
      <c r="G1522" s="39" t="s">
        <v>125</v>
      </c>
      <c r="H1522" s="39" t="s">
        <v>162</v>
      </c>
      <c r="J1522" s="39" t="s">
        <v>124</v>
      </c>
      <c r="K1522" s="39" t="s">
        <v>5557</v>
      </c>
      <c r="L1522" s="48" t="s">
        <v>4770</v>
      </c>
      <c r="M1522" s="39" t="s">
        <v>4771</v>
      </c>
      <c r="O1522" s="39" t="s">
        <v>52</v>
      </c>
      <c r="R1522" s="40" t="s">
        <v>1604</v>
      </c>
    </row>
    <row r="1523" spans="1:18" s="39" customFormat="1" ht="13.45" customHeight="1" x14ac:dyDescent="0.2">
      <c r="A1523" s="39" t="s">
        <v>4772</v>
      </c>
      <c r="B1523" s="39" t="s">
        <v>87</v>
      </c>
      <c r="C1523" s="39" t="s">
        <v>171</v>
      </c>
      <c r="D1523" s="39" t="s">
        <v>121</v>
      </c>
      <c r="E1523" s="39" t="s">
        <v>151</v>
      </c>
      <c r="F1523" s="39">
        <v>0</v>
      </c>
      <c r="G1523" s="39" t="s">
        <v>125</v>
      </c>
      <c r="H1523" s="39" t="s">
        <v>162</v>
      </c>
      <c r="J1523" s="39" t="s">
        <v>124</v>
      </c>
      <c r="K1523" s="39" t="s">
        <v>5557</v>
      </c>
      <c r="L1523" s="48" t="s">
        <v>4773</v>
      </c>
      <c r="M1523" s="39" t="s">
        <v>4774</v>
      </c>
      <c r="O1523" s="39" t="s">
        <v>52</v>
      </c>
      <c r="R1523" s="40" t="s">
        <v>1604</v>
      </c>
    </row>
    <row r="1524" spans="1:18" s="39" customFormat="1" ht="13.45" customHeight="1" x14ac:dyDescent="0.2">
      <c r="A1524" s="39" t="s">
        <v>4775</v>
      </c>
      <c r="B1524" s="39" t="s">
        <v>87</v>
      </c>
      <c r="C1524" s="39" t="s">
        <v>171</v>
      </c>
      <c r="D1524" s="39" t="s">
        <v>121</v>
      </c>
      <c r="E1524" s="39" t="s">
        <v>151</v>
      </c>
      <c r="F1524" s="39">
        <v>0</v>
      </c>
      <c r="G1524" s="39" t="s">
        <v>125</v>
      </c>
      <c r="H1524" s="39" t="s">
        <v>162</v>
      </c>
      <c r="J1524" s="39" t="s">
        <v>124</v>
      </c>
      <c r="K1524" s="39" t="s">
        <v>5557</v>
      </c>
      <c r="L1524" s="48" t="s">
        <v>4776</v>
      </c>
      <c r="M1524" s="39" t="s">
        <v>4777</v>
      </c>
      <c r="O1524" s="39" t="s">
        <v>52</v>
      </c>
      <c r="R1524" s="40" t="s">
        <v>1604</v>
      </c>
    </row>
    <row r="1525" spans="1:18" s="39" customFormat="1" ht="13.45" customHeight="1" x14ac:dyDescent="0.2">
      <c r="A1525" s="39" t="s">
        <v>4778</v>
      </c>
      <c r="B1525" s="39" t="s">
        <v>87</v>
      </c>
      <c r="C1525" s="39" t="s">
        <v>171</v>
      </c>
      <c r="D1525" s="39" t="s">
        <v>121</v>
      </c>
      <c r="E1525" s="39" t="s">
        <v>166</v>
      </c>
      <c r="F1525" s="39">
        <v>0</v>
      </c>
      <c r="G1525" s="39" t="s">
        <v>125</v>
      </c>
      <c r="H1525" s="39" t="s">
        <v>162</v>
      </c>
      <c r="J1525" s="39" t="s">
        <v>124</v>
      </c>
      <c r="K1525" s="39" t="s">
        <v>5557</v>
      </c>
      <c r="L1525" s="48" t="s">
        <v>4779</v>
      </c>
      <c r="M1525" s="39" t="s">
        <v>4780</v>
      </c>
      <c r="O1525" s="39" t="s">
        <v>52</v>
      </c>
      <c r="R1525" s="40" t="s">
        <v>1604</v>
      </c>
    </row>
    <row r="1526" spans="1:18" s="39" customFormat="1" ht="13.45" customHeight="1" x14ac:dyDescent="0.2">
      <c r="A1526" s="39" t="s">
        <v>4781</v>
      </c>
      <c r="B1526" s="39" t="s">
        <v>87</v>
      </c>
      <c r="C1526" s="39" t="s">
        <v>171</v>
      </c>
      <c r="D1526" s="39" t="s">
        <v>121</v>
      </c>
      <c r="E1526" s="39" t="s">
        <v>166</v>
      </c>
      <c r="F1526" s="39">
        <v>0</v>
      </c>
      <c r="G1526" s="39" t="s">
        <v>125</v>
      </c>
      <c r="H1526" s="39" t="s">
        <v>162</v>
      </c>
      <c r="J1526" s="39" t="s">
        <v>124</v>
      </c>
      <c r="K1526" s="39" t="s">
        <v>5557</v>
      </c>
      <c r="L1526" s="48" t="s">
        <v>4782</v>
      </c>
      <c r="M1526" s="39" t="s">
        <v>4783</v>
      </c>
      <c r="O1526" s="39" t="s">
        <v>52</v>
      </c>
      <c r="R1526" s="40" t="s">
        <v>1604</v>
      </c>
    </row>
    <row r="1527" spans="1:18" s="39" customFormat="1" ht="13.45" customHeight="1" x14ac:dyDescent="0.2">
      <c r="A1527" s="39" t="s">
        <v>4784</v>
      </c>
      <c r="B1527" s="39" t="s">
        <v>87</v>
      </c>
      <c r="C1527" s="39" t="s">
        <v>171</v>
      </c>
      <c r="D1527" s="39" t="s">
        <v>137</v>
      </c>
      <c r="E1527" s="39" t="s">
        <v>133</v>
      </c>
      <c r="F1527" s="39">
        <v>0</v>
      </c>
      <c r="G1527" s="39" t="s">
        <v>125</v>
      </c>
      <c r="H1527" s="39" t="s">
        <v>162</v>
      </c>
      <c r="I1527" s="39" t="s">
        <v>134</v>
      </c>
      <c r="J1527" s="39" t="s">
        <v>295</v>
      </c>
      <c r="K1527" s="39" t="s">
        <v>5557</v>
      </c>
      <c r="L1527" s="48" t="s">
        <v>4785</v>
      </c>
      <c r="M1527" s="39" t="s">
        <v>4786</v>
      </c>
      <c r="O1527" s="39" t="s">
        <v>52</v>
      </c>
      <c r="R1527" s="40" t="s">
        <v>1604</v>
      </c>
    </row>
    <row r="1528" spans="1:18" s="39" customFormat="1" ht="13.45" customHeight="1" x14ac:dyDescent="0.2">
      <c r="A1528" s="39" t="s">
        <v>4787</v>
      </c>
      <c r="B1528" s="39" t="s">
        <v>87</v>
      </c>
      <c r="C1528" s="39" t="s">
        <v>171</v>
      </c>
      <c r="D1528" s="39" t="s">
        <v>121</v>
      </c>
      <c r="E1528" s="39" t="s">
        <v>166</v>
      </c>
      <c r="F1528" s="39">
        <v>0</v>
      </c>
      <c r="G1528" s="39" t="s">
        <v>125</v>
      </c>
      <c r="H1528" s="39" t="s">
        <v>162</v>
      </c>
      <c r="I1528" s="39" t="s">
        <v>134</v>
      </c>
      <c r="J1528" s="39" t="s">
        <v>124</v>
      </c>
      <c r="K1528" s="39" t="s">
        <v>5557</v>
      </c>
      <c r="L1528" s="48" t="s">
        <v>4788</v>
      </c>
      <c r="M1528" s="39" t="s">
        <v>4789</v>
      </c>
      <c r="O1528" s="39" t="s">
        <v>52</v>
      </c>
      <c r="R1528" s="40" t="s">
        <v>1604</v>
      </c>
    </row>
    <row r="1529" spans="1:18" s="39" customFormat="1" ht="13.45" customHeight="1" x14ac:dyDescent="0.2">
      <c r="A1529" s="39" t="s">
        <v>4790</v>
      </c>
      <c r="B1529" s="39" t="s">
        <v>87</v>
      </c>
      <c r="C1529" s="39" t="s">
        <v>171</v>
      </c>
      <c r="D1529" s="39" t="s">
        <v>121</v>
      </c>
      <c r="E1529" s="39" t="s">
        <v>2849</v>
      </c>
      <c r="F1529" s="39">
        <v>0</v>
      </c>
      <c r="G1529" s="39" t="s">
        <v>125</v>
      </c>
      <c r="H1529" s="39" t="s">
        <v>162</v>
      </c>
      <c r="J1529" s="39" t="s">
        <v>124</v>
      </c>
      <c r="K1529" s="39" t="s">
        <v>5557</v>
      </c>
      <c r="L1529" s="39" t="s">
        <v>4791</v>
      </c>
      <c r="M1529" s="39" t="s">
        <v>4792</v>
      </c>
      <c r="O1529" s="39" t="s">
        <v>52</v>
      </c>
      <c r="Q1529" s="40"/>
      <c r="R1529" s="40" t="s">
        <v>1604</v>
      </c>
    </row>
    <row r="1530" spans="1:18" s="39" customFormat="1" ht="13.45" customHeight="1" x14ac:dyDescent="0.2">
      <c r="A1530" s="39" t="s">
        <v>4793</v>
      </c>
      <c r="B1530" s="39" t="s">
        <v>87</v>
      </c>
      <c r="C1530" s="39" t="s">
        <v>171</v>
      </c>
      <c r="D1530" s="39" t="s">
        <v>121</v>
      </c>
      <c r="E1530" s="39" t="s">
        <v>199</v>
      </c>
      <c r="F1530" s="39">
        <v>0</v>
      </c>
      <c r="G1530" s="39" t="s">
        <v>152</v>
      </c>
      <c r="J1530" s="39" t="s">
        <v>124</v>
      </c>
      <c r="K1530" s="39" t="s">
        <v>5557</v>
      </c>
      <c r="L1530" s="39" t="s">
        <v>4794</v>
      </c>
      <c r="M1530" s="39" t="s">
        <v>4795</v>
      </c>
      <c r="O1530" s="39" t="s">
        <v>52</v>
      </c>
      <c r="Q1530" s="40"/>
      <c r="R1530" s="40" t="s">
        <v>1604</v>
      </c>
    </row>
    <row r="1531" spans="1:18" s="39" customFormat="1" ht="13.45" customHeight="1" x14ac:dyDescent="0.2">
      <c r="A1531" s="39" t="s">
        <v>4796</v>
      </c>
      <c r="B1531" s="39" t="s">
        <v>87</v>
      </c>
      <c r="C1531" s="39" t="s">
        <v>226</v>
      </c>
      <c r="D1531" s="39" t="s">
        <v>137</v>
      </c>
      <c r="E1531" s="39" t="s">
        <v>133</v>
      </c>
      <c r="F1531" s="39">
        <v>0</v>
      </c>
      <c r="G1531" s="39" t="s">
        <v>125</v>
      </c>
      <c r="H1531" s="39" t="s">
        <v>162</v>
      </c>
      <c r="I1531" s="39" t="s">
        <v>158</v>
      </c>
      <c r="J1531" s="39" t="s">
        <v>124</v>
      </c>
      <c r="K1531" s="39" t="s">
        <v>5557</v>
      </c>
      <c r="L1531" s="39" t="s">
        <v>4797</v>
      </c>
      <c r="M1531" s="39" t="s">
        <v>4798</v>
      </c>
      <c r="O1531" s="39" t="s">
        <v>52</v>
      </c>
      <c r="Q1531" s="40"/>
      <c r="R1531" s="40" t="s">
        <v>1604</v>
      </c>
    </row>
    <row r="1532" spans="1:18" s="39" customFormat="1" ht="13.45" customHeight="1" x14ac:dyDescent="0.2">
      <c r="A1532" s="75" t="s">
        <v>4799</v>
      </c>
      <c r="B1532" s="75" t="s">
        <v>89</v>
      </c>
      <c r="C1532" s="75" t="s">
        <v>120</v>
      </c>
      <c r="D1532" s="75" t="s">
        <v>121</v>
      </c>
      <c r="E1532" s="75" t="s">
        <v>122</v>
      </c>
      <c r="F1532" s="75" t="s">
        <v>4800</v>
      </c>
      <c r="G1532" s="75" t="s">
        <v>125</v>
      </c>
      <c r="H1532" s="75"/>
      <c r="I1532" s="75"/>
      <c r="J1532" s="75"/>
      <c r="K1532" s="75"/>
      <c r="L1532" s="75" t="s">
        <v>4801</v>
      </c>
      <c r="M1532" s="75" t="s">
        <v>4802</v>
      </c>
      <c r="N1532" s="75"/>
      <c r="O1532" s="75" t="s">
        <v>54</v>
      </c>
      <c r="P1532" s="75" t="s">
        <v>4803</v>
      </c>
      <c r="Q1532" s="100">
        <v>5000</v>
      </c>
      <c r="R1532" s="40">
        <v>517.54260841324594</v>
      </c>
    </row>
    <row r="1533" spans="1:18" s="39" customFormat="1" ht="13.45" customHeight="1" x14ac:dyDescent="0.2">
      <c r="A1533" s="39" t="s">
        <v>4804</v>
      </c>
      <c r="B1533" s="39" t="s">
        <v>89</v>
      </c>
      <c r="C1533" s="39" t="s">
        <v>226</v>
      </c>
      <c r="D1533" s="39" t="s">
        <v>121</v>
      </c>
      <c r="E1533" s="39" t="s">
        <v>292</v>
      </c>
      <c r="F1533" s="39" t="s">
        <v>4805</v>
      </c>
      <c r="G1533" s="39" t="s">
        <v>125</v>
      </c>
      <c r="H1533" s="39" t="s">
        <v>134</v>
      </c>
      <c r="I1533" s="39" t="s">
        <v>158</v>
      </c>
      <c r="L1533" s="39" t="s">
        <v>4806</v>
      </c>
      <c r="M1533" s="39" t="s">
        <v>4807</v>
      </c>
      <c r="O1533" s="39" t="s">
        <v>52</v>
      </c>
      <c r="P1533" s="39" t="s">
        <v>4803</v>
      </c>
      <c r="Q1533" s="40">
        <v>150</v>
      </c>
      <c r="R1533" s="40">
        <v>15.526278252397379</v>
      </c>
    </row>
    <row r="1534" spans="1:18" s="39" customFormat="1" ht="13.45" customHeight="1" x14ac:dyDescent="0.2">
      <c r="A1534" s="39" t="s">
        <v>4808</v>
      </c>
      <c r="B1534" s="39" t="s">
        <v>89</v>
      </c>
      <c r="C1534" s="39" t="s">
        <v>171</v>
      </c>
      <c r="D1534" s="39" t="s">
        <v>121</v>
      </c>
      <c r="E1534" s="39" t="s">
        <v>147</v>
      </c>
      <c r="L1534" s="39" t="s">
        <v>4809</v>
      </c>
      <c r="M1534" s="39" t="s">
        <v>4810</v>
      </c>
      <c r="O1534" s="39" t="s">
        <v>55</v>
      </c>
      <c r="Q1534" s="40"/>
      <c r="R1534" s="40" t="s">
        <v>1604</v>
      </c>
    </row>
    <row r="1535" spans="1:18" s="39" customFormat="1" ht="13.45" customHeight="1" x14ac:dyDescent="0.2">
      <c r="A1535" s="39" t="s">
        <v>4811</v>
      </c>
      <c r="B1535" s="39" t="s">
        <v>89</v>
      </c>
      <c r="C1535" s="39" t="s">
        <v>120</v>
      </c>
      <c r="D1535" s="39" t="s">
        <v>121</v>
      </c>
      <c r="E1535" s="39" t="s">
        <v>151</v>
      </c>
      <c r="G1535" s="39" t="s">
        <v>125</v>
      </c>
      <c r="H1535" s="39" t="s">
        <v>162</v>
      </c>
      <c r="L1535" s="39" t="s">
        <v>4812</v>
      </c>
      <c r="M1535" s="39" t="s">
        <v>4813</v>
      </c>
      <c r="O1535" s="39" t="s">
        <v>52</v>
      </c>
      <c r="Q1535" s="40"/>
      <c r="R1535" s="40" t="s">
        <v>1604</v>
      </c>
    </row>
    <row r="1536" spans="1:18" s="39" customFormat="1" ht="13.45" customHeight="1" x14ac:dyDescent="0.2">
      <c r="A1536" s="39" t="s">
        <v>4814</v>
      </c>
      <c r="B1536" s="39" t="s">
        <v>89</v>
      </c>
      <c r="C1536" s="39" t="s">
        <v>280</v>
      </c>
      <c r="D1536" s="39" t="s">
        <v>121</v>
      </c>
      <c r="E1536" s="39" t="s">
        <v>151</v>
      </c>
      <c r="F1536" s="39" t="s">
        <v>4815</v>
      </c>
      <c r="G1536" s="39" t="s">
        <v>125</v>
      </c>
      <c r="H1536" s="39" t="s">
        <v>162</v>
      </c>
      <c r="L1536" s="39" t="s">
        <v>4816</v>
      </c>
      <c r="M1536" s="39" t="s">
        <v>4813</v>
      </c>
      <c r="O1536" s="39" t="s">
        <v>52</v>
      </c>
      <c r="P1536" s="39" t="s">
        <v>4803</v>
      </c>
      <c r="Q1536" s="40">
        <v>120</v>
      </c>
      <c r="R1536" s="40">
        <v>12.421022601917903</v>
      </c>
    </row>
    <row r="1537" spans="1:18" s="39" customFormat="1" ht="13.45" customHeight="1" x14ac:dyDescent="0.2">
      <c r="A1537" s="39" t="s">
        <v>4818</v>
      </c>
      <c r="B1537" s="39" t="s">
        <v>89</v>
      </c>
      <c r="C1537" s="60" t="s">
        <v>177</v>
      </c>
      <c r="D1537" s="39" t="s">
        <v>121</v>
      </c>
      <c r="E1537" s="39" t="s">
        <v>251</v>
      </c>
      <c r="F1537" s="39" t="s">
        <v>4819</v>
      </c>
      <c r="G1537" s="39" t="s">
        <v>125</v>
      </c>
      <c r="H1537" s="39" t="s">
        <v>162</v>
      </c>
      <c r="L1537" s="39" t="s">
        <v>4820</v>
      </c>
      <c r="M1537" s="76" t="s">
        <v>4817</v>
      </c>
      <c r="O1537" s="39" t="s">
        <v>52</v>
      </c>
      <c r="P1537" s="39" t="s">
        <v>4803</v>
      </c>
      <c r="Q1537" s="40">
        <f>1220+1220+890</f>
        <v>3330</v>
      </c>
      <c r="R1537" s="40">
        <v>344.68337720322182</v>
      </c>
    </row>
    <row r="1538" spans="1:18" s="39" customFormat="1" ht="13.45" customHeight="1" x14ac:dyDescent="0.2">
      <c r="A1538" s="39" t="s">
        <v>4821</v>
      </c>
      <c r="B1538" s="39" t="s">
        <v>89</v>
      </c>
      <c r="C1538" s="60" t="s">
        <v>177</v>
      </c>
      <c r="D1538" s="39" t="s">
        <v>121</v>
      </c>
      <c r="E1538" s="39" t="s">
        <v>251</v>
      </c>
      <c r="F1538" s="39" t="s">
        <v>4822</v>
      </c>
      <c r="G1538" s="39" t="s">
        <v>125</v>
      </c>
      <c r="H1538" s="39" t="s">
        <v>162</v>
      </c>
      <c r="L1538" s="39" t="s">
        <v>4823</v>
      </c>
      <c r="M1538" s="39" t="s">
        <v>4817</v>
      </c>
      <c r="O1538" s="39" t="s">
        <v>52</v>
      </c>
      <c r="P1538" s="39" t="s">
        <v>4803</v>
      </c>
      <c r="Q1538" s="40">
        <f>150+730+1310</f>
        <v>2190</v>
      </c>
      <c r="R1538" s="40">
        <v>226.68366248500172</v>
      </c>
    </row>
    <row r="1539" spans="1:18" s="39" customFormat="1" ht="13.45" customHeight="1" x14ac:dyDescent="0.2">
      <c r="A1539" s="39" t="s">
        <v>4824</v>
      </c>
      <c r="B1539" s="39" t="s">
        <v>89</v>
      </c>
      <c r="C1539" s="60" t="s">
        <v>177</v>
      </c>
      <c r="E1539" s="39" t="s">
        <v>133</v>
      </c>
      <c r="F1539" s="39" t="s">
        <v>4825</v>
      </c>
      <c r="G1539" s="39" t="s">
        <v>125</v>
      </c>
      <c r="H1539" s="39" t="s">
        <v>162</v>
      </c>
      <c r="L1539" s="39" t="s">
        <v>4826</v>
      </c>
      <c r="M1539" s="39" t="s">
        <v>4817</v>
      </c>
      <c r="O1539" s="39" t="s">
        <v>52</v>
      </c>
      <c r="P1539" s="39" t="s">
        <v>4803</v>
      </c>
      <c r="Q1539" s="40">
        <f>330+850+1380</f>
        <v>2560</v>
      </c>
      <c r="R1539" s="40">
        <v>264.98181550758193</v>
      </c>
    </row>
    <row r="1540" spans="1:18" s="39" customFormat="1" ht="13.45" customHeight="1" x14ac:dyDescent="0.2">
      <c r="A1540" s="39" t="s">
        <v>4827</v>
      </c>
      <c r="B1540" s="39" t="s">
        <v>89</v>
      </c>
      <c r="C1540" s="60" t="s">
        <v>177</v>
      </c>
      <c r="D1540" s="55" t="s">
        <v>121</v>
      </c>
      <c r="E1540" s="39" t="s">
        <v>151</v>
      </c>
      <c r="F1540" s="39" t="s">
        <v>4822</v>
      </c>
      <c r="G1540" s="39" t="s">
        <v>125</v>
      </c>
      <c r="H1540" s="39" t="s">
        <v>162</v>
      </c>
      <c r="L1540" s="39" t="s">
        <v>4828</v>
      </c>
      <c r="M1540" s="39" t="s">
        <v>4817</v>
      </c>
      <c r="O1540" s="39" t="s">
        <v>52</v>
      </c>
      <c r="P1540" s="39" t="s">
        <v>4803</v>
      </c>
      <c r="Q1540" s="40">
        <f>150+600+600</f>
        <v>1350</v>
      </c>
      <c r="R1540" s="40">
        <v>139.73650427157642</v>
      </c>
    </row>
    <row r="1541" spans="1:18" s="39" customFormat="1" ht="13.45" customHeight="1" x14ac:dyDescent="0.2">
      <c r="A1541" s="39" t="s">
        <v>4829</v>
      </c>
      <c r="B1541" s="39" t="s">
        <v>89</v>
      </c>
      <c r="C1541" s="60" t="s">
        <v>177</v>
      </c>
      <c r="D1541" s="39" t="s">
        <v>121</v>
      </c>
      <c r="E1541" s="39" t="s">
        <v>251</v>
      </c>
      <c r="F1541" s="39" t="s">
        <v>4830</v>
      </c>
      <c r="G1541" s="39" t="s">
        <v>125</v>
      </c>
      <c r="H1541" s="39" t="s">
        <v>162</v>
      </c>
      <c r="L1541" s="39" t="s">
        <v>4831</v>
      </c>
      <c r="M1541" s="39" t="s">
        <v>4817</v>
      </c>
      <c r="O1541" s="39" t="s">
        <v>52</v>
      </c>
      <c r="P1541" s="39" t="s">
        <v>4803</v>
      </c>
      <c r="Q1541" s="40">
        <f>500+550</f>
        <v>1050</v>
      </c>
      <c r="R1541" s="40">
        <v>108.68394776678166</v>
      </c>
    </row>
    <row r="1542" spans="1:18" s="39" customFormat="1" ht="13.45" customHeight="1" x14ac:dyDescent="0.2">
      <c r="A1542" s="39" t="s">
        <v>4832</v>
      </c>
      <c r="B1542" s="39" t="s">
        <v>89</v>
      </c>
      <c r="C1542" s="60" t="s">
        <v>177</v>
      </c>
      <c r="D1542" s="39" t="s">
        <v>121</v>
      </c>
      <c r="E1542" s="39" t="s">
        <v>251</v>
      </c>
      <c r="F1542" s="39" t="s">
        <v>4833</v>
      </c>
      <c r="G1542" s="39" t="s">
        <v>125</v>
      </c>
      <c r="H1542" s="39" t="s">
        <v>162</v>
      </c>
      <c r="L1542" s="39" t="s">
        <v>4834</v>
      </c>
      <c r="M1542" s="76" t="s">
        <v>4817</v>
      </c>
      <c r="O1542" s="39" t="s">
        <v>52</v>
      </c>
      <c r="P1542" s="39" t="s">
        <v>4803</v>
      </c>
      <c r="Q1542" s="40">
        <v>2000</v>
      </c>
      <c r="R1542" s="40">
        <v>207.01704336529838</v>
      </c>
    </row>
    <row r="1543" spans="1:18" s="39" customFormat="1" ht="13.45" customHeight="1" x14ac:dyDescent="0.2">
      <c r="A1543" s="39" t="s">
        <v>4835</v>
      </c>
      <c r="B1543" s="39" t="s">
        <v>89</v>
      </c>
      <c r="C1543" s="60" t="s">
        <v>177</v>
      </c>
      <c r="D1543" s="55" t="s">
        <v>121</v>
      </c>
      <c r="E1543" s="39" t="s">
        <v>292</v>
      </c>
      <c r="F1543" s="39" t="s">
        <v>4836</v>
      </c>
      <c r="G1543" s="39" t="s">
        <v>134</v>
      </c>
      <c r="H1543" s="39" t="s">
        <v>125</v>
      </c>
      <c r="L1543" s="39" t="s">
        <v>4837</v>
      </c>
      <c r="M1543" s="39" t="s">
        <v>4817</v>
      </c>
      <c r="O1543" s="39" t="s">
        <v>52</v>
      </c>
      <c r="P1543" s="39" t="s">
        <v>4803</v>
      </c>
      <c r="Q1543" s="40">
        <f>1590+1670+610</f>
        <v>3870</v>
      </c>
      <c r="R1543" s="40">
        <v>400.57797891185237</v>
      </c>
    </row>
    <row r="1544" spans="1:18" s="39" customFormat="1" ht="13.45" customHeight="1" x14ac:dyDescent="0.2">
      <c r="A1544" s="39" t="s">
        <v>4838</v>
      </c>
      <c r="B1544" s="39" t="s">
        <v>89</v>
      </c>
      <c r="C1544" s="39" t="s">
        <v>132</v>
      </c>
      <c r="D1544" s="39" t="s">
        <v>121</v>
      </c>
      <c r="E1544" s="39" t="s">
        <v>133</v>
      </c>
      <c r="F1544" s="39" t="s">
        <v>4839</v>
      </c>
      <c r="G1544" s="39" t="s">
        <v>162</v>
      </c>
      <c r="H1544" s="39" t="s">
        <v>134</v>
      </c>
      <c r="L1544" s="39" t="s">
        <v>4840</v>
      </c>
      <c r="M1544" s="39" t="s">
        <v>4817</v>
      </c>
      <c r="O1544" s="39" t="s">
        <v>52</v>
      </c>
      <c r="P1544" s="39" t="s">
        <v>4803</v>
      </c>
      <c r="Q1544" s="40">
        <f>200*3</f>
        <v>600</v>
      </c>
      <c r="R1544" s="40">
        <v>62.105113009589516</v>
      </c>
    </row>
    <row r="1545" spans="1:18" s="39" customFormat="1" ht="15.65" customHeight="1" x14ac:dyDescent="0.2">
      <c r="A1545" s="39" t="s">
        <v>4841</v>
      </c>
      <c r="B1545" s="39" t="s">
        <v>89</v>
      </c>
      <c r="C1545" s="60" t="s">
        <v>177</v>
      </c>
      <c r="D1545" s="39" t="s">
        <v>137</v>
      </c>
      <c r="E1545" s="39" t="s">
        <v>133</v>
      </c>
      <c r="F1545" s="39" t="s">
        <v>4842</v>
      </c>
      <c r="G1545" s="39" t="s">
        <v>152</v>
      </c>
      <c r="H1545" s="39" t="s">
        <v>323</v>
      </c>
      <c r="L1545" s="39" t="s">
        <v>4843</v>
      </c>
      <c r="M1545" s="39" t="s">
        <v>4817</v>
      </c>
      <c r="O1545" s="39" t="s">
        <v>52</v>
      </c>
      <c r="P1545" s="39" t="s">
        <v>4803</v>
      </c>
      <c r="Q1545" s="40">
        <f>150+140+100</f>
        <v>390</v>
      </c>
      <c r="R1545" s="40">
        <v>40.368323456233185</v>
      </c>
    </row>
    <row r="1546" spans="1:18" s="39" customFormat="1" ht="13.45" customHeight="1" x14ac:dyDescent="0.2">
      <c r="A1546" s="39" t="s">
        <v>4844</v>
      </c>
      <c r="B1546" s="39" t="s">
        <v>89</v>
      </c>
      <c r="C1546" s="60" t="s">
        <v>177</v>
      </c>
      <c r="E1546" s="39" t="s">
        <v>147</v>
      </c>
      <c r="F1546" s="39" t="s">
        <v>4845</v>
      </c>
      <c r="G1546" s="39" t="s">
        <v>125</v>
      </c>
      <c r="H1546" s="39" t="s">
        <v>162</v>
      </c>
      <c r="L1546" s="39" t="s">
        <v>4846</v>
      </c>
      <c r="M1546" s="76" t="s">
        <v>4847</v>
      </c>
      <c r="O1546" s="39" t="s">
        <v>52</v>
      </c>
      <c r="P1546" s="39" t="s">
        <v>4803</v>
      </c>
      <c r="Q1546" s="39">
        <v>2900</v>
      </c>
      <c r="R1546" s="40">
        <v>300.17471287968266</v>
      </c>
    </row>
    <row r="1547" spans="1:18" s="39" customFormat="1" ht="13.45" customHeight="1" x14ac:dyDescent="0.2">
      <c r="A1547" s="39" t="s">
        <v>4848</v>
      </c>
      <c r="B1547" s="39" t="s">
        <v>89</v>
      </c>
      <c r="C1547" s="60" t="s">
        <v>177</v>
      </c>
      <c r="E1547" s="39" t="s">
        <v>133</v>
      </c>
      <c r="F1547" s="39" t="s">
        <v>4849</v>
      </c>
      <c r="L1547" s="39" t="s">
        <v>4850</v>
      </c>
      <c r="M1547" s="48" t="s">
        <v>4847</v>
      </c>
      <c r="O1547" s="39" t="s">
        <v>624</v>
      </c>
      <c r="P1547" s="39" t="s">
        <v>4803</v>
      </c>
      <c r="Q1547" s="39">
        <v>5350</v>
      </c>
      <c r="R1547" s="40">
        <v>553.77059100217321</v>
      </c>
    </row>
    <row r="1548" spans="1:18" s="39" customFormat="1" ht="13.45" customHeight="1" x14ac:dyDescent="0.2">
      <c r="A1548" s="39" t="s">
        <v>4851</v>
      </c>
      <c r="B1548" s="39" t="s">
        <v>89</v>
      </c>
      <c r="C1548" s="60" t="s">
        <v>177</v>
      </c>
      <c r="D1548" s="39" t="s">
        <v>121</v>
      </c>
      <c r="E1548" s="39" t="s">
        <v>166</v>
      </c>
      <c r="F1548" s="39" t="s">
        <v>4852</v>
      </c>
      <c r="G1548" s="39" t="s">
        <v>125</v>
      </c>
      <c r="H1548" s="39" t="s">
        <v>208</v>
      </c>
      <c r="L1548" s="48" t="s">
        <v>4853</v>
      </c>
      <c r="M1548" s="76" t="s">
        <v>4847</v>
      </c>
      <c r="O1548" s="39" t="s">
        <v>624</v>
      </c>
      <c r="P1548" s="39" t="s">
        <v>4803</v>
      </c>
      <c r="Q1548" s="39">
        <v>4050</v>
      </c>
      <c r="R1548" s="40">
        <v>419.20951281472924</v>
      </c>
    </row>
    <row r="1549" spans="1:18" s="39" customFormat="1" ht="13.45" customHeight="1" x14ac:dyDescent="0.2">
      <c r="A1549" s="39" t="s">
        <v>4854</v>
      </c>
      <c r="B1549" s="39" t="s">
        <v>89</v>
      </c>
      <c r="C1549" s="60" t="s">
        <v>177</v>
      </c>
      <c r="D1549" s="39" t="s">
        <v>121</v>
      </c>
      <c r="E1549" s="39" t="s">
        <v>251</v>
      </c>
      <c r="F1549" s="39" t="s">
        <v>4855</v>
      </c>
      <c r="G1549" s="39" t="s">
        <v>125</v>
      </c>
      <c r="H1549" s="48"/>
      <c r="I1549" s="48"/>
      <c r="J1549" s="48"/>
      <c r="K1549" s="48"/>
      <c r="L1549" s="48" t="s">
        <v>4856</v>
      </c>
      <c r="M1549" s="48" t="s">
        <v>4847</v>
      </c>
      <c r="N1549" s="48"/>
      <c r="O1549" s="48" t="s">
        <v>624</v>
      </c>
      <c r="P1549" s="48" t="s">
        <v>4803</v>
      </c>
      <c r="Q1549" s="39">
        <v>1500</v>
      </c>
      <c r="R1549" s="40">
        <v>155.26278252397378</v>
      </c>
    </row>
    <row r="1550" spans="1:18" s="39" customFormat="1" ht="13.45" customHeight="1" x14ac:dyDescent="0.2">
      <c r="A1550" s="39" t="s">
        <v>4857</v>
      </c>
      <c r="B1550" s="39" t="s">
        <v>89</v>
      </c>
      <c r="C1550" s="60" t="s">
        <v>177</v>
      </c>
      <c r="D1550" s="48"/>
      <c r="E1550" s="48" t="s">
        <v>292</v>
      </c>
      <c r="F1550" s="39" t="s">
        <v>4858</v>
      </c>
      <c r="G1550" s="39" t="s">
        <v>125</v>
      </c>
      <c r="H1550" s="39" t="s">
        <v>208</v>
      </c>
      <c r="I1550" s="48"/>
      <c r="J1550" s="48"/>
      <c r="K1550" s="48"/>
      <c r="L1550" s="39" t="s">
        <v>4859</v>
      </c>
      <c r="M1550" s="76" t="s">
        <v>4847</v>
      </c>
      <c r="N1550" s="48"/>
      <c r="O1550" s="48" t="s">
        <v>624</v>
      </c>
      <c r="P1550" s="48" t="s">
        <v>4803</v>
      </c>
      <c r="Q1550" s="39">
        <v>2500</v>
      </c>
      <c r="R1550" s="40">
        <v>258.77130420662297</v>
      </c>
    </row>
    <row r="1551" spans="1:18" s="39" customFormat="1" ht="13.45" customHeight="1" x14ac:dyDescent="0.2">
      <c r="A1551" s="39" t="s">
        <v>4860</v>
      </c>
      <c r="B1551" s="39" t="s">
        <v>89</v>
      </c>
      <c r="C1551" s="60" t="s">
        <v>177</v>
      </c>
      <c r="D1551" s="39" t="s">
        <v>121</v>
      </c>
      <c r="E1551" s="39" t="s">
        <v>166</v>
      </c>
      <c r="F1551" s="39" t="s">
        <v>4861</v>
      </c>
      <c r="G1551" s="39" t="s">
        <v>125</v>
      </c>
      <c r="H1551" s="39" t="s">
        <v>208</v>
      </c>
      <c r="I1551" s="48"/>
      <c r="J1551" s="48"/>
      <c r="K1551" s="48"/>
      <c r="L1551" s="48" t="s">
        <v>4862</v>
      </c>
      <c r="M1551" s="48" t="s">
        <v>4847</v>
      </c>
      <c r="N1551" s="48"/>
      <c r="O1551" s="48" t="s">
        <v>624</v>
      </c>
      <c r="P1551" s="48" t="s">
        <v>4803</v>
      </c>
      <c r="Q1551" s="39">
        <v>3000</v>
      </c>
      <c r="R1551" s="40">
        <v>310.52556504794757</v>
      </c>
    </row>
    <row r="1552" spans="1:18" s="39" customFormat="1" ht="13.45" customHeight="1" x14ac:dyDescent="0.2">
      <c r="A1552" s="39" t="s">
        <v>4863</v>
      </c>
      <c r="B1552" s="39" t="s">
        <v>89</v>
      </c>
      <c r="C1552" s="60" t="s">
        <v>177</v>
      </c>
      <c r="D1552" s="39" t="s">
        <v>121</v>
      </c>
      <c r="E1552" s="39" t="s">
        <v>251</v>
      </c>
      <c r="F1552" s="39" t="s">
        <v>4864</v>
      </c>
      <c r="G1552" s="39" t="s">
        <v>125</v>
      </c>
      <c r="H1552" s="39" t="s">
        <v>162</v>
      </c>
      <c r="L1552" s="39" t="s">
        <v>4865</v>
      </c>
      <c r="M1552" s="76" t="s">
        <v>4866</v>
      </c>
      <c r="O1552" s="39" t="s">
        <v>52</v>
      </c>
      <c r="P1552" s="39" t="s">
        <v>4803</v>
      </c>
      <c r="Q1552" s="40">
        <v>1000</v>
      </c>
      <c r="R1552" s="40">
        <v>103.50852168264919</v>
      </c>
    </row>
    <row r="1553" spans="1:18" s="39" customFormat="1" ht="13.45" customHeight="1" x14ac:dyDescent="0.2">
      <c r="A1553" s="39" t="s">
        <v>4867</v>
      </c>
      <c r="B1553" s="39" t="s">
        <v>89</v>
      </c>
      <c r="C1553" s="60" t="s">
        <v>177</v>
      </c>
      <c r="D1553" s="39" t="s">
        <v>121</v>
      </c>
      <c r="E1553" s="39" t="s">
        <v>251</v>
      </c>
      <c r="F1553" s="39" t="s">
        <v>4868</v>
      </c>
      <c r="G1553" s="39" t="s">
        <v>125</v>
      </c>
      <c r="H1553" s="39" t="s">
        <v>162</v>
      </c>
      <c r="L1553" s="48" t="s">
        <v>4869</v>
      </c>
      <c r="M1553" s="76" t="s">
        <v>4866</v>
      </c>
      <c r="O1553" s="39" t="s">
        <v>52</v>
      </c>
      <c r="P1553" s="39" t="s">
        <v>4803</v>
      </c>
      <c r="Q1553" s="40">
        <v>200</v>
      </c>
      <c r="R1553" s="40">
        <v>20.70170433652984</v>
      </c>
    </row>
    <row r="1554" spans="1:18" s="39" customFormat="1" ht="13.45" customHeight="1" x14ac:dyDescent="0.2">
      <c r="A1554" s="39" t="s">
        <v>4870</v>
      </c>
      <c r="B1554" s="39" t="s">
        <v>89</v>
      </c>
      <c r="C1554" s="48" t="s">
        <v>120</v>
      </c>
      <c r="D1554" s="48" t="s">
        <v>2064</v>
      </c>
      <c r="E1554" s="39" t="s">
        <v>292</v>
      </c>
      <c r="F1554" s="39" t="s">
        <v>4871</v>
      </c>
      <c r="G1554" s="39" t="s">
        <v>134</v>
      </c>
      <c r="H1554" s="39" t="s">
        <v>125</v>
      </c>
      <c r="I1554" s="48"/>
      <c r="J1554" s="48"/>
      <c r="K1554" s="48"/>
      <c r="L1554" s="48" t="s">
        <v>4872</v>
      </c>
      <c r="M1554" s="76" t="s">
        <v>4866</v>
      </c>
      <c r="O1554" s="39" t="s">
        <v>52</v>
      </c>
      <c r="P1554" s="39" t="s">
        <v>4803</v>
      </c>
      <c r="Q1554" s="40">
        <v>400</v>
      </c>
      <c r="R1554" s="40">
        <v>41.40340867305968</v>
      </c>
    </row>
    <row r="1555" spans="1:18" s="39" customFormat="1" ht="13.45" customHeight="1" x14ac:dyDescent="0.2">
      <c r="A1555" s="75" t="s">
        <v>4873</v>
      </c>
      <c r="B1555" s="75" t="s">
        <v>91</v>
      </c>
      <c r="C1555" s="75" t="s">
        <v>132</v>
      </c>
      <c r="D1555" s="75" t="s">
        <v>121</v>
      </c>
      <c r="E1555" s="75" t="s">
        <v>122</v>
      </c>
      <c r="F1555" s="75"/>
      <c r="G1555" s="75" t="s">
        <v>125</v>
      </c>
      <c r="H1555" s="75"/>
      <c r="I1555" s="75"/>
      <c r="J1555" s="75" t="s">
        <v>124</v>
      </c>
      <c r="K1555" s="75" t="s">
        <v>5557</v>
      </c>
      <c r="L1555" s="75" t="s">
        <v>4874</v>
      </c>
      <c r="M1555" s="75" t="s">
        <v>4875</v>
      </c>
      <c r="N1555" s="75" t="s">
        <v>4876</v>
      </c>
      <c r="O1555" s="75" t="s">
        <v>54</v>
      </c>
      <c r="P1555" s="75"/>
      <c r="Q1555" s="100"/>
      <c r="R1555" s="40" t="s">
        <v>1604</v>
      </c>
    </row>
    <row r="1556" spans="1:18" s="39" customFormat="1" ht="13.45" customHeight="1" x14ac:dyDescent="0.2">
      <c r="A1556" s="39" t="s">
        <v>4877</v>
      </c>
      <c r="B1556" s="39" t="s">
        <v>91</v>
      </c>
      <c r="C1556" s="39" t="s">
        <v>177</v>
      </c>
      <c r="D1556" s="39" t="s">
        <v>137</v>
      </c>
      <c r="E1556" s="39" t="s">
        <v>133</v>
      </c>
      <c r="F1556" s="39" t="s">
        <v>4655</v>
      </c>
      <c r="G1556" s="39" t="s">
        <v>152</v>
      </c>
      <c r="J1556" s="39" t="s">
        <v>124</v>
      </c>
      <c r="K1556" s="39" t="s">
        <v>5557</v>
      </c>
      <c r="L1556" s="39" t="s">
        <v>4878</v>
      </c>
      <c r="M1556" s="39" t="s">
        <v>4879</v>
      </c>
      <c r="O1556" s="39" t="s">
        <v>52</v>
      </c>
      <c r="Q1556" s="40"/>
      <c r="R1556" s="40" t="s">
        <v>1604</v>
      </c>
    </row>
    <row r="1557" spans="1:18" s="39" customFormat="1" ht="13.45" customHeight="1" x14ac:dyDescent="0.2">
      <c r="A1557" s="39" t="s">
        <v>4880</v>
      </c>
      <c r="B1557" s="39" t="s">
        <v>91</v>
      </c>
      <c r="C1557" s="39" t="s">
        <v>177</v>
      </c>
      <c r="D1557" s="39" t="s">
        <v>121</v>
      </c>
      <c r="E1557" s="39" t="s">
        <v>172</v>
      </c>
      <c r="F1557" s="39" t="s">
        <v>4655</v>
      </c>
      <c r="G1557" s="39" t="s">
        <v>158</v>
      </c>
      <c r="L1557" s="39" t="s">
        <v>4881</v>
      </c>
      <c r="M1557" s="39" t="s">
        <v>4879</v>
      </c>
      <c r="O1557" s="39" t="s">
        <v>53</v>
      </c>
      <c r="Q1557" s="40"/>
      <c r="R1557" s="40" t="s">
        <v>1604</v>
      </c>
    </row>
    <row r="1558" spans="1:18" s="39" customFormat="1" ht="13.45" customHeight="1" x14ac:dyDescent="0.2">
      <c r="A1558" s="39" t="s">
        <v>4882</v>
      </c>
      <c r="B1558" s="39" t="s">
        <v>91</v>
      </c>
      <c r="C1558" s="39" t="s">
        <v>171</v>
      </c>
      <c r="D1558" s="39" t="s">
        <v>137</v>
      </c>
      <c r="E1558" s="39" t="s">
        <v>133</v>
      </c>
      <c r="F1558" s="39" t="s">
        <v>4655</v>
      </c>
      <c r="L1558" s="39" t="s">
        <v>4883</v>
      </c>
      <c r="M1558" s="39" t="s">
        <v>4879</v>
      </c>
      <c r="O1558" s="39" t="s">
        <v>55</v>
      </c>
      <c r="Q1558" s="40"/>
      <c r="R1558" s="40" t="s">
        <v>1604</v>
      </c>
    </row>
    <row r="1559" spans="1:18" s="39" customFormat="1" ht="13.45" customHeight="1" x14ac:dyDescent="0.2">
      <c r="A1559" s="39" t="s">
        <v>4884</v>
      </c>
      <c r="B1559" s="39" t="s">
        <v>91</v>
      </c>
      <c r="C1559" s="39" t="s">
        <v>171</v>
      </c>
      <c r="D1559" s="39" t="s">
        <v>121</v>
      </c>
      <c r="E1559" s="39" t="s">
        <v>151</v>
      </c>
      <c r="G1559" s="39" t="s">
        <v>125</v>
      </c>
      <c r="H1559" s="39" t="s">
        <v>162</v>
      </c>
      <c r="L1559" s="39" t="s">
        <v>4885</v>
      </c>
      <c r="M1559" s="39" t="s">
        <v>4886</v>
      </c>
      <c r="O1559" s="39" t="s">
        <v>52</v>
      </c>
      <c r="Q1559" s="40"/>
      <c r="R1559" s="40" t="s">
        <v>1604</v>
      </c>
    </row>
    <row r="1560" spans="1:18" s="39" customFormat="1" ht="13.45" customHeight="1" x14ac:dyDescent="0.2">
      <c r="A1560" s="39" t="s">
        <v>4887</v>
      </c>
      <c r="B1560" s="39" t="s">
        <v>91</v>
      </c>
      <c r="C1560" s="39" t="s">
        <v>171</v>
      </c>
      <c r="D1560" s="39" t="s">
        <v>121</v>
      </c>
      <c r="E1560" s="39" t="s">
        <v>151</v>
      </c>
      <c r="G1560" s="39" t="s">
        <v>125</v>
      </c>
      <c r="H1560" s="39" t="s">
        <v>162</v>
      </c>
      <c r="L1560" s="39" t="s">
        <v>4888</v>
      </c>
      <c r="M1560" s="39" t="s">
        <v>4889</v>
      </c>
      <c r="O1560" s="39" t="s">
        <v>52</v>
      </c>
      <c r="Q1560" s="40"/>
      <c r="R1560" s="40" t="s">
        <v>1604</v>
      </c>
    </row>
    <row r="1561" spans="1:18" s="39" customFormat="1" ht="13.45" customHeight="1" x14ac:dyDescent="0.2">
      <c r="A1561" s="48" t="s">
        <v>4890</v>
      </c>
      <c r="B1561" s="39" t="s">
        <v>91</v>
      </c>
      <c r="C1561" s="39" t="s">
        <v>177</v>
      </c>
      <c r="D1561" s="39" t="s">
        <v>121</v>
      </c>
      <c r="E1561" s="39" t="s">
        <v>151</v>
      </c>
      <c r="F1561" s="39" t="s">
        <v>4655</v>
      </c>
      <c r="G1561" s="39" t="s">
        <v>125</v>
      </c>
      <c r="H1561" s="39" t="s">
        <v>162</v>
      </c>
      <c r="J1561" s="39" t="s">
        <v>124</v>
      </c>
      <c r="K1561" s="39" t="s">
        <v>124</v>
      </c>
      <c r="L1561" s="39" t="s">
        <v>4891</v>
      </c>
      <c r="M1561" s="76" t="s">
        <v>4892</v>
      </c>
      <c r="O1561" s="39" t="s">
        <v>52</v>
      </c>
      <c r="Q1561" s="40"/>
      <c r="R1561" s="40" t="s">
        <v>1604</v>
      </c>
    </row>
    <row r="1562" spans="1:18" s="39" customFormat="1" ht="13.45" customHeight="1" x14ac:dyDescent="0.2">
      <c r="A1562" s="39" t="s">
        <v>4893</v>
      </c>
      <c r="B1562" s="39" t="s">
        <v>91</v>
      </c>
      <c r="C1562" s="39" t="s">
        <v>171</v>
      </c>
      <c r="D1562" s="39" t="s">
        <v>137</v>
      </c>
      <c r="E1562" s="39" t="s">
        <v>133</v>
      </c>
      <c r="F1562" s="39" t="s">
        <v>4655</v>
      </c>
      <c r="G1562" s="39" t="s">
        <v>158</v>
      </c>
      <c r="L1562" s="39" t="s">
        <v>4894</v>
      </c>
      <c r="M1562" s="76" t="s">
        <v>4895</v>
      </c>
      <c r="N1562" s="76" t="s">
        <v>4896</v>
      </c>
      <c r="O1562" s="39" t="s">
        <v>52</v>
      </c>
      <c r="Q1562" s="40"/>
      <c r="R1562" s="40" t="s">
        <v>1604</v>
      </c>
    </row>
    <row r="1563" spans="1:18" s="39" customFormat="1" ht="13.45" customHeight="1" x14ac:dyDescent="0.2">
      <c r="A1563" s="39" t="s">
        <v>4897</v>
      </c>
      <c r="B1563" s="39" t="s">
        <v>91</v>
      </c>
      <c r="C1563" s="39" t="s">
        <v>188</v>
      </c>
      <c r="D1563" s="39" t="s">
        <v>121</v>
      </c>
      <c r="E1563" s="39" t="s">
        <v>251</v>
      </c>
      <c r="F1563" s="39" t="s">
        <v>4898</v>
      </c>
      <c r="G1563" s="39" t="s">
        <v>125</v>
      </c>
      <c r="H1563" s="39" t="s">
        <v>162</v>
      </c>
      <c r="J1563" s="39" t="s">
        <v>124</v>
      </c>
      <c r="K1563" s="39" t="s">
        <v>124</v>
      </c>
      <c r="L1563" s="43" t="s">
        <v>4899</v>
      </c>
      <c r="M1563" s="39" t="s">
        <v>4900</v>
      </c>
      <c r="N1563" s="76" t="s">
        <v>4901</v>
      </c>
      <c r="O1563" s="39" t="s">
        <v>52</v>
      </c>
      <c r="P1563" s="94" t="s">
        <v>601</v>
      </c>
      <c r="Q1563" s="39">
        <v>7.13</v>
      </c>
      <c r="R1563" s="40">
        <v>7.13</v>
      </c>
    </row>
    <row r="1564" spans="1:18" s="39" customFormat="1" ht="13.45" customHeight="1" x14ac:dyDescent="0.2">
      <c r="A1564" s="39" t="s">
        <v>4902</v>
      </c>
      <c r="B1564" s="39" t="s">
        <v>91</v>
      </c>
      <c r="C1564" s="39" t="s">
        <v>188</v>
      </c>
      <c r="D1564" s="39" t="s">
        <v>121</v>
      </c>
      <c r="E1564" s="39" t="s">
        <v>251</v>
      </c>
      <c r="F1564" s="39" t="s">
        <v>3772</v>
      </c>
      <c r="G1564" s="39" t="s">
        <v>125</v>
      </c>
      <c r="H1564" s="39" t="s">
        <v>162</v>
      </c>
      <c r="J1564" s="39" t="s">
        <v>124</v>
      </c>
      <c r="K1564" s="39" t="s">
        <v>124</v>
      </c>
      <c r="L1564" s="43" t="s">
        <v>4903</v>
      </c>
      <c r="M1564" s="39" t="s">
        <v>4904</v>
      </c>
      <c r="N1564" s="76" t="s">
        <v>4905</v>
      </c>
      <c r="O1564" s="39" t="s">
        <v>54</v>
      </c>
      <c r="Q1564" s="40"/>
      <c r="R1564" s="40" t="s">
        <v>1604</v>
      </c>
    </row>
    <row r="1565" spans="1:18" s="39" customFormat="1" ht="13.45" customHeight="1" x14ac:dyDescent="0.2">
      <c r="A1565" s="39" t="s">
        <v>4906</v>
      </c>
      <c r="B1565" s="39" t="s">
        <v>91</v>
      </c>
      <c r="C1565" s="39" t="s">
        <v>177</v>
      </c>
      <c r="D1565" s="39" t="s">
        <v>121</v>
      </c>
      <c r="E1565" s="39" t="s">
        <v>151</v>
      </c>
      <c r="F1565" s="39">
        <v>0</v>
      </c>
      <c r="G1565" s="39" t="s">
        <v>125</v>
      </c>
      <c r="H1565" s="39" t="s">
        <v>162</v>
      </c>
      <c r="J1565" s="39" t="s">
        <v>124</v>
      </c>
      <c r="K1565" s="39" t="s">
        <v>124</v>
      </c>
      <c r="L1565" s="179" t="s">
        <v>4907</v>
      </c>
      <c r="M1565" s="39" t="s">
        <v>4078</v>
      </c>
      <c r="N1565" s="103" t="s">
        <v>4908</v>
      </c>
      <c r="O1565" s="39" t="s">
        <v>53</v>
      </c>
      <c r="Q1565" s="40"/>
      <c r="R1565" s="40" t="s">
        <v>1604</v>
      </c>
    </row>
    <row r="1566" spans="1:18" s="39" customFormat="1" ht="13.45" customHeight="1" x14ac:dyDescent="0.2">
      <c r="A1566" s="39" t="s">
        <v>4909</v>
      </c>
      <c r="B1566" s="39" t="s">
        <v>91</v>
      </c>
      <c r="C1566" s="39" t="s">
        <v>177</v>
      </c>
      <c r="D1566" s="39" t="s">
        <v>121</v>
      </c>
      <c r="E1566" s="39" t="s">
        <v>151</v>
      </c>
      <c r="F1566" s="39">
        <v>0</v>
      </c>
      <c r="G1566" s="39" t="s">
        <v>125</v>
      </c>
      <c r="H1566" s="39" t="s">
        <v>162</v>
      </c>
      <c r="J1566" s="39" t="s">
        <v>124</v>
      </c>
      <c r="K1566" s="39" t="s">
        <v>124</v>
      </c>
      <c r="L1566" s="48" t="s">
        <v>4910</v>
      </c>
      <c r="M1566" s="39" t="s">
        <v>260</v>
      </c>
      <c r="N1566" s="190"/>
      <c r="O1566" s="39" t="s">
        <v>54</v>
      </c>
      <c r="Q1566" s="40"/>
      <c r="R1566" s="40" t="s">
        <v>1604</v>
      </c>
    </row>
    <row r="1567" spans="1:18" s="39" customFormat="1" ht="13.45" customHeight="1" x14ac:dyDescent="0.2">
      <c r="A1567" s="191" t="s">
        <v>4911</v>
      </c>
      <c r="B1567" s="191" t="s">
        <v>93</v>
      </c>
      <c r="C1567" s="191" t="s">
        <v>171</v>
      </c>
      <c r="D1567" s="191" t="s">
        <v>121</v>
      </c>
      <c r="E1567" s="191" t="s">
        <v>147</v>
      </c>
      <c r="F1567" s="191" t="s">
        <v>1398</v>
      </c>
      <c r="G1567" s="191" t="s">
        <v>153</v>
      </c>
      <c r="H1567" s="191" t="s">
        <v>162</v>
      </c>
      <c r="I1567" s="191" t="s">
        <v>125</v>
      </c>
      <c r="J1567" s="191"/>
      <c r="K1567" s="191"/>
      <c r="L1567" s="192" t="s">
        <v>4912</v>
      </c>
      <c r="M1567" s="193" t="s">
        <v>4913</v>
      </c>
      <c r="N1567" s="193" t="s">
        <v>4913</v>
      </c>
      <c r="O1567" s="191" t="s">
        <v>54</v>
      </c>
      <c r="P1567" s="75"/>
      <c r="Q1567" s="100"/>
      <c r="R1567" s="40" t="s">
        <v>1604</v>
      </c>
    </row>
    <row r="1568" spans="1:18" s="39" customFormat="1" ht="13.45" customHeight="1" x14ac:dyDescent="0.2">
      <c r="A1568" s="125" t="s">
        <v>4914</v>
      </c>
      <c r="B1568" s="125" t="s">
        <v>93</v>
      </c>
      <c r="C1568" s="125" t="s">
        <v>171</v>
      </c>
      <c r="D1568" s="125" t="s">
        <v>121</v>
      </c>
      <c r="E1568" s="125" t="s">
        <v>133</v>
      </c>
      <c r="F1568" s="125" t="s">
        <v>1398</v>
      </c>
      <c r="G1568" s="125" t="s">
        <v>125</v>
      </c>
      <c r="H1568" s="125" t="s">
        <v>134</v>
      </c>
      <c r="I1568" s="125"/>
      <c r="J1568" s="125"/>
      <c r="K1568" s="125"/>
      <c r="L1568" s="125" t="s">
        <v>4915</v>
      </c>
      <c r="M1568" s="194" t="s">
        <v>4916</v>
      </c>
      <c r="N1568" s="125"/>
      <c r="O1568" s="125" t="s">
        <v>54</v>
      </c>
      <c r="Q1568" s="40"/>
      <c r="R1568" s="40" t="s">
        <v>1604</v>
      </c>
    </row>
    <row r="1569" spans="1:18" s="39" customFormat="1" ht="13.45" customHeight="1" x14ac:dyDescent="0.2">
      <c r="A1569" s="125" t="s">
        <v>4917</v>
      </c>
      <c r="B1569" s="125" t="s">
        <v>93</v>
      </c>
      <c r="C1569" s="125" t="s">
        <v>171</v>
      </c>
      <c r="D1569" s="125" t="s">
        <v>121</v>
      </c>
      <c r="E1569" s="125" t="s">
        <v>147</v>
      </c>
      <c r="F1569" s="125" t="s">
        <v>1398</v>
      </c>
      <c r="G1569" s="125" t="s">
        <v>153</v>
      </c>
      <c r="H1569" s="125" t="s">
        <v>125</v>
      </c>
      <c r="I1569" s="125"/>
      <c r="J1569" s="125"/>
      <c r="K1569" s="125"/>
      <c r="L1569" s="125" t="s">
        <v>4918</v>
      </c>
      <c r="M1569" s="194" t="s">
        <v>4919</v>
      </c>
      <c r="N1569" s="194" t="s">
        <v>4920</v>
      </c>
      <c r="O1569" s="125" t="s">
        <v>54</v>
      </c>
      <c r="Q1569" s="40"/>
      <c r="R1569" s="40" t="s">
        <v>1604</v>
      </c>
    </row>
    <row r="1570" spans="1:18" s="39" customFormat="1" ht="13.45" customHeight="1" x14ac:dyDescent="0.2">
      <c r="A1570" s="125" t="s">
        <v>4921</v>
      </c>
      <c r="B1570" s="125" t="s">
        <v>93</v>
      </c>
      <c r="C1570" s="125" t="s">
        <v>171</v>
      </c>
      <c r="D1570" s="125" t="s">
        <v>137</v>
      </c>
      <c r="E1570" s="125" t="s">
        <v>133</v>
      </c>
      <c r="F1570" s="125" t="s">
        <v>1398</v>
      </c>
      <c r="G1570" s="125" t="s">
        <v>158</v>
      </c>
      <c r="H1570" s="125"/>
      <c r="I1570" s="125"/>
      <c r="J1570" s="125"/>
      <c r="K1570" s="125"/>
      <c r="L1570" s="125" t="s">
        <v>4922</v>
      </c>
      <c r="M1570" s="194" t="s">
        <v>4923</v>
      </c>
      <c r="N1570" s="125"/>
      <c r="O1570" s="125" t="s">
        <v>53</v>
      </c>
      <c r="Q1570" s="40"/>
      <c r="R1570" s="40" t="s">
        <v>1604</v>
      </c>
    </row>
    <row r="1571" spans="1:18" s="39" customFormat="1" ht="13.45" customHeight="1" x14ac:dyDescent="0.2">
      <c r="A1571" s="125" t="s">
        <v>4924</v>
      </c>
      <c r="B1571" s="125" t="s">
        <v>93</v>
      </c>
      <c r="C1571" s="39" t="s">
        <v>132</v>
      </c>
      <c r="D1571" s="125" t="s">
        <v>121</v>
      </c>
      <c r="E1571" s="125" t="s">
        <v>151</v>
      </c>
      <c r="F1571" s="125" t="s">
        <v>1398</v>
      </c>
      <c r="G1571" s="125" t="s">
        <v>125</v>
      </c>
      <c r="H1571" s="125" t="s">
        <v>152</v>
      </c>
      <c r="I1571" s="125"/>
      <c r="J1571" s="125"/>
      <c r="K1571" s="125"/>
      <c r="L1571" s="125" t="s">
        <v>4925</v>
      </c>
      <c r="M1571" s="194" t="s">
        <v>4926</v>
      </c>
      <c r="N1571" s="194" t="s">
        <v>4927</v>
      </c>
      <c r="O1571" s="125" t="s">
        <v>52</v>
      </c>
      <c r="Q1571" s="40"/>
      <c r="R1571" s="40" t="s">
        <v>1604</v>
      </c>
    </row>
    <row r="1572" spans="1:18" s="39" customFormat="1" ht="13.45" customHeight="1" x14ac:dyDescent="0.2">
      <c r="A1572" s="125" t="s">
        <v>4928</v>
      </c>
      <c r="B1572" s="125" t="s">
        <v>93</v>
      </c>
      <c r="C1572" s="125" t="s">
        <v>280</v>
      </c>
      <c r="D1572" s="125" t="s">
        <v>121</v>
      </c>
      <c r="E1572" s="125" t="s">
        <v>151</v>
      </c>
      <c r="F1572" s="125" t="s">
        <v>4929</v>
      </c>
      <c r="G1572" s="125" t="s">
        <v>153</v>
      </c>
      <c r="H1572" s="125" t="s">
        <v>162</v>
      </c>
      <c r="I1572" s="125" t="s">
        <v>125</v>
      </c>
      <c r="J1572" s="125"/>
      <c r="K1572" s="125"/>
      <c r="L1572" s="125" t="s">
        <v>4930</v>
      </c>
      <c r="M1572" s="194" t="s">
        <v>4931</v>
      </c>
      <c r="N1572" s="125"/>
      <c r="O1572" s="125" t="s">
        <v>54</v>
      </c>
      <c r="P1572" s="39" t="s">
        <v>601</v>
      </c>
      <c r="Q1572" s="40">
        <v>122</v>
      </c>
      <c r="R1572" s="40">
        <v>122</v>
      </c>
    </row>
    <row r="1573" spans="1:18" s="39" customFormat="1" ht="13.45" customHeight="1" x14ac:dyDescent="0.2">
      <c r="A1573" s="125" t="s">
        <v>4932</v>
      </c>
      <c r="B1573" s="125" t="s">
        <v>93</v>
      </c>
      <c r="C1573" s="125" t="s">
        <v>120</v>
      </c>
      <c r="D1573" s="125" t="s">
        <v>121</v>
      </c>
      <c r="E1573" s="125" t="s">
        <v>151</v>
      </c>
      <c r="F1573" s="125" t="s">
        <v>4933</v>
      </c>
      <c r="G1573" s="125" t="s">
        <v>125</v>
      </c>
      <c r="H1573" s="125"/>
      <c r="I1573" s="125"/>
      <c r="J1573" s="125"/>
      <c r="K1573" s="125"/>
      <c r="L1573" s="125" t="s">
        <v>4934</v>
      </c>
      <c r="M1573" s="194" t="s">
        <v>4935</v>
      </c>
      <c r="N1573" s="125"/>
      <c r="O1573" s="125" t="s">
        <v>52</v>
      </c>
      <c r="P1573" s="39" t="s">
        <v>601</v>
      </c>
      <c r="Q1573" s="40">
        <v>100</v>
      </c>
      <c r="R1573" s="40">
        <v>100</v>
      </c>
    </row>
    <row r="1574" spans="1:18" s="39" customFormat="1" ht="13.45" customHeight="1" x14ac:dyDescent="0.2">
      <c r="A1574" s="125" t="s">
        <v>4936</v>
      </c>
      <c r="B1574" s="125" t="s">
        <v>93</v>
      </c>
      <c r="C1574" s="39" t="s">
        <v>132</v>
      </c>
      <c r="D1574" s="125" t="s">
        <v>121</v>
      </c>
      <c r="E1574" s="125" t="s">
        <v>151</v>
      </c>
      <c r="F1574" s="125" t="s">
        <v>4937</v>
      </c>
      <c r="G1574" s="125" t="s">
        <v>125</v>
      </c>
      <c r="H1574" s="125" t="s">
        <v>162</v>
      </c>
      <c r="I1574" s="125"/>
      <c r="J1574" s="125"/>
      <c r="K1574" s="125"/>
      <c r="L1574" s="182" t="s">
        <v>4938</v>
      </c>
      <c r="M1574" s="194" t="s">
        <v>4939</v>
      </c>
      <c r="N1574" s="194" t="s">
        <v>4940</v>
      </c>
      <c r="O1574" s="125" t="s">
        <v>52</v>
      </c>
      <c r="P1574" s="39" t="s">
        <v>601</v>
      </c>
      <c r="Q1574" s="40">
        <v>500</v>
      </c>
      <c r="R1574" s="40">
        <v>500</v>
      </c>
    </row>
    <row r="1575" spans="1:18" s="39" customFormat="1" ht="13.45" customHeight="1" x14ac:dyDescent="0.2">
      <c r="A1575" s="125" t="s">
        <v>4941</v>
      </c>
      <c r="B1575" s="125" t="s">
        <v>93</v>
      </c>
      <c r="C1575" s="125" t="s">
        <v>177</v>
      </c>
      <c r="D1575" s="125" t="s">
        <v>121</v>
      </c>
      <c r="E1575" s="125" t="s">
        <v>151</v>
      </c>
      <c r="F1575" s="125" t="s">
        <v>4942</v>
      </c>
      <c r="G1575" s="125" t="s">
        <v>125</v>
      </c>
      <c r="H1575" s="125" t="s">
        <v>162</v>
      </c>
      <c r="I1575" s="125"/>
      <c r="J1575" s="125"/>
      <c r="K1575" s="125"/>
      <c r="L1575" s="125" t="s">
        <v>4943</v>
      </c>
      <c r="M1575" s="194" t="s">
        <v>4944</v>
      </c>
      <c r="N1575" s="195" t="s">
        <v>4945</v>
      </c>
      <c r="O1575" s="125" t="s">
        <v>54</v>
      </c>
      <c r="P1575" s="39" t="s">
        <v>601</v>
      </c>
      <c r="Q1575" s="40">
        <v>1950</v>
      </c>
      <c r="R1575" s="40">
        <v>1950</v>
      </c>
    </row>
    <row r="1576" spans="1:18" s="39" customFormat="1" ht="13.45" customHeight="1" x14ac:dyDescent="0.2">
      <c r="A1576" s="125" t="s">
        <v>4946</v>
      </c>
      <c r="B1576" s="125" t="s">
        <v>93</v>
      </c>
      <c r="C1576" s="125" t="s">
        <v>226</v>
      </c>
      <c r="D1576" s="125" t="s">
        <v>137</v>
      </c>
      <c r="E1576" s="125" t="s">
        <v>147</v>
      </c>
      <c r="F1576" s="125" t="s">
        <v>1398</v>
      </c>
      <c r="G1576" s="125" t="s">
        <v>158</v>
      </c>
      <c r="H1576" s="125"/>
      <c r="I1576" s="125"/>
      <c r="J1576" s="125"/>
      <c r="K1576" s="125"/>
      <c r="L1576" s="125" t="s">
        <v>4947</v>
      </c>
      <c r="M1576" s="194" t="s">
        <v>4948</v>
      </c>
      <c r="N1576" s="125"/>
      <c r="O1576" s="125" t="s">
        <v>55</v>
      </c>
      <c r="Q1576" s="40" t="s">
        <v>1604</v>
      </c>
      <c r="R1576" s="40" t="s">
        <v>1604</v>
      </c>
    </row>
    <row r="1577" spans="1:18" s="39" customFormat="1" ht="13.45" customHeight="1" x14ac:dyDescent="0.2">
      <c r="A1577" s="125" t="s">
        <v>4949</v>
      </c>
      <c r="B1577" s="125" t="s">
        <v>93</v>
      </c>
      <c r="C1577" s="125" t="s">
        <v>120</v>
      </c>
      <c r="D1577" s="125" t="s">
        <v>160</v>
      </c>
      <c r="E1577" s="125" t="s">
        <v>151</v>
      </c>
      <c r="F1577" s="125" t="s">
        <v>1398</v>
      </c>
      <c r="G1577" s="125" t="s">
        <v>125</v>
      </c>
      <c r="H1577" s="125" t="s">
        <v>162</v>
      </c>
      <c r="I1577" s="125"/>
      <c r="J1577" s="125"/>
      <c r="K1577" s="125"/>
      <c r="L1577" s="125" t="s">
        <v>4950</v>
      </c>
      <c r="M1577" s="194" t="s">
        <v>4951</v>
      </c>
      <c r="N1577" s="125"/>
      <c r="O1577" s="125" t="s">
        <v>52</v>
      </c>
      <c r="Q1577" s="40" t="s">
        <v>1604</v>
      </c>
      <c r="R1577" s="40" t="s">
        <v>1604</v>
      </c>
    </row>
    <row r="1578" spans="1:18" s="39" customFormat="1" ht="13.45" customHeight="1" x14ac:dyDescent="0.2">
      <c r="A1578" s="125" t="s">
        <v>4952</v>
      </c>
      <c r="B1578" s="125" t="s">
        <v>93</v>
      </c>
      <c r="C1578" s="39" t="s">
        <v>132</v>
      </c>
      <c r="D1578" s="125" t="s">
        <v>160</v>
      </c>
      <c r="E1578" s="125" t="s">
        <v>151</v>
      </c>
      <c r="F1578" s="125" t="s">
        <v>4953</v>
      </c>
      <c r="G1578" s="125" t="s">
        <v>125</v>
      </c>
      <c r="H1578" s="125" t="s">
        <v>162</v>
      </c>
      <c r="I1578" s="125"/>
      <c r="J1578" s="125"/>
      <c r="K1578" s="125"/>
      <c r="L1578" s="125" t="s">
        <v>4954</v>
      </c>
      <c r="M1578" s="194" t="s">
        <v>4955</v>
      </c>
      <c r="N1578" s="125"/>
      <c r="O1578" s="125" t="s">
        <v>52</v>
      </c>
      <c r="P1578" s="39" t="s">
        <v>601</v>
      </c>
      <c r="Q1578" s="40">
        <v>741</v>
      </c>
      <c r="R1578" s="40">
        <v>741</v>
      </c>
    </row>
    <row r="1579" spans="1:18" s="39" customFormat="1" ht="13.45" customHeight="1" x14ac:dyDescent="0.2">
      <c r="A1579" s="125" t="s">
        <v>4956</v>
      </c>
      <c r="B1579" s="125" t="s">
        <v>93</v>
      </c>
      <c r="C1579" s="125" t="s">
        <v>120</v>
      </c>
      <c r="D1579" s="125" t="s">
        <v>160</v>
      </c>
      <c r="E1579" s="125" t="s">
        <v>151</v>
      </c>
      <c r="F1579" s="125" t="s">
        <v>4957</v>
      </c>
      <c r="G1579" s="125" t="s">
        <v>125</v>
      </c>
      <c r="H1579" s="125" t="s">
        <v>162</v>
      </c>
      <c r="I1579" s="125"/>
      <c r="J1579" s="125"/>
      <c r="K1579" s="125"/>
      <c r="L1579" s="125" t="s">
        <v>4958</v>
      </c>
      <c r="M1579" s="194" t="s">
        <v>4959</v>
      </c>
      <c r="N1579" s="125"/>
      <c r="O1579" s="125" t="s">
        <v>52</v>
      </c>
      <c r="P1579" s="39" t="s">
        <v>601</v>
      </c>
      <c r="Q1579" s="40">
        <v>10</v>
      </c>
      <c r="R1579" s="40">
        <v>10</v>
      </c>
    </row>
    <row r="1580" spans="1:18" s="39" customFormat="1" ht="13.45" customHeight="1" x14ac:dyDescent="0.2">
      <c r="A1580" s="125" t="s">
        <v>4960</v>
      </c>
      <c r="B1580" s="125" t="s">
        <v>93</v>
      </c>
      <c r="C1580" s="125" t="s">
        <v>171</v>
      </c>
      <c r="D1580" s="125" t="s">
        <v>121</v>
      </c>
      <c r="E1580" s="125" t="s">
        <v>151</v>
      </c>
      <c r="F1580" s="125"/>
      <c r="G1580" s="125" t="s">
        <v>125</v>
      </c>
      <c r="H1580" s="125" t="s">
        <v>158</v>
      </c>
      <c r="I1580" s="125"/>
      <c r="J1580" s="125"/>
      <c r="K1580" s="125"/>
      <c r="L1580" s="125" t="s">
        <v>4961</v>
      </c>
      <c r="M1580" s="194" t="s">
        <v>4962</v>
      </c>
      <c r="N1580" s="125"/>
      <c r="O1580" s="125" t="s">
        <v>52</v>
      </c>
      <c r="Q1580" s="40" t="s">
        <v>1604</v>
      </c>
      <c r="R1580" s="40" t="s">
        <v>1604</v>
      </c>
    </row>
    <row r="1581" spans="1:18" s="39" customFormat="1" ht="13.45" customHeight="1" x14ac:dyDescent="0.2">
      <c r="A1581" s="125" t="s">
        <v>4963</v>
      </c>
      <c r="B1581" s="125" t="s">
        <v>93</v>
      </c>
      <c r="C1581" s="125" t="s">
        <v>226</v>
      </c>
      <c r="D1581" s="125" t="s">
        <v>137</v>
      </c>
      <c r="E1581" s="125" t="s">
        <v>147</v>
      </c>
      <c r="F1581" s="125" t="s">
        <v>1398</v>
      </c>
      <c r="G1581" s="125" t="s">
        <v>158</v>
      </c>
      <c r="H1581" s="125"/>
      <c r="I1581" s="125"/>
      <c r="J1581" s="125"/>
      <c r="K1581" s="125"/>
      <c r="L1581" s="125" t="s">
        <v>4964</v>
      </c>
      <c r="M1581" s="194" t="s">
        <v>4951</v>
      </c>
      <c r="N1581" s="125"/>
      <c r="O1581" s="125" t="s">
        <v>55</v>
      </c>
      <c r="Q1581" s="40" t="s">
        <v>1604</v>
      </c>
      <c r="R1581" s="40" t="s">
        <v>1604</v>
      </c>
    </row>
    <row r="1582" spans="1:18" s="39" customFormat="1" ht="13.45" customHeight="1" x14ac:dyDescent="0.2">
      <c r="A1582" s="125" t="s">
        <v>4965</v>
      </c>
      <c r="B1582" s="125" t="s">
        <v>93</v>
      </c>
      <c r="C1582" s="125" t="s">
        <v>226</v>
      </c>
      <c r="D1582" s="125" t="s">
        <v>137</v>
      </c>
      <c r="E1582" s="125" t="s">
        <v>147</v>
      </c>
      <c r="F1582" s="125" t="s">
        <v>4966</v>
      </c>
      <c r="G1582" s="125" t="s">
        <v>158</v>
      </c>
      <c r="H1582" s="125"/>
      <c r="I1582" s="125"/>
      <c r="J1582" s="125"/>
      <c r="K1582" s="125"/>
      <c r="L1582" s="125" t="s">
        <v>4967</v>
      </c>
      <c r="M1582" s="194" t="s">
        <v>4968</v>
      </c>
      <c r="N1582" s="125"/>
      <c r="O1582" s="125" t="s">
        <v>55</v>
      </c>
      <c r="P1582" s="39" t="s">
        <v>601</v>
      </c>
      <c r="Q1582" s="40">
        <v>50000</v>
      </c>
      <c r="R1582" s="40">
        <v>50000</v>
      </c>
    </row>
    <row r="1583" spans="1:18" s="39" customFormat="1" ht="13.45" customHeight="1" x14ac:dyDescent="0.2">
      <c r="A1583" s="125" t="s">
        <v>4969</v>
      </c>
      <c r="B1583" s="125" t="s">
        <v>93</v>
      </c>
      <c r="C1583" s="39" t="s">
        <v>132</v>
      </c>
      <c r="D1583" s="125" t="s">
        <v>121</v>
      </c>
      <c r="E1583" s="125" t="s">
        <v>151</v>
      </c>
      <c r="F1583" s="125" t="s">
        <v>1398</v>
      </c>
      <c r="G1583" s="125" t="s">
        <v>125</v>
      </c>
      <c r="H1583" s="125" t="s">
        <v>162</v>
      </c>
      <c r="I1583" s="125"/>
      <c r="J1583" s="125"/>
      <c r="K1583" s="125"/>
      <c r="L1583" s="125" t="s">
        <v>4970</v>
      </c>
      <c r="M1583" s="194" t="s">
        <v>4971</v>
      </c>
      <c r="N1583" s="125"/>
      <c r="O1583" s="125" t="s">
        <v>54</v>
      </c>
      <c r="Q1583" s="40"/>
      <c r="R1583" s="40" t="s">
        <v>1604</v>
      </c>
    </row>
    <row r="1584" spans="1:18" s="39" customFormat="1" ht="13.45" customHeight="1" x14ac:dyDescent="0.2">
      <c r="A1584" s="125" t="s">
        <v>4972</v>
      </c>
      <c r="B1584" s="125" t="s">
        <v>93</v>
      </c>
      <c r="C1584" s="39" t="s">
        <v>132</v>
      </c>
      <c r="D1584" s="125" t="s">
        <v>121</v>
      </c>
      <c r="E1584" s="125" t="s">
        <v>151</v>
      </c>
      <c r="F1584" s="125" t="s">
        <v>1398</v>
      </c>
      <c r="G1584" s="125"/>
      <c r="H1584" s="125"/>
      <c r="I1584" s="125"/>
      <c r="J1584" s="125"/>
      <c r="K1584" s="125"/>
      <c r="L1584" s="125" t="s">
        <v>4973</v>
      </c>
      <c r="M1584" s="125" t="s">
        <v>4974</v>
      </c>
      <c r="N1584" s="125"/>
      <c r="O1584" s="125" t="s">
        <v>55</v>
      </c>
      <c r="Q1584" s="40"/>
      <c r="R1584" s="40" t="s">
        <v>1604</v>
      </c>
    </row>
    <row r="1585" spans="1:18" s="39" customFormat="1" ht="13.45" customHeight="1" x14ac:dyDescent="0.2">
      <c r="A1585" s="125" t="s">
        <v>4975</v>
      </c>
      <c r="B1585" s="125" t="s">
        <v>93</v>
      </c>
      <c r="C1585" s="125" t="s">
        <v>177</v>
      </c>
      <c r="D1585" s="125" t="s">
        <v>121</v>
      </c>
      <c r="E1585" s="125" t="s">
        <v>151</v>
      </c>
      <c r="F1585" s="125" t="s">
        <v>1398</v>
      </c>
      <c r="G1585" s="125" t="s">
        <v>125</v>
      </c>
      <c r="H1585" s="125"/>
      <c r="I1585" s="125"/>
      <c r="J1585" s="125"/>
      <c r="K1585" s="125"/>
      <c r="L1585" s="125" t="s">
        <v>4976</v>
      </c>
      <c r="M1585" s="194" t="s">
        <v>4977</v>
      </c>
      <c r="N1585" s="125"/>
      <c r="O1585" s="125" t="s">
        <v>53</v>
      </c>
      <c r="Q1585" s="40"/>
      <c r="R1585" s="40" t="s">
        <v>1604</v>
      </c>
    </row>
    <row r="1586" spans="1:18" s="39" customFormat="1" ht="13.45" customHeight="1" x14ac:dyDescent="0.2">
      <c r="A1586" s="125" t="s">
        <v>4978</v>
      </c>
      <c r="B1586" s="125" t="s">
        <v>93</v>
      </c>
      <c r="C1586" s="125" t="s">
        <v>177</v>
      </c>
      <c r="D1586" s="125" t="s">
        <v>160</v>
      </c>
      <c r="E1586" s="125" t="s">
        <v>151</v>
      </c>
      <c r="F1586" s="125" t="s">
        <v>1398</v>
      </c>
      <c r="G1586" s="125" t="s">
        <v>125</v>
      </c>
      <c r="H1586" s="125"/>
      <c r="I1586" s="125"/>
      <c r="J1586" s="125"/>
      <c r="K1586" s="125"/>
      <c r="L1586" s="125" t="s">
        <v>4979</v>
      </c>
      <c r="M1586" s="194" t="s">
        <v>4980</v>
      </c>
      <c r="N1586" s="125"/>
      <c r="O1586" s="125" t="s">
        <v>54</v>
      </c>
      <c r="Q1586" s="40"/>
      <c r="R1586" s="40" t="s">
        <v>1604</v>
      </c>
    </row>
    <row r="1587" spans="1:18" s="39" customFormat="1" ht="13.45" customHeight="1" x14ac:dyDescent="0.2">
      <c r="A1587" s="125" t="s">
        <v>4981</v>
      </c>
      <c r="B1587" s="125" t="s">
        <v>93</v>
      </c>
      <c r="C1587" s="125" t="s">
        <v>171</v>
      </c>
      <c r="D1587" s="125" t="s">
        <v>160</v>
      </c>
      <c r="E1587" s="125" t="s">
        <v>151</v>
      </c>
      <c r="F1587" s="125" t="s">
        <v>1398</v>
      </c>
      <c r="G1587" s="125" t="s">
        <v>134</v>
      </c>
      <c r="H1587" s="125" t="s">
        <v>158</v>
      </c>
      <c r="I1587" s="125"/>
      <c r="J1587" s="125"/>
      <c r="K1587" s="125"/>
      <c r="L1587" s="125" t="s">
        <v>4982</v>
      </c>
      <c r="M1587" s="194" t="s">
        <v>4983</v>
      </c>
      <c r="N1587" s="125"/>
      <c r="O1587" s="125" t="s">
        <v>54</v>
      </c>
      <c r="Q1587" s="40"/>
      <c r="R1587" s="40" t="s">
        <v>1604</v>
      </c>
    </row>
    <row r="1588" spans="1:18" s="39" customFormat="1" ht="13.45" customHeight="1" x14ac:dyDescent="0.2">
      <c r="A1588" s="125" t="s">
        <v>4984</v>
      </c>
      <c r="B1588" s="125" t="s">
        <v>93</v>
      </c>
      <c r="C1588" s="39" t="s">
        <v>132</v>
      </c>
      <c r="D1588" s="125" t="s">
        <v>160</v>
      </c>
      <c r="E1588" s="125" t="s">
        <v>151</v>
      </c>
      <c r="F1588" s="125" t="s">
        <v>4985</v>
      </c>
      <c r="G1588" s="125" t="s">
        <v>125</v>
      </c>
      <c r="H1588" s="125" t="s">
        <v>162</v>
      </c>
      <c r="I1588" s="125"/>
      <c r="J1588" s="125"/>
      <c r="K1588" s="125"/>
      <c r="L1588" s="125" t="s">
        <v>4986</v>
      </c>
      <c r="M1588" s="194" t="s">
        <v>4987</v>
      </c>
      <c r="N1588" s="125"/>
      <c r="O1588" s="125" t="s">
        <v>54</v>
      </c>
      <c r="P1588" s="39" t="s">
        <v>601</v>
      </c>
      <c r="Q1588" s="40">
        <v>667</v>
      </c>
      <c r="R1588" s="40">
        <v>667</v>
      </c>
    </row>
    <row r="1589" spans="1:18" s="39" customFormat="1" ht="13.45" customHeight="1" x14ac:dyDescent="0.2">
      <c r="A1589" s="125" t="s">
        <v>4988</v>
      </c>
      <c r="B1589" s="125" t="s">
        <v>93</v>
      </c>
      <c r="C1589" s="39" t="s">
        <v>132</v>
      </c>
      <c r="D1589" s="125" t="s">
        <v>160</v>
      </c>
      <c r="E1589" s="125" t="s">
        <v>151</v>
      </c>
      <c r="F1589" s="125" t="s">
        <v>4989</v>
      </c>
      <c r="G1589" s="125" t="s">
        <v>125</v>
      </c>
      <c r="H1589" s="125" t="s">
        <v>162</v>
      </c>
      <c r="I1589" s="125"/>
      <c r="J1589" s="125"/>
      <c r="K1589" s="125"/>
      <c r="L1589" s="125" t="s">
        <v>4990</v>
      </c>
      <c r="M1589" s="125" t="s">
        <v>4991</v>
      </c>
      <c r="N1589" s="125"/>
      <c r="O1589" s="125" t="s">
        <v>52</v>
      </c>
      <c r="P1589" s="39" t="s">
        <v>601</v>
      </c>
      <c r="Q1589" s="40">
        <v>200</v>
      </c>
      <c r="R1589" s="40">
        <v>200</v>
      </c>
    </row>
    <row r="1590" spans="1:18" s="39" customFormat="1" ht="13.45" customHeight="1" x14ac:dyDescent="0.2">
      <c r="A1590" s="125" t="s">
        <v>4992</v>
      </c>
      <c r="B1590" s="125" t="s">
        <v>93</v>
      </c>
      <c r="C1590" s="125" t="s">
        <v>171</v>
      </c>
      <c r="D1590" s="125" t="s">
        <v>121</v>
      </c>
      <c r="E1590" s="125" t="s">
        <v>147</v>
      </c>
      <c r="F1590" s="125" t="s">
        <v>1398</v>
      </c>
      <c r="G1590" s="125" t="s">
        <v>125</v>
      </c>
      <c r="H1590" s="125" t="s">
        <v>162</v>
      </c>
      <c r="I1590" s="125"/>
      <c r="J1590" s="125"/>
      <c r="K1590" s="125"/>
      <c r="L1590" s="125" t="s">
        <v>4993</v>
      </c>
      <c r="M1590" s="125" t="s">
        <v>4994</v>
      </c>
      <c r="N1590" s="125"/>
      <c r="O1590" s="39" t="s">
        <v>54</v>
      </c>
      <c r="Q1590" s="40"/>
      <c r="R1590" s="40" t="s">
        <v>1604</v>
      </c>
    </row>
    <row r="1591" spans="1:18" s="39" customFormat="1" ht="13.45" customHeight="1" x14ac:dyDescent="0.2">
      <c r="A1591" s="125" t="s">
        <v>4995</v>
      </c>
      <c r="B1591" s="125" t="s">
        <v>93</v>
      </c>
      <c r="C1591" s="125" t="s">
        <v>171</v>
      </c>
      <c r="D1591" s="125" t="s">
        <v>121</v>
      </c>
      <c r="E1591" s="125" t="s">
        <v>151</v>
      </c>
      <c r="F1591" s="125" t="s">
        <v>4996</v>
      </c>
      <c r="G1591" s="125" t="s">
        <v>125</v>
      </c>
      <c r="H1591" s="125" t="s">
        <v>162</v>
      </c>
      <c r="I1591" s="125"/>
      <c r="J1591" s="125"/>
      <c r="K1591" s="125"/>
      <c r="L1591" s="125" t="s">
        <v>4997</v>
      </c>
      <c r="M1591" s="182" t="s">
        <v>4998</v>
      </c>
      <c r="N1591" s="125"/>
      <c r="O1591" s="125" t="s">
        <v>54</v>
      </c>
      <c r="P1591" s="39" t="s">
        <v>601</v>
      </c>
      <c r="Q1591" s="40">
        <v>120</v>
      </c>
      <c r="R1591" s="40">
        <v>120</v>
      </c>
    </row>
    <row r="1592" spans="1:18" s="39" customFormat="1" ht="13.45" customHeight="1" x14ac:dyDescent="0.2">
      <c r="A1592" s="75" t="s">
        <v>4999</v>
      </c>
      <c r="B1592" s="75" t="s">
        <v>93</v>
      </c>
      <c r="C1592" s="75" t="s">
        <v>280</v>
      </c>
      <c r="D1592" s="75" t="s">
        <v>121</v>
      </c>
      <c r="E1592" s="75" t="s">
        <v>251</v>
      </c>
      <c r="F1592" s="75" t="s">
        <v>5000</v>
      </c>
      <c r="G1592" s="75" t="s">
        <v>162</v>
      </c>
      <c r="H1592" s="39" t="s">
        <v>125</v>
      </c>
      <c r="I1592" s="75"/>
      <c r="J1592" s="75" t="s">
        <v>124</v>
      </c>
      <c r="K1592" s="75" t="s">
        <v>5557</v>
      </c>
      <c r="L1592" s="75" t="s">
        <v>5001</v>
      </c>
      <c r="M1592" s="192" t="s">
        <v>5002</v>
      </c>
      <c r="N1592" s="75"/>
      <c r="O1592" s="75" t="s">
        <v>52</v>
      </c>
      <c r="P1592" s="75"/>
      <c r="Q1592" s="100"/>
      <c r="R1592" s="40" t="s">
        <v>1604</v>
      </c>
    </row>
    <row r="1593" spans="1:18" s="39" customFormat="1" ht="13.45" customHeight="1" x14ac:dyDescent="0.2">
      <c r="A1593" s="39" t="s">
        <v>5003</v>
      </c>
      <c r="B1593" s="39" t="s">
        <v>93</v>
      </c>
      <c r="C1593" s="39" t="s">
        <v>171</v>
      </c>
      <c r="D1593" s="39" t="s">
        <v>121</v>
      </c>
      <c r="E1593" s="39" t="s">
        <v>734</v>
      </c>
      <c r="F1593" s="39" t="s">
        <v>1398</v>
      </c>
      <c r="G1593" s="39" t="s">
        <v>153</v>
      </c>
      <c r="H1593" s="39" t="s">
        <v>125</v>
      </c>
      <c r="J1593" s="39" t="s">
        <v>124</v>
      </c>
      <c r="K1593" s="39" t="s">
        <v>5557</v>
      </c>
      <c r="L1593" s="39" t="s">
        <v>5004</v>
      </c>
      <c r="M1593" s="110" t="s">
        <v>5005</v>
      </c>
      <c r="O1593" s="39" t="s">
        <v>52</v>
      </c>
      <c r="Q1593" s="40"/>
      <c r="R1593" s="40" t="s">
        <v>1604</v>
      </c>
    </row>
    <row r="1594" spans="1:18" s="39" customFormat="1" ht="13.45" customHeight="1" x14ac:dyDescent="0.2">
      <c r="A1594" s="39" t="s">
        <v>5006</v>
      </c>
      <c r="B1594" s="39" t="s">
        <v>93</v>
      </c>
      <c r="C1594" s="39" t="s">
        <v>120</v>
      </c>
      <c r="D1594" s="39" t="s">
        <v>121</v>
      </c>
      <c r="E1594" s="39" t="s">
        <v>151</v>
      </c>
      <c r="F1594" s="39" t="s">
        <v>5007</v>
      </c>
      <c r="G1594" s="39" t="s">
        <v>125</v>
      </c>
      <c r="H1594" s="39" t="s">
        <v>162</v>
      </c>
      <c r="J1594" s="39" t="s">
        <v>124</v>
      </c>
      <c r="K1594" s="39" t="s">
        <v>5557</v>
      </c>
      <c r="L1594" s="39" t="s">
        <v>5008</v>
      </c>
      <c r="M1594" s="182" t="s">
        <v>5009</v>
      </c>
      <c r="O1594" s="39" t="s">
        <v>52</v>
      </c>
      <c r="P1594" s="39" t="s">
        <v>601</v>
      </c>
      <c r="Q1594" s="40">
        <v>249.5</v>
      </c>
      <c r="R1594" s="40">
        <v>249.5</v>
      </c>
    </row>
    <row r="1595" spans="1:18" s="39" customFormat="1" ht="13.45" customHeight="1" x14ac:dyDescent="0.2">
      <c r="A1595" s="39" t="s">
        <v>5010</v>
      </c>
      <c r="B1595" s="39" t="s">
        <v>93</v>
      </c>
      <c r="C1595" s="39" t="s">
        <v>120</v>
      </c>
      <c r="D1595" s="39" t="s">
        <v>121</v>
      </c>
      <c r="E1595" s="39" t="s">
        <v>251</v>
      </c>
      <c r="F1595" s="39" t="s">
        <v>5011</v>
      </c>
      <c r="G1595" s="39" t="s">
        <v>125</v>
      </c>
      <c r="H1595" s="39" t="s">
        <v>162</v>
      </c>
      <c r="J1595" s="39" t="s">
        <v>124</v>
      </c>
      <c r="K1595" s="39" t="s">
        <v>5557</v>
      </c>
      <c r="L1595" s="39" t="s">
        <v>5012</v>
      </c>
      <c r="M1595" s="182" t="s">
        <v>5013</v>
      </c>
      <c r="O1595" s="39" t="s">
        <v>52</v>
      </c>
      <c r="P1595" s="94" t="s">
        <v>601</v>
      </c>
      <c r="Q1595" s="40">
        <v>1670</v>
      </c>
      <c r="R1595" s="40">
        <v>1670</v>
      </c>
    </row>
    <row r="1596" spans="1:18" s="39" customFormat="1" ht="13.45" customHeight="1" x14ac:dyDescent="0.2">
      <c r="A1596" s="39" t="s">
        <v>5014</v>
      </c>
      <c r="B1596" s="39" t="s">
        <v>93</v>
      </c>
      <c r="C1596" s="39" t="s">
        <v>120</v>
      </c>
      <c r="D1596" s="39" t="s">
        <v>121</v>
      </c>
      <c r="E1596" s="39" t="s">
        <v>122</v>
      </c>
      <c r="F1596" s="39" t="s">
        <v>5015</v>
      </c>
      <c r="G1596" s="39" t="s">
        <v>125</v>
      </c>
      <c r="H1596" s="39" t="s">
        <v>162</v>
      </c>
      <c r="J1596" s="39" t="s">
        <v>124</v>
      </c>
      <c r="K1596" s="39" t="s">
        <v>5557</v>
      </c>
      <c r="L1596" s="39" t="s">
        <v>5016</v>
      </c>
      <c r="M1596" s="182" t="s">
        <v>5017</v>
      </c>
      <c r="N1596" s="39" t="s">
        <v>5013</v>
      </c>
      <c r="O1596" s="39" t="s">
        <v>54</v>
      </c>
      <c r="P1596" s="94" t="s">
        <v>601</v>
      </c>
      <c r="Q1596" s="40">
        <v>10000</v>
      </c>
      <c r="R1596" s="40">
        <v>10000</v>
      </c>
    </row>
    <row r="1597" spans="1:18" s="39" customFormat="1" ht="13.45" customHeight="1" x14ac:dyDescent="0.2">
      <c r="A1597" s="39" t="s">
        <v>5018</v>
      </c>
      <c r="B1597" s="39" t="s">
        <v>93</v>
      </c>
      <c r="C1597" s="39" t="s">
        <v>177</v>
      </c>
      <c r="D1597" s="39" t="s">
        <v>137</v>
      </c>
      <c r="E1597" s="39" t="s">
        <v>133</v>
      </c>
      <c r="F1597" s="39" t="s">
        <v>1398</v>
      </c>
      <c r="G1597" s="39" t="s">
        <v>125</v>
      </c>
      <c r="H1597" s="39" t="s">
        <v>162</v>
      </c>
      <c r="I1597" s="39" t="s">
        <v>158</v>
      </c>
      <c r="J1597" s="39" t="s">
        <v>124</v>
      </c>
      <c r="K1597" s="39" t="s">
        <v>5557</v>
      </c>
      <c r="L1597" s="39" t="s">
        <v>5019</v>
      </c>
      <c r="M1597" s="76" t="s">
        <v>5020</v>
      </c>
      <c r="O1597" s="39" t="s">
        <v>54</v>
      </c>
      <c r="Q1597" s="40"/>
      <c r="R1597" s="40" t="s">
        <v>1604</v>
      </c>
    </row>
    <row r="1598" spans="1:18" s="39" customFormat="1" ht="13.45" customHeight="1" x14ac:dyDescent="0.2">
      <c r="A1598" s="39" t="s">
        <v>5021</v>
      </c>
      <c r="B1598" s="39" t="s">
        <v>93</v>
      </c>
      <c r="C1598" s="39" t="s">
        <v>188</v>
      </c>
      <c r="D1598" s="39" t="s">
        <v>121</v>
      </c>
      <c r="E1598" s="39" t="s">
        <v>151</v>
      </c>
      <c r="F1598" s="39" t="s">
        <v>5022</v>
      </c>
      <c r="G1598" s="39" t="s">
        <v>125</v>
      </c>
      <c r="H1598" s="39" t="s">
        <v>162</v>
      </c>
      <c r="J1598" s="39" t="s">
        <v>124</v>
      </c>
      <c r="K1598" s="39" t="s">
        <v>5557</v>
      </c>
      <c r="L1598" s="39" t="s">
        <v>5023</v>
      </c>
      <c r="M1598" s="182" t="s">
        <v>5024</v>
      </c>
      <c r="O1598" s="39" t="s">
        <v>53</v>
      </c>
      <c r="P1598" s="39" t="s">
        <v>601</v>
      </c>
      <c r="Q1598" s="40">
        <v>33</v>
      </c>
      <c r="R1598" s="40">
        <v>33</v>
      </c>
    </row>
    <row r="1599" spans="1:18" s="39" customFormat="1" ht="13.45" customHeight="1" x14ac:dyDescent="0.2">
      <c r="A1599" s="39" t="s">
        <v>5025</v>
      </c>
      <c r="B1599" s="39" t="s">
        <v>93</v>
      </c>
      <c r="C1599" s="39" t="s">
        <v>171</v>
      </c>
      <c r="D1599" s="39" t="s">
        <v>121</v>
      </c>
      <c r="E1599" s="39" t="s">
        <v>151</v>
      </c>
      <c r="F1599" s="39" t="s">
        <v>1398</v>
      </c>
      <c r="G1599" s="39" t="s">
        <v>125</v>
      </c>
      <c r="H1599" s="39" t="s">
        <v>162</v>
      </c>
      <c r="J1599" s="39" t="s">
        <v>124</v>
      </c>
      <c r="K1599" s="39" t="s">
        <v>5557</v>
      </c>
      <c r="L1599" s="39" t="s">
        <v>5026</v>
      </c>
      <c r="M1599" s="182" t="s">
        <v>5027</v>
      </c>
      <c r="O1599" s="39" t="s">
        <v>53</v>
      </c>
      <c r="Q1599" s="40"/>
      <c r="R1599" s="40" t="s">
        <v>1604</v>
      </c>
    </row>
    <row r="1600" spans="1:18" s="39" customFormat="1" ht="13.45" customHeight="1" x14ac:dyDescent="0.2">
      <c r="A1600" s="39" t="s">
        <v>5028</v>
      </c>
      <c r="B1600" s="39" t="s">
        <v>93</v>
      </c>
      <c r="C1600" s="39" t="s">
        <v>120</v>
      </c>
      <c r="D1600" s="39" t="s">
        <v>121</v>
      </c>
      <c r="E1600" s="39" t="s">
        <v>251</v>
      </c>
      <c r="F1600" s="39" t="s">
        <v>5029</v>
      </c>
      <c r="G1600" s="39" t="s">
        <v>125</v>
      </c>
      <c r="H1600" s="39" t="s">
        <v>162</v>
      </c>
      <c r="J1600" s="39" t="s">
        <v>124</v>
      </c>
      <c r="K1600" s="39" t="s">
        <v>5557</v>
      </c>
      <c r="L1600" s="39" t="s">
        <v>5030</v>
      </c>
      <c r="M1600" s="110" t="s">
        <v>5031</v>
      </c>
      <c r="O1600" s="39" t="s">
        <v>52</v>
      </c>
      <c r="P1600" s="39" t="s">
        <v>601</v>
      </c>
      <c r="Q1600" s="40">
        <v>25000</v>
      </c>
      <c r="R1600" s="40">
        <v>25000</v>
      </c>
    </row>
    <row r="1601" spans="1:18" s="39" customFormat="1" ht="13.45" customHeight="1" x14ac:dyDescent="0.2">
      <c r="A1601" s="39" t="s">
        <v>5032</v>
      </c>
      <c r="B1601" s="39" t="s">
        <v>93</v>
      </c>
      <c r="C1601" s="39" t="s">
        <v>132</v>
      </c>
      <c r="D1601" s="39" t="s">
        <v>137</v>
      </c>
      <c r="E1601" s="39" t="s">
        <v>133</v>
      </c>
      <c r="F1601" s="39" t="s">
        <v>1398</v>
      </c>
      <c r="G1601" s="39" t="s">
        <v>125</v>
      </c>
      <c r="H1601" s="39" t="s">
        <v>162</v>
      </c>
      <c r="I1601" s="39" t="s">
        <v>158</v>
      </c>
      <c r="J1601" s="39" t="s">
        <v>124</v>
      </c>
      <c r="K1601" s="39" t="s">
        <v>5557</v>
      </c>
      <c r="L1601" s="39" t="s">
        <v>5033</v>
      </c>
      <c r="M1601" s="182" t="s">
        <v>5034</v>
      </c>
      <c r="O1601" s="39" t="s">
        <v>54</v>
      </c>
      <c r="Q1601" s="40"/>
      <c r="R1601" s="40" t="s">
        <v>1604</v>
      </c>
    </row>
    <row r="1602" spans="1:18" s="39" customFormat="1" ht="13.45" customHeight="1" x14ac:dyDescent="0.2">
      <c r="A1602" s="39" t="s">
        <v>5035</v>
      </c>
      <c r="B1602" s="39" t="s">
        <v>93</v>
      </c>
      <c r="C1602" s="39" t="s">
        <v>120</v>
      </c>
      <c r="D1602" s="39" t="s">
        <v>121</v>
      </c>
      <c r="E1602" s="39" t="s">
        <v>122</v>
      </c>
      <c r="F1602" s="39" t="s">
        <v>5036</v>
      </c>
      <c r="G1602" s="39" t="s">
        <v>125</v>
      </c>
      <c r="H1602" s="39" t="s">
        <v>162</v>
      </c>
      <c r="L1602" s="168" t="s">
        <v>5037</v>
      </c>
      <c r="M1602" s="196" t="s">
        <v>5038</v>
      </c>
      <c r="N1602" s="39" t="s">
        <v>5039</v>
      </c>
      <c r="O1602" s="39" t="s">
        <v>54</v>
      </c>
      <c r="P1602" s="39" t="s">
        <v>601</v>
      </c>
      <c r="Q1602" s="40">
        <v>8000</v>
      </c>
      <c r="R1602" s="40">
        <v>8000</v>
      </c>
    </row>
    <row r="1603" spans="1:18" s="39" customFormat="1" ht="13.45" customHeight="1" x14ac:dyDescent="0.2">
      <c r="A1603" s="39" t="s">
        <v>5040</v>
      </c>
      <c r="B1603" s="39" t="s">
        <v>93</v>
      </c>
      <c r="C1603" s="39" t="s">
        <v>120</v>
      </c>
      <c r="D1603" s="39" t="s">
        <v>121</v>
      </c>
      <c r="E1603" s="39" t="s">
        <v>122</v>
      </c>
      <c r="F1603" s="39" t="s">
        <v>5041</v>
      </c>
      <c r="G1603" s="39" t="s">
        <v>125</v>
      </c>
      <c r="H1603" s="39" t="s">
        <v>162</v>
      </c>
      <c r="L1603" s="168" t="s">
        <v>5042</v>
      </c>
      <c r="M1603" s="197" t="s">
        <v>5043</v>
      </c>
      <c r="N1603" s="39" t="s">
        <v>5039</v>
      </c>
      <c r="O1603" s="39" t="s">
        <v>54</v>
      </c>
      <c r="Q1603" s="40"/>
      <c r="R1603" s="40" t="s">
        <v>1604</v>
      </c>
    </row>
    <row r="1604" spans="1:18" s="39" customFormat="1" ht="13.45" customHeight="1" x14ac:dyDescent="0.2">
      <c r="A1604" s="39" t="s">
        <v>5044</v>
      </c>
      <c r="B1604" s="39" t="s">
        <v>93</v>
      </c>
      <c r="C1604" s="39" t="s">
        <v>120</v>
      </c>
      <c r="D1604" s="39" t="s">
        <v>121</v>
      </c>
      <c r="E1604" s="39" t="s">
        <v>122</v>
      </c>
      <c r="F1604" s="39" t="s">
        <v>5045</v>
      </c>
      <c r="G1604" s="39" t="s">
        <v>125</v>
      </c>
      <c r="H1604" s="39" t="s">
        <v>162</v>
      </c>
      <c r="L1604" s="39" t="s">
        <v>5046</v>
      </c>
      <c r="M1604" s="76" t="s">
        <v>5047</v>
      </c>
      <c r="O1604" s="39" t="s">
        <v>54</v>
      </c>
      <c r="Q1604" s="40"/>
      <c r="R1604" s="40" t="s">
        <v>1604</v>
      </c>
    </row>
    <row r="1605" spans="1:18" s="39" customFormat="1" ht="13.45" customHeight="1" x14ac:dyDescent="0.2">
      <c r="A1605" s="39" t="s">
        <v>5048</v>
      </c>
      <c r="B1605" s="39" t="s">
        <v>93</v>
      </c>
      <c r="C1605" s="39" t="s">
        <v>120</v>
      </c>
      <c r="D1605" s="39" t="s">
        <v>121</v>
      </c>
      <c r="E1605" s="39" t="s">
        <v>122</v>
      </c>
      <c r="F1605" s="39" t="s">
        <v>5049</v>
      </c>
      <c r="G1605" s="39" t="s">
        <v>125</v>
      </c>
      <c r="H1605" s="39" t="s">
        <v>162</v>
      </c>
      <c r="L1605" s="39" t="s">
        <v>5050</v>
      </c>
      <c r="M1605" s="62" t="s">
        <v>5051</v>
      </c>
      <c r="O1605" s="39" t="s">
        <v>54</v>
      </c>
      <c r="Q1605" s="40"/>
      <c r="R1605" s="40" t="s">
        <v>1604</v>
      </c>
    </row>
    <row r="1606" spans="1:18" s="39" customFormat="1" ht="13.45" customHeight="1" x14ac:dyDescent="0.2">
      <c r="A1606" s="39" t="s">
        <v>5052</v>
      </c>
      <c r="B1606" s="39" t="s">
        <v>93</v>
      </c>
      <c r="C1606" s="39" t="s">
        <v>120</v>
      </c>
      <c r="D1606" s="39" t="s">
        <v>121</v>
      </c>
      <c r="E1606" s="39" t="s">
        <v>251</v>
      </c>
      <c r="F1606" s="39" t="s">
        <v>5053</v>
      </c>
      <c r="G1606" s="39" t="s">
        <v>125</v>
      </c>
      <c r="H1606" s="39" t="s">
        <v>162</v>
      </c>
      <c r="L1606" s="48" t="s">
        <v>5054</v>
      </c>
      <c r="M1606" s="39" t="s">
        <v>5055</v>
      </c>
      <c r="O1606" s="39" t="s">
        <v>624</v>
      </c>
      <c r="P1606" s="39" t="s">
        <v>601</v>
      </c>
      <c r="Q1606" s="40">
        <v>2000</v>
      </c>
      <c r="R1606" s="40">
        <v>2000</v>
      </c>
    </row>
    <row r="1607" spans="1:18" s="39" customFormat="1" ht="13.45" customHeight="1" x14ac:dyDescent="0.2">
      <c r="A1607" s="39" t="s">
        <v>5056</v>
      </c>
      <c r="B1607" s="39" t="s">
        <v>93</v>
      </c>
      <c r="C1607" s="39" t="s">
        <v>120</v>
      </c>
      <c r="D1607" s="39" t="s">
        <v>2064</v>
      </c>
      <c r="E1607" s="39" t="s">
        <v>292</v>
      </c>
      <c r="G1607" s="39" t="s">
        <v>134</v>
      </c>
      <c r="H1607" s="39" t="s">
        <v>125</v>
      </c>
      <c r="L1607" s="39" t="s">
        <v>5057</v>
      </c>
      <c r="M1607" s="39" t="s">
        <v>5058</v>
      </c>
      <c r="O1607" s="39" t="s">
        <v>624</v>
      </c>
      <c r="P1607" s="39" t="s">
        <v>601</v>
      </c>
      <c r="Q1607" s="40">
        <f>9500+900*5</f>
        <v>14000</v>
      </c>
      <c r="R1607" s="40">
        <v>14000</v>
      </c>
    </row>
    <row r="1608" spans="1:18" s="39" customFormat="1" ht="13.45" customHeight="1" x14ac:dyDescent="0.2">
      <c r="A1608" s="39" t="s">
        <v>5059</v>
      </c>
      <c r="B1608" s="39" t="s">
        <v>93</v>
      </c>
      <c r="C1608" s="39" t="s">
        <v>120</v>
      </c>
      <c r="D1608" s="39" t="s">
        <v>137</v>
      </c>
      <c r="E1608" s="39" t="s">
        <v>133</v>
      </c>
      <c r="F1608" s="39" t="s">
        <v>5060</v>
      </c>
      <c r="L1608" s="39" t="s">
        <v>5061</v>
      </c>
      <c r="M1608" s="39" t="s">
        <v>5062</v>
      </c>
      <c r="O1608" s="125" t="s">
        <v>5063</v>
      </c>
      <c r="P1608" s="39" t="s">
        <v>601</v>
      </c>
      <c r="Q1608" s="40"/>
      <c r="R1608" s="40">
        <v>0</v>
      </c>
    </row>
    <row r="1609" spans="1:18" s="39" customFormat="1" ht="13.45" customHeight="1" x14ac:dyDescent="0.25">
      <c r="A1609" s="39" t="s">
        <v>5064</v>
      </c>
      <c r="B1609" s="39" t="s">
        <v>93</v>
      </c>
      <c r="C1609" s="39" t="s">
        <v>120</v>
      </c>
      <c r="D1609" s="39" t="s">
        <v>137</v>
      </c>
      <c r="E1609" s="39" t="s">
        <v>133</v>
      </c>
      <c r="F1609" s="39" t="s">
        <v>5065</v>
      </c>
      <c r="L1609" s="146" t="s">
        <v>5066</v>
      </c>
      <c r="O1609" s="125" t="s">
        <v>5063</v>
      </c>
      <c r="P1609" s="39" t="s">
        <v>601</v>
      </c>
      <c r="Q1609" s="40"/>
      <c r="R1609" s="40">
        <v>0</v>
      </c>
    </row>
    <row r="1610" spans="1:18" s="39" customFormat="1" ht="13.45" customHeight="1" x14ac:dyDescent="0.2">
      <c r="A1610" s="39" t="s">
        <v>5067</v>
      </c>
      <c r="B1610" s="39" t="s">
        <v>93</v>
      </c>
      <c r="C1610" s="39" t="s">
        <v>280</v>
      </c>
      <c r="D1610" s="39" t="s">
        <v>121</v>
      </c>
      <c r="E1610" s="39" t="s">
        <v>166</v>
      </c>
      <c r="F1610" s="39" t="s">
        <v>5068</v>
      </c>
      <c r="G1610" s="39" t="s">
        <v>125</v>
      </c>
      <c r="H1610" s="39" t="s">
        <v>162</v>
      </c>
      <c r="J1610" s="39" t="s">
        <v>124</v>
      </c>
      <c r="K1610" s="39" t="s">
        <v>5557</v>
      </c>
      <c r="L1610" s="39" t="s">
        <v>5069</v>
      </c>
      <c r="M1610" s="76" t="s">
        <v>5070</v>
      </c>
      <c r="O1610" s="125" t="s">
        <v>5071</v>
      </c>
      <c r="P1610" s="39" t="s">
        <v>601</v>
      </c>
      <c r="Q1610" s="40"/>
      <c r="R1610" s="40">
        <v>0</v>
      </c>
    </row>
    <row r="1611" spans="1:18" s="39" customFormat="1" ht="13.45" customHeight="1" x14ac:dyDescent="0.2">
      <c r="A1611" s="39" t="s">
        <v>5072</v>
      </c>
      <c r="B1611" s="39" t="s">
        <v>93</v>
      </c>
      <c r="C1611" s="39" t="s">
        <v>120</v>
      </c>
      <c r="D1611" s="39" t="s">
        <v>121</v>
      </c>
      <c r="E1611" s="39" t="s">
        <v>166</v>
      </c>
      <c r="F1611" s="39" t="s">
        <v>5073</v>
      </c>
      <c r="G1611" s="39" t="s">
        <v>162</v>
      </c>
      <c r="H1611" s="39" t="s">
        <v>125</v>
      </c>
      <c r="J1611" s="39" t="s">
        <v>124</v>
      </c>
      <c r="K1611" s="39" t="s">
        <v>5557</v>
      </c>
      <c r="L1611" s="39" t="s">
        <v>5074</v>
      </c>
      <c r="M1611" s="76" t="s">
        <v>5070</v>
      </c>
      <c r="O1611" s="125" t="s">
        <v>5071</v>
      </c>
      <c r="P1611" s="39" t="s">
        <v>601</v>
      </c>
      <c r="Q1611" s="40"/>
      <c r="R1611" s="40">
        <v>0</v>
      </c>
    </row>
    <row r="1612" spans="1:18" s="39" customFormat="1" ht="13.45" customHeight="1" x14ac:dyDescent="0.2">
      <c r="A1612" s="39" t="s">
        <v>5075</v>
      </c>
      <c r="B1612" s="39" t="s">
        <v>93</v>
      </c>
      <c r="C1612" s="39" t="s">
        <v>120</v>
      </c>
      <c r="D1612" s="39" t="s">
        <v>121</v>
      </c>
      <c r="E1612" s="39" t="s">
        <v>166</v>
      </c>
      <c r="F1612" s="39" t="s">
        <v>5029</v>
      </c>
      <c r="G1612" s="39" t="s">
        <v>162</v>
      </c>
      <c r="H1612" s="39" t="s">
        <v>125</v>
      </c>
      <c r="J1612" s="39" t="s">
        <v>124</v>
      </c>
      <c r="K1612" s="39" t="s">
        <v>5557</v>
      </c>
      <c r="L1612" s="39" t="s">
        <v>5076</v>
      </c>
      <c r="M1612" s="76" t="s">
        <v>5070</v>
      </c>
      <c r="O1612" s="125" t="s">
        <v>5071</v>
      </c>
      <c r="P1612" s="39" t="s">
        <v>601</v>
      </c>
      <c r="Q1612" s="40"/>
      <c r="R1612" s="40">
        <v>0</v>
      </c>
    </row>
    <row r="1613" spans="1:18" s="39" customFormat="1" ht="13.45" customHeight="1" x14ac:dyDescent="0.2">
      <c r="A1613" s="39" t="s">
        <v>5077</v>
      </c>
      <c r="B1613" s="39" t="s">
        <v>93</v>
      </c>
      <c r="C1613" s="39" t="s">
        <v>120</v>
      </c>
      <c r="D1613" s="39" t="s">
        <v>121</v>
      </c>
      <c r="E1613" s="39" t="s">
        <v>166</v>
      </c>
      <c r="F1613" s="39" t="s">
        <v>5015</v>
      </c>
      <c r="G1613" s="39" t="s">
        <v>162</v>
      </c>
      <c r="H1613" s="39" t="s">
        <v>125</v>
      </c>
      <c r="J1613" s="39" t="s">
        <v>124</v>
      </c>
      <c r="K1613" s="39" t="s">
        <v>5557</v>
      </c>
      <c r="L1613" s="39" t="s">
        <v>5078</v>
      </c>
      <c r="M1613" s="76" t="s">
        <v>5070</v>
      </c>
      <c r="O1613" s="125" t="s">
        <v>5071</v>
      </c>
      <c r="P1613" s="39" t="s">
        <v>601</v>
      </c>
      <c r="Q1613" s="40"/>
      <c r="R1613" s="40">
        <v>0</v>
      </c>
    </row>
    <row r="1614" spans="1:18" s="39" customFormat="1" ht="13.45" customHeight="1" x14ac:dyDescent="0.2">
      <c r="A1614" s="39" t="s">
        <v>5079</v>
      </c>
      <c r="B1614" s="39" t="s">
        <v>93</v>
      </c>
      <c r="C1614" s="39" t="s">
        <v>120</v>
      </c>
      <c r="D1614" s="39" t="s">
        <v>137</v>
      </c>
      <c r="E1614" s="39" t="s">
        <v>133</v>
      </c>
      <c r="F1614" s="39" t="s">
        <v>5080</v>
      </c>
      <c r="G1614" s="39" t="s">
        <v>208</v>
      </c>
      <c r="J1614" s="39" t="s">
        <v>124</v>
      </c>
      <c r="K1614" s="39" t="s">
        <v>5557</v>
      </c>
      <c r="L1614" s="39" t="s">
        <v>5081</v>
      </c>
      <c r="M1614" s="76" t="s">
        <v>5070</v>
      </c>
      <c r="O1614" s="125" t="s">
        <v>5071</v>
      </c>
      <c r="P1614" s="39" t="s">
        <v>601</v>
      </c>
      <c r="Q1614" s="40"/>
      <c r="R1614" s="40">
        <v>0</v>
      </c>
    </row>
    <row r="1615" spans="1:18" s="39" customFormat="1" ht="13.45" customHeight="1" x14ac:dyDescent="0.2">
      <c r="A1615" s="39" t="s">
        <v>5082</v>
      </c>
      <c r="B1615" s="39" t="s">
        <v>93</v>
      </c>
      <c r="C1615" s="39" t="s">
        <v>188</v>
      </c>
      <c r="D1615" s="39" t="s">
        <v>121</v>
      </c>
      <c r="E1615" s="39" t="s">
        <v>151</v>
      </c>
      <c r="F1615" s="39" t="s">
        <v>5073</v>
      </c>
      <c r="G1615" s="39" t="s">
        <v>162</v>
      </c>
      <c r="H1615" s="39" t="s">
        <v>125</v>
      </c>
      <c r="J1615" s="39" t="s">
        <v>124</v>
      </c>
      <c r="K1615" s="39" t="s">
        <v>5557</v>
      </c>
      <c r="L1615" s="39" t="s">
        <v>5083</v>
      </c>
      <c r="M1615" s="76" t="s">
        <v>5070</v>
      </c>
      <c r="O1615" s="125" t="s">
        <v>5071</v>
      </c>
      <c r="P1615" s="39" t="s">
        <v>601</v>
      </c>
      <c r="Q1615" s="40"/>
      <c r="R1615" s="40">
        <v>0</v>
      </c>
    </row>
    <row r="1616" spans="1:18" s="39" customFormat="1" ht="13.45" customHeight="1" x14ac:dyDescent="0.2">
      <c r="A1616" s="39" t="s">
        <v>5084</v>
      </c>
      <c r="B1616" s="39" t="s">
        <v>93</v>
      </c>
      <c r="C1616" s="39" t="s">
        <v>188</v>
      </c>
      <c r="D1616" s="39" t="s">
        <v>121</v>
      </c>
      <c r="E1616" s="39" t="s">
        <v>151</v>
      </c>
      <c r="F1616" s="39" t="s">
        <v>5085</v>
      </c>
      <c r="G1616" s="39" t="s">
        <v>162</v>
      </c>
      <c r="H1616" s="39" t="s">
        <v>125</v>
      </c>
      <c r="J1616" s="39" t="s">
        <v>124</v>
      </c>
      <c r="K1616" s="39" t="s">
        <v>5557</v>
      </c>
      <c r="L1616" s="39" t="s">
        <v>5086</v>
      </c>
      <c r="M1616" s="39" t="s">
        <v>5087</v>
      </c>
      <c r="O1616" s="125" t="s">
        <v>5071</v>
      </c>
      <c r="P1616" s="39" t="s">
        <v>601</v>
      </c>
      <c r="Q1616" s="40"/>
      <c r="R1616" s="40">
        <v>0</v>
      </c>
    </row>
    <row r="1617" spans="1:18" s="39" customFormat="1" ht="13.45" customHeight="1" x14ac:dyDescent="0.2">
      <c r="A1617" s="39" t="s">
        <v>5088</v>
      </c>
      <c r="B1617" s="39" t="s">
        <v>93</v>
      </c>
      <c r="C1617" s="39" t="s">
        <v>120</v>
      </c>
      <c r="D1617" s="39" t="s">
        <v>121</v>
      </c>
      <c r="E1617" s="39" t="s">
        <v>147</v>
      </c>
      <c r="F1617" s="39" t="s">
        <v>5089</v>
      </c>
      <c r="G1617" s="39" t="s">
        <v>162</v>
      </c>
      <c r="H1617" s="39" t="s">
        <v>125</v>
      </c>
      <c r="J1617" s="39" t="s">
        <v>124</v>
      </c>
      <c r="K1617" s="39" t="s">
        <v>5557</v>
      </c>
      <c r="L1617" s="39" t="s">
        <v>5090</v>
      </c>
      <c r="M1617" s="39" t="s">
        <v>5070</v>
      </c>
      <c r="O1617" s="125" t="s">
        <v>5071</v>
      </c>
      <c r="P1617" s="39" t="s">
        <v>601</v>
      </c>
      <c r="Q1617" s="40"/>
      <c r="R1617" s="40">
        <v>0</v>
      </c>
    </row>
    <row r="1618" spans="1:18" s="39" customFormat="1" ht="13.45" customHeight="1" x14ac:dyDescent="0.2">
      <c r="A1618" s="39" t="s">
        <v>5091</v>
      </c>
      <c r="B1618" s="39" t="s">
        <v>93</v>
      </c>
      <c r="C1618" s="39" t="s">
        <v>280</v>
      </c>
      <c r="D1618" s="39" t="s">
        <v>121</v>
      </c>
      <c r="E1618" s="39" t="s">
        <v>151</v>
      </c>
      <c r="F1618" s="39" t="s">
        <v>5092</v>
      </c>
      <c r="G1618" s="39" t="s">
        <v>125</v>
      </c>
      <c r="H1618" s="39" t="s">
        <v>162</v>
      </c>
      <c r="J1618" s="39" t="s">
        <v>124</v>
      </c>
      <c r="K1618" s="39" t="s">
        <v>5557</v>
      </c>
      <c r="L1618" s="39" t="s">
        <v>5093</v>
      </c>
      <c r="M1618" s="39" t="s">
        <v>5070</v>
      </c>
      <c r="O1618" s="125" t="s">
        <v>5071</v>
      </c>
      <c r="P1618" s="39" t="s">
        <v>601</v>
      </c>
      <c r="Q1618" s="40"/>
      <c r="R1618" s="40">
        <v>0</v>
      </c>
    </row>
    <row r="1619" spans="1:18" s="39" customFormat="1" ht="13.45" customHeight="1" x14ac:dyDescent="0.2">
      <c r="A1619" s="39" t="s">
        <v>5094</v>
      </c>
      <c r="B1619" s="39" t="s">
        <v>93</v>
      </c>
      <c r="C1619" s="39" t="s">
        <v>120</v>
      </c>
      <c r="D1619" s="39" t="s">
        <v>121</v>
      </c>
      <c r="E1619" s="39" t="s">
        <v>251</v>
      </c>
      <c r="F1619" s="39" t="s">
        <v>5095</v>
      </c>
      <c r="G1619" s="39" t="s">
        <v>162</v>
      </c>
      <c r="H1619" s="39" t="s">
        <v>125</v>
      </c>
      <c r="J1619" s="39" t="s">
        <v>124</v>
      </c>
      <c r="K1619" s="39" t="s">
        <v>5557</v>
      </c>
      <c r="L1619" s="39" t="s">
        <v>5096</v>
      </c>
      <c r="M1619" s="39" t="s">
        <v>5070</v>
      </c>
      <c r="O1619" s="125" t="s">
        <v>5071</v>
      </c>
      <c r="Q1619" s="40"/>
      <c r="R1619" s="40" t="s">
        <v>1604</v>
      </c>
    </row>
    <row r="1620" spans="1:18" s="39" customFormat="1" ht="13.45" customHeight="1" x14ac:dyDescent="0.2">
      <c r="A1620" s="39" t="s">
        <v>5097</v>
      </c>
      <c r="B1620" s="39" t="s">
        <v>93</v>
      </c>
      <c r="C1620" s="39" t="s">
        <v>120</v>
      </c>
      <c r="D1620" s="39" t="s">
        <v>121</v>
      </c>
      <c r="E1620" s="39" t="s">
        <v>251</v>
      </c>
      <c r="F1620" s="39" t="s">
        <v>5098</v>
      </c>
      <c r="G1620" s="39" t="s">
        <v>162</v>
      </c>
      <c r="H1620" s="39" t="s">
        <v>125</v>
      </c>
      <c r="J1620" s="39" t="s">
        <v>124</v>
      </c>
      <c r="K1620" s="39" t="s">
        <v>5557</v>
      </c>
      <c r="L1620" s="39" t="s">
        <v>5099</v>
      </c>
      <c r="M1620" s="39" t="s">
        <v>5070</v>
      </c>
      <c r="O1620" s="125" t="s">
        <v>5071</v>
      </c>
      <c r="P1620" s="39" t="s">
        <v>601</v>
      </c>
      <c r="Q1620" s="40"/>
      <c r="R1620" s="40">
        <v>0</v>
      </c>
    </row>
    <row r="1621" spans="1:18" s="39" customFormat="1" ht="13.45" customHeight="1" x14ac:dyDescent="0.2">
      <c r="A1621" s="39" t="s">
        <v>5100</v>
      </c>
      <c r="B1621" s="39" t="s">
        <v>93</v>
      </c>
      <c r="C1621" s="39" t="s">
        <v>120</v>
      </c>
      <c r="D1621" s="39" t="s">
        <v>121</v>
      </c>
      <c r="E1621" s="39" t="s">
        <v>251</v>
      </c>
      <c r="F1621" s="39" t="s">
        <v>5101</v>
      </c>
      <c r="G1621" s="39" t="s">
        <v>162</v>
      </c>
      <c r="H1621" s="39" t="s">
        <v>125</v>
      </c>
      <c r="J1621" s="39" t="s">
        <v>124</v>
      </c>
      <c r="K1621" s="39" t="s">
        <v>5557</v>
      </c>
      <c r="L1621" s="39" t="s">
        <v>5102</v>
      </c>
      <c r="M1621" s="39" t="s">
        <v>5070</v>
      </c>
      <c r="O1621" s="125" t="s">
        <v>5071</v>
      </c>
      <c r="P1621" s="39" t="s">
        <v>601</v>
      </c>
      <c r="Q1621" s="40"/>
      <c r="R1621" s="40">
        <v>0</v>
      </c>
    </row>
    <row r="1622" spans="1:18" s="39" customFormat="1" ht="13.45" customHeight="1" x14ac:dyDescent="0.2">
      <c r="A1622" s="39" t="s">
        <v>5103</v>
      </c>
      <c r="B1622" s="39" t="s">
        <v>93</v>
      </c>
      <c r="C1622" s="39" t="s">
        <v>120</v>
      </c>
      <c r="D1622" s="39" t="s">
        <v>121</v>
      </c>
      <c r="E1622" s="39" t="s">
        <v>251</v>
      </c>
      <c r="F1622" s="39" t="s">
        <v>5104</v>
      </c>
      <c r="G1622" s="39" t="s">
        <v>162</v>
      </c>
      <c r="H1622" s="39" t="s">
        <v>5105</v>
      </c>
      <c r="I1622" s="39" t="s">
        <v>125</v>
      </c>
      <c r="J1622" s="39" t="s">
        <v>124</v>
      </c>
      <c r="K1622" s="39" t="s">
        <v>5557</v>
      </c>
      <c r="L1622" s="39" t="s">
        <v>5106</v>
      </c>
      <c r="M1622" s="39" t="s">
        <v>5070</v>
      </c>
      <c r="O1622" s="125" t="s">
        <v>5071</v>
      </c>
      <c r="P1622" s="39" t="s">
        <v>601</v>
      </c>
      <c r="Q1622" s="40"/>
      <c r="R1622" s="40">
        <v>0</v>
      </c>
    </row>
    <row r="1623" spans="1:18" s="39" customFormat="1" ht="13.45" customHeight="1" x14ac:dyDescent="0.2">
      <c r="A1623" s="39" t="s">
        <v>5107</v>
      </c>
      <c r="B1623" s="39" t="s">
        <v>93</v>
      </c>
      <c r="C1623" s="39" t="s">
        <v>120</v>
      </c>
      <c r="D1623" s="39" t="s">
        <v>121</v>
      </c>
      <c r="E1623" s="39" t="s">
        <v>251</v>
      </c>
      <c r="F1623" s="39" t="s">
        <v>5108</v>
      </c>
      <c r="G1623" s="39" t="s">
        <v>162</v>
      </c>
      <c r="H1623" s="39" t="s">
        <v>125</v>
      </c>
      <c r="J1623" s="39" t="s">
        <v>5556</v>
      </c>
      <c r="K1623" s="39" t="s">
        <v>5557</v>
      </c>
      <c r="L1623" s="39" t="s">
        <v>5109</v>
      </c>
      <c r="M1623" s="39" t="s">
        <v>5110</v>
      </c>
      <c r="O1623" s="125" t="s">
        <v>5071</v>
      </c>
      <c r="P1623" s="39" t="s">
        <v>601</v>
      </c>
      <c r="Q1623" s="40"/>
      <c r="R1623" s="40">
        <v>0</v>
      </c>
    </row>
    <row r="1624" spans="1:18" s="39" customFormat="1" ht="13.45" customHeight="1" x14ac:dyDescent="0.2">
      <c r="A1624" s="39" t="s">
        <v>5111</v>
      </c>
      <c r="B1624" s="39" t="s">
        <v>93</v>
      </c>
      <c r="C1624" s="39" t="s">
        <v>120</v>
      </c>
      <c r="D1624" s="39" t="s">
        <v>121</v>
      </c>
      <c r="E1624" s="39" t="s">
        <v>251</v>
      </c>
      <c r="F1624" s="39" t="s">
        <v>5112</v>
      </c>
      <c r="G1624" s="39" t="s">
        <v>162</v>
      </c>
      <c r="H1624" s="39" t="s">
        <v>125</v>
      </c>
      <c r="J1624" s="39" t="s">
        <v>5556</v>
      </c>
      <c r="K1624" s="39" t="s">
        <v>5557</v>
      </c>
      <c r="L1624" s="39" t="s">
        <v>5113</v>
      </c>
      <c r="M1624" s="197" t="s">
        <v>5043</v>
      </c>
      <c r="O1624" s="125" t="s">
        <v>5071</v>
      </c>
      <c r="P1624" s="39" t="s">
        <v>601</v>
      </c>
      <c r="Q1624" s="40"/>
      <c r="R1624" s="40">
        <v>0</v>
      </c>
    </row>
    <row r="1625" spans="1:18" s="39" customFormat="1" ht="13.45" customHeight="1" x14ac:dyDescent="0.2">
      <c r="A1625" s="75" t="s">
        <v>5114</v>
      </c>
      <c r="B1625" s="75" t="s">
        <v>100</v>
      </c>
      <c r="C1625" s="75" t="s">
        <v>120</v>
      </c>
      <c r="D1625" s="75" t="s">
        <v>137</v>
      </c>
      <c r="E1625" s="75" t="s">
        <v>133</v>
      </c>
      <c r="F1625" s="165"/>
      <c r="G1625" s="75" t="s">
        <v>125</v>
      </c>
      <c r="H1625" s="75" t="s">
        <v>152</v>
      </c>
      <c r="I1625" s="75" t="s">
        <v>153</v>
      </c>
      <c r="J1625" s="75"/>
      <c r="K1625" s="75"/>
      <c r="L1625" s="75" t="s">
        <v>5115</v>
      </c>
      <c r="M1625" s="99" t="s">
        <v>5116</v>
      </c>
      <c r="N1625" s="99" t="s">
        <v>5117</v>
      </c>
      <c r="O1625" s="75" t="s">
        <v>53</v>
      </c>
      <c r="P1625" s="75" t="s">
        <v>5118</v>
      </c>
      <c r="Q1625" s="100"/>
      <c r="R1625" s="40">
        <v>0</v>
      </c>
    </row>
    <row r="1626" spans="1:18" s="39" customFormat="1" ht="13.45" customHeight="1" x14ac:dyDescent="0.2">
      <c r="A1626" s="39" t="s">
        <v>5119</v>
      </c>
      <c r="B1626" s="39" t="s">
        <v>100</v>
      </c>
      <c r="C1626" s="39" t="s">
        <v>177</v>
      </c>
      <c r="D1626" s="39" t="s">
        <v>121</v>
      </c>
      <c r="E1626" s="39" t="s">
        <v>151</v>
      </c>
      <c r="F1626" s="54"/>
      <c r="G1626" s="39" t="s">
        <v>125</v>
      </c>
      <c r="H1626" s="39" t="s">
        <v>158</v>
      </c>
      <c r="L1626" s="39" t="s">
        <v>5120</v>
      </c>
      <c r="M1626" s="39" t="s">
        <v>5121</v>
      </c>
      <c r="O1626" s="39" t="s">
        <v>52</v>
      </c>
      <c r="Q1626" s="40"/>
      <c r="R1626" s="40" t="s">
        <v>1604</v>
      </c>
    </row>
    <row r="1627" spans="1:18" s="39" customFormat="1" ht="13.45" customHeight="1" x14ac:dyDescent="0.2">
      <c r="A1627" s="39" t="s">
        <v>5122</v>
      </c>
      <c r="B1627" s="39" t="s">
        <v>100</v>
      </c>
      <c r="C1627" s="39" t="s">
        <v>177</v>
      </c>
      <c r="D1627" s="39" t="s">
        <v>137</v>
      </c>
      <c r="E1627" s="39" t="s">
        <v>133</v>
      </c>
      <c r="F1627" s="54" t="s">
        <v>5123</v>
      </c>
      <c r="G1627" s="39" t="s">
        <v>125</v>
      </c>
      <c r="H1627" s="39" t="s">
        <v>158</v>
      </c>
      <c r="L1627" s="39" t="s">
        <v>5124</v>
      </c>
      <c r="M1627" s="39" t="s">
        <v>5125</v>
      </c>
      <c r="N1627" s="39" t="s">
        <v>5126</v>
      </c>
      <c r="O1627" s="39" t="s">
        <v>52</v>
      </c>
      <c r="P1627" s="39" t="s">
        <v>601</v>
      </c>
      <c r="Q1627" s="40">
        <v>3.5</v>
      </c>
      <c r="R1627" s="40">
        <v>3.5</v>
      </c>
    </row>
    <row r="1628" spans="1:18" s="39" customFormat="1" ht="13.45" customHeight="1" x14ac:dyDescent="0.2">
      <c r="A1628" s="39" t="s">
        <v>5127</v>
      </c>
      <c r="B1628" s="39" t="s">
        <v>100</v>
      </c>
      <c r="C1628" s="39" t="s">
        <v>171</v>
      </c>
      <c r="D1628" s="39" t="s">
        <v>137</v>
      </c>
      <c r="E1628" s="39" t="s">
        <v>199</v>
      </c>
      <c r="F1628" s="54"/>
      <c r="G1628" s="39" t="s">
        <v>152</v>
      </c>
      <c r="L1628" s="39" t="s">
        <v>5128</v>
      </c>
      <c r="M1628" s="39" t="s">
        <v>5129</v>
      </c>
      <c r="O1628" s="39" t="s">
        <v>52</v>
      </c>
      <c r="Q1628" s="40" t="s">
        <v>1604</v>
      </c>
      <c r="R1628" s="40" t="s">
        <v>1604</v>
      </c>
    </row>
    <row r="1629" spans="1:18" s="39" customFormat="1" ht="13.45" customHeight="1" x14ac:dyDescent="0.2">
      <c r="A1629" s="39" t="s">
        <v>5130</v>
      </c>
      <c r="B1629" s="39" t="s">
        <v>100</v>
      </c>
      <c r="C1629" s="39" t="s">
        <v>171</v>
      </c>
      <c r="D1629" s="39" t="s">
        <v>121</v>
      </c>
      <c r="E1629" s="39" t="s">
        <v>147</v>
      </c>
      <c r="F1629" s="54"/>
      <c r="G1629" s="39" t="s">
        <v>162</v>
      </c>
      <c r="H1629" s="39" t="s">
        <v>125</v>
      </c>
      <c r="L1629" s="39" t="s">
        <v>5131</v>
      </c>
      <c r="M1629" s="39" t="s">
        <v>5132</v>
      </c>
      <c r="O1629" s="39" t="s">
        <v>52</v>
      </c>
      <c r="Q1629" s="40" t="s">
        <v>1604</v>
      </c>
      <c r="R1629" s="40" t="s">
        <v>1604</v>
      </c>
    </row>
    <row r="1630" spans="1:18" s="39" customFormat="1" ht="13.45" customHeight="1" x14ac:dyDescent="0.2">
      <c r="A1630" s="39" t="s">
        <v>5133</v>
      </c>
      <c r="B1630" s="39" t="s">
        <v>100</v>
      </c>
      <c r="C1630" s="39" t="s">
        <v>120</v>
      </c>
      <c r="D1630" s="55" t="s">
        <v>121</v>
      </c>
      <c r="E1630" s="39" t="s">
        <v>133</v>
      </c>
      <c r="F1630" s="54" t="s">
        <v>5134</v>
      </c>
      <c r="G1630" s="39" t="s">
        <v>153</v>
      </c>
      <c r="H1630" s="39" t="s">
        <v>162</v>
      </c>
      <c r="L1630" s="39" t="s">
        <v>5135</v>
      </c>
      <c r="M1630" s="39" t="s">
        <v>5136</v>
      </c>
      <c r="O1630" s="39" t="s">
        <v>52</v>
      </c>
      <c r="P1630" s="39" t="s">
        <v>601</v>
      </c>
      <c r="Q1630" s="40">
        <v>56</v>
      </c>
      <c r="R1630" s="40">
        <v>56</v>
      </c>
    </row>
    <row r="1631" spans="1:18" s="39" customFormat="1" ht="13.45" customHeight="1" x14ac:dyDescent="0.2">
      <c r="A1631" s="39" t="s">
        <v>5137</v>
      </c>
      <c r="B1631" s="39" t="s">
        <v>100</v>
      </c>
      <c r="C1631" s="39" t="s">
        <v>171</v>
      </c>
      <c r="D1631" s="39" t="s">
        <v>137</v>
      </c>
      <c r="E1631" s="39" t="s">
        <v>133</v>
      </c>
      <c r="F1631" s="54"/>
      <c r="G1631" s="39" t="s">
        <v>162</v>
      </c>
      <c r="L1631" s="39" t="s">
        <v>5138</v>
      </c>
      <c r="M1631" s="39" t="s">
        <v>5139</v>
      </c>
      <c r="O1631" s="39" t="s">
        <v>5140</v>
      </c>
      <c r="Q1631" s="40"/>
      <c r="R1631" s="40" t="s">
        <v>1604</v>
      </c>
    </row>
    <row r="1632" spans="1:18" s="39" customFormat="1" ht="13.45" customHeight="1" x14ac:dyDescent="0.2">
      <c r="A1632" s="39" t="s">
        <v>5141</v>
      </c>
      <c r="B1632" s="39" t="s">
        <v>100</v>
      </c>
      <c r="C1632" s="39" t="s">
        <v>120</v>
      </c>
      <c r="D1632" s="55" t="s">
        <v>121</v>
      </c>
      <c r="E1632" s="39" t="s">
        <v>251</v>
      </c>
      <c r="F1632" s="54" t="s">
        <v>5142</v>
      </c>
      <c r="G1632" s="39" t="s">
        <v>125</v>
      </c>
      <c r="H1632" s="39" t="s">
        <v>162</v>
      </c>
      <c r="L1632" s="39" t="s">
        <v>5143</v>
      </c>
      <c r="M1632" s="39" t="s">
        <v>5144</v>
      </c>
      <c r="O1632" s="39" t="s">
        <v>52</v>
      </c>
      <c r="P1632" s="39" t="s">
        <v>5118</v>
      </c>
      <c r="Q1632" s="40">
        <v>6750</v>
      </c>
      <c r="R1632" s="40">
        <v>535.25250887513823</v>
      </c>
    </row>
    <row r="1633" spans="1:18" s="39" customFormat="1" ht="13.45" customHeight="1" x14ac:dyDescent="0.2">
      <c r="A1633" s="39" t="s">
        <v>5145</v>
      </c>
      <c r="B1633" s="39" t="s">
        <v>100</v>
      </c>
      <c r="C1633" s="39" t="s">
        <v>177</v>
      </c>
      <c r="D1633" s="55" t="s">
        <v>121</v>
      </c>
      <c r="E1633" s="39" t="s">
        <v>292</v>
      </c>
      <c r="F1633" s="54" t="s">
        <v>5146</v>
      </c>
      <c r="G1633" s="39" t="s">
        <v>125</v>
      </c>
      <c r="H1633" s="39" t="s">
        <v>134</v>
      </c>
      <c r="L1633" s="39" t="s">
        <v>5147</v>
      </c>
      <c r="M1633" s="39" t="s">
        <v>5144</v>
      </c>
      <c r="N1633" s="39" t="s">
        <v>5148</v>
      </c>
      <c r="O1633" s="39" t="s">
        <v>52</v>
      </c>
      <c r="P1633" s="39" t="s">
        <v>5118</v>
      </c>
      <c r="Q1633" s="40">
        <v>1983</v>
      </c>
      <c r="R1633" s="40">
        <v>157.24529260731839</v>
      </c>
    </row>
    <row r="1634" spans="1:18" s="39" customFormat="1" ht="13.45" customHeight="1" x14ac:dyDescent="0.2">
      <c r="A1634" s="39" t="s">
        <v>5149</v>
      </c>
      <c r="B1634" s="39" t="s">
        <v>100</v>
      </c>
      <c r="C1634" s="39" t="s">
        <v>188</v>
      </c>
      <c r="D1634" s="39" t="s">
        <v>137</v>
      </c>
      <c r="E1634" s="39" t="s">
        <v>133</v>
      </c>
      <c r="F1634" s="54" t="s">
        <v>5150</v>
      </c>
      <c r="G1634" s="39" t="s">
        <v>125</v>
      </c>
      <c r="H1634" s="39" t="s">
        <v>162</v>
      </c>
      <c r="L1634" s="39" t="s">
        <v>5151</v>
      </c>
      <c r="M1634" s="39" t="s">
        <v>5152</v>
      </c>
      <c r="N1634" s="76" t="s">
        <v>5153</v>
      </c>
      <c r="O1634" s="39" t="s">
        <v>53</v>
      </c>
      <c r="P1634" s="39" t="s">
        <v>5118</v>
      </c>
      <c r="Q1634" s="40">
        <v>2000</v>
      </c>
      <c r="R1634" s="40">
        <v>158.59333596300391</v>
      </c>
    </row>
    <row r="1635" spans="1:18" s="39" customFormat="1" ht="13.45" customHeight="1" x14ac:dyDescent="0.2">
      <c r="A1635" s="39" t="s">
        <v>5154</v>
      </c>
      <c r="B1635" s="39" t="s">
        <v>100</v>
      </c>
      <c r="C1635" s="39" t="s">
        <v>120</v>
      </c>
      <c r="D1635" s="39" t="s">
        <v>121</v>
      </c>
      <c r="E1635" s="39" t="s">
        <v>151</v>
      </c>
      <c r="F1635" s="54" t="s">
        <v>5155</v>
      </c>
      <c r="G1635" s="39" t="s">
        <v>125</v>
      </c>
      <c r="H1635" s="39" t="s">
        <v>162</v>
      </c>
      <c r="L1635" s="39" t="s">
        <v>5156</v>
      </c>
      <c r="M1635" s="39" t="s">
        <v>5152</v>
      </c>
      <c r="N1635" s="39" t="s">
        <v>5157</v>
      </c>
      <c r="O1635" s="39" t="s">
        <v>54</v>
      </c>
      <c r="P1635" s="39" t="s">
        <v>5118</v>
      </c>
      <c r="Q1635" s="40">
        <v>26000</v>
      </c>
      <c r="R1635" s="40">
        <v>2061.7133675190512</v>
      </c>
    </row>
    <row r="1636" spans="1:18" s="39" customFormat="1" ht="13.45" customHeight="1" x14ac:dyDescent="0.2">
      <c r="A1636" s="39" t="s">
        <v>5158</v>
      </c>
      <c r="B1636" s="39" t="s">
        <v>100</v>
      </c>
      <c r="C1636" s="39" t="s">
        <v>120</v>
      </c>
      <c r="D1636" s="39" t="s">
        <v>160</v>
      </c>
      <c r="E1636" s="39" t="s">
        <v>133</v>
      </c>
      <c r="F1636" s="54" t="s">
        <v>5159</v>
      </c>
      <c r="G1636" s="39" t="s">
        <v>153</v>
      </c>
      <c r="L1636" s="39" t="s">
        <v>5160</v>
      </c>
      <c r="M1636" s="39" t="s">
        <v>5152</v>
      </c>
      <c r="N1636" s="39" t="s">
        <v>5161</v>
      </c>
      <c r="O1636" s="39" t="s">
        <v>52</v>
      </c>
      <c r="P1636" s="39" t="s">
        <v>5118</v>
      </c>
      <c r="Q1636" s="40">
        <v>10</v>
      </c>
      <c r="R1636" s="40">
        <v>0.79296667981501956</v>
      </c>
    </row>
    <row r="1637" spans="1:18" s="39" customFormat="1" ht="13.45" customHeight="1" x14ac:dyDescent="0.2">
      <c r="A1637" s="39" t="s">
        <v>5162</v>
      </c>
      <c r="B1637" s="39" t="s">
        <v>100</v>
      </c>
      <c r="C1637" s="39" t="s">
        <v>120</v>
      </c>
      <c r="E1637" s="39" t="s">
        <v>166</v>
      </c>
      <c r="F1637" s="54" t="s">
        <v>5163</v>
      </c>
      <c r="G1637" s="39" t="s">
        <v>158</v>
      </c>
      <c r="L1637" s="39" t="s">
        <v>5164</v>
      </c>
      <c r="M1637" s="39" t="s">
        <v>5152</v>
      </c>
      <c r="N1637" s="39" t="s">
        <v>5165</v>
      </c>
      <c r="O1637" s="39" t="s">
        <v>52</v>
      </c>
      <c r="P1637" s="39" t="s">
        <v>5118</v>
      </c>
      <c r="Q1637" s="40">
        <v>600</v>
      </c>
      <c r="R1637" s="40">
        <v>47.578000788901178</v>
      </c>
    </row>
    <row r="1638" spans="1:18" s="39" customFormat="1" ht="13.45" customHeight="1" x14ac:dyDescent="0.2">
      <c r="A1638" s="39" t="s">
        <v>5166</v>
      </c>
      <c r="B1638" s="39" t="s">
        <v>100</v>
      </c>
      <c r="C1638" s="39" t="s">
        <v>120</v>
      </c>
      <c r="D1638" s="39" t="s">
        <v>160</v>
      </c>
      <c r="E1638" s="39" t="s">
        <v>151</v>
      </c>
      <c r="F1638" s="39" t="s">
        <v>5167</v>
      </c>
      <c r="G1638" s="39" t="s">
        <v>125</v>
      </c>
      <c r="H1638" s="39" t="s">
        <v>162</v>
      </c>
      <c r="L1638" s="39" t="s">
        <v>5168</v>
      </c>
      <c r="M1638" s="76" t="s">
        <v>5169</v>
      </c>
      <c r="O1638" s="39" t="s">
        <v>52</v>
      </c>
      <c r="P1638" s="39" t="s">
        <v>5118</v>
      </c>
      <c r="Q1638" s="40">
        <v>135</v>
      </c>
      <c r="R1638" s="40">
        <v>10.705050177502764</v>
      </c>
    </row>
    <row r="1639" spans="1:18" s="75" customFormat="1" ht="13.45" customHeight="1" x14ac:dyDescent="0.2">
      <c r="A1639" s="39" t="s">
        <v>5170</v>
      </c>
      <c r="B1639" s="39" t="s">
        <v>100</v>
      </c>
      <c r="C1639" s="39" t="s">
        <v>120</v>
      </c>
      <c r="D1639" s="39" t="s">
        <v>160</v>
      </c>
      <c r="E1639" s="39" t="s">
        <v>151</v>
      </c>
      <c r="F1639" s="39" t="s">
        <v>295</v>
      </c>
      <c r="G1639" s="39" t="s">
        <v>125</v>
      </c>
      <c r="H1639" s="39" t="s">
        <v>162</v>
      </c>
      <c r="I1639" s="39"/>
      <c r="J1639" s="39"/>
      <c r="K1639" s="39"/>
      <c r="L1639" s="39" t="s">
        <v>5171</v>
      </c>
      <c r="M1639" s="76" t="s">
        <v>5169</v>
      </c>
      <c r="N1639" s="39"/>
      <c r="O1639" s="39" t="s">
        <v>52</v>
      </c>
      <c r="P1639" s="39" t="s">
        <v>5118</v>
      </c>
      <c r="Q1639" s="40"/>
      <c r="R1639" s="40">
        <v>0</v>
      </c>
    </row>
    <row r="1640" spans="1:18" s="39" customFormat="1" ht="13.45" customHeight="1" x14ac:dyDescent="0.2">
      <c r="A1640" s="39" t="s">
        <v>5172</v>
      </c>
      <c r="B1640" s="39" t="s">
        <v>100</v>
      </c>
      <c r="C1640" s="39" t="s">
        <v>171</v>
      </c>
      <c r="D1640" s="39" t="s">
        <v>121</v>
      </c>
      <c r="E1640" s="39" t="s">
        <v>151</v>
      </c>
      <c r="F1640" s="39" t="s">
        <v>295</v>
      </c>
      <c r="G1640" s="39" t="s">
        <v>153</v>
      </c>
      <c r="H1640" s="39" t="s">
        <v>134</v>
      </c>
      <c r="I1640" s="39" t="s">
        <v>158</v>
      </c>
      <c r="L1640" s="39" t="s">
        <v>5173</v>
      </c>
      <c r="M1640" s="39" t="s">
        <v>5174</v>
      </c>
      <c r="O1640" s="39" t="s">
        <v>52</v>
      </c>
      <c r="P1640" s="39" t="s">
        <v>5118</v>
      </c>
      <c r="Q1640" s="40"/>
      <c r="R1640" s="40">
        <v>0</v>
      </c>
    </row>
    <row r="1641" spans="1:18" s="39" customFormat="1" ht="13.45" customHeight="1" x14ac:dyDescent="0.2">
      <c r="A1641" s="75" t="s">
        <v>5175</v>
      </c>
      <c r="B1641" s="75" t="s">
        <v>100</v>
      </c>
      <c r="C1641" s="75" t="s">
        <v>177</v>
      </c>
      <c r="D1641" s="75" t="s">
        <v>137</v>
      </c>
      <c r="E1641" s="75" t="s">
        <v>151</v>
      </c>
      <c r="F1641" s="75" t="s">
        <v>295</v>
      </c>
      <c r="G1641" s="75"/>
      <c r="H1641" s="75"/>
      <c r="I1641" s="75"/>
      <c r="J1641" s="75" t="s">
        <v>124</v>
      </c>
      <c r="K1641" s="75"/>
      <c r="L1641" s="75" t="s">
        <v>5176</v>
      </c>
      <c r="M1641" s="75" t="s">
        <v>875</v>
      </c>
      <c r="N1641" s="99" t="s">
        <v>5177</v>
      </c>
      <c r="O1641" s="75" t="s">
        <v>52</v>
      </c>
      <c r="P1641" s="75" t="s">
        <v>5118</v>
      </c>
      <c r="Q1641" s="100"/>
      <c r="R1641" s="40">
        <v>0</v>
      </c>
    </row>
    <row r="1642" spans="1:18" s="39" customFormat="1" ht="13.45" customHeight="1" x14ac:dyDescent="0.2">
      <c r="A1642" s="39" t="s">
        <v>5178</v>
      </c>
      <c r="B1642" s="39" t="s">
        <v>100</v>
      </c>
      <c r="C1642" s="39" t="s">
        <v>120</v>
      </c>
      <c r="D1642" s="39" t="s">
        <v>121</v>
      </c>
      <c r="E1642" s="39" t="s">
        <v>172</v>
      </c>
      <c r="F1642" s="39" t="s">
        <v>5179</v>
      </c>
      <c r="G1642" s="39" t="s">
        <v>158</v>
      </c>
      <c r="J1642" s="39" t="s">
        <v>124</v>
      </c>
      <c r="L1642" s="39" t="s">
        <v>5180</v>
      </c>
      <c r="M1642" s="39" t="s">
        <v>5152</v>
      </c>
      <c r="N1642" s="76" t="s">
        <v>1552</v>
      </c>
      <c r="O1642" s="39" t="s">
        <v>3068</v>
      </c>
      <c r="P1642" s="39" t="s">
        <v>601</v>
      </c>
      <c r="Q1642" s="40">
        <v>220</v>
      </c>
      <c r="R1642" s="40">
        <v>220</v>
      </c>
    </row>
    <row r="1643" spans="1:18" s="39" customFormat="1" ht="13.45" customHeight="1" x14ac:dyDescent="0.2">
      <c r="A1643" s="39" t="s">
        <v>5181</v>
      </c>
      <c r="B1643" s="39" t="s">
        <v>100</v>
      </c>
      <c r="C1643" s="39" t="s">
        <v>120</v>
      </c>
      <c r="D1643" s="39" t="s">
        <v>121</v>
      </c>
      <c r="E1643" s="39" t="s">
        <v>172</v>
      </c>
      <c r="F1643" s="39" t="s">
        <v>5182</v>
      </c>
      <c r="G1643" s="39" t="s">
        <v>158</v>
      </c>
      <c r="J1643" s="39" t="s">
        <v>124</v>
      </c>
      <c r="L1643" s="39" t="s">
        <v>5183</v>
      </c>
      <c r="M1643" s="39" t="s">
        <v>5152</v>
      </c>
      <c r="O1643" s="39" t="s">
        <v>3068</v>
      </c>
      <c r="P1643" s="39" t="s">
        <v>601</v>
      </c>
      <c r="Q1643" s="40">
        <v>10</v>
      </c>
      <c r="R1643" s="40">
        <v>10</v>
      </c>
    </row>
    <row r="1644" spans="1:18" s="39" customFormat="1" ht="13.45" customHeight="1" x14ac:dyDescent="0.2">
      <c r="A1644" s="39" t="s">
        <v>5184</v>
      </c>
      <c r="B1644" s="39" t="s">
        <v>100</v>
      </c>
      <c r="C1644" s="39" t="s">
        <v>120</v>
      </c>
      <c r="D1644" s="39" t="s">
        <v>121</v>
      </c>
      <c r="E1644" s="39" t="s">
        <v>172</v>
      </c>
      <c r="F1644" s="39" t="s">
        <v>5185</v>
      </c>
      <c r="G1644" s="39" t="s">
        <v>158</v>
      </c>
      <c r="J1644" s="39" t="s">
        <v>124</v>
      </c>
      <c r="L1644" s="39" t="s">
        <v>5186</v>
      </c>
      <c r="M1644" s="39" t="s">
        <v>5152</v>
      </c>
      <c r="O1644" s="39" t="s">
        <v>3068</v>
      </c>
      <c r="P1644" s="39" t="s">
        <v>601</v>
      </c>
      <c r="Q1644" s="40">
        <v>90</v>
      </c>
      <c r="R1644" s="40">
        <v>90</v>
      </c>
    </row>
    <row r="1645" spans="1:18" s="39" customFormat="1" ht="13.45" customHeight="1" x14ac:dyDescent="0.2">
      <c r="A1645" s="39" t="s">
        <v>5187</v>
      </c>
      <c r="B1645" s="39" t="s">
        <v>100</v>
      </c>
      <c r="C1645" s="39" t="s">
        <v>120</v>
      </c>
      <c r="D1645" s="39" t="s">
        <v>121</v>
      </c>
      <c r="E1645" s="39" t="s">
        <v>172</v>
      </c>
      <c r="F1645" s="39" t="s">
        <v>5185</v>
      </c>
      <c r="G1645" s="39" t="s">
        <v>158</v>
      </c>
      <c r="J1645" s="39" t="s">
        <v>124</v>
      </c>
      <c r="L1645" s="39" t="s">
        <v>5188</v>
      </c>
      <c r="M1645" s="39" t="s">
        <v>5152</v>
      </c>
      <c r="O1645" s="39" t="s">
        <v>53</v>
      </c>
      <c r="P1645" s="39" t="s">
        <v>601</v>
      </c>
      <c r="Q1645" s="40">
        <v>90</v>
      </c>
      <c r="R1645" s="40">
        <v>90</v>
      </c>
    </row>
    <row r="1646" spans="1:18" s="39" customFormat="1" ht="13.45" customHeight="1" x14ac:dyDescent="0.2">
      <c r="A1646" s="39" t="s">
        <v>5189</v>
      </c>
      <c r="B1646" s="39" t="s">
        <v>100</v>
      </c>
      <c r="C1646" s="39" t="s">
        <v>120</v>
      </c>
      <c r="D1646" s="39" t="s">
        <v>160</v>
      </c>
      <c r="E1646" s="39" t="s">
        <v>133</v>
      </c>
      <c r="F1646" s="39" t="s">
        <v>5190</v>
      </c>
      <c r="G1646" s="39" t="s">
        <v>153</v>
      </c>
      <c r="J1646" s="39" t="s">
        <v>124</v>
      </c>
      <c r="L1646" s="39" t="s">
        <v>5191</v>
      </c>
      <c r="M1646" s="39" t="s">
        <v>5152</v>
      </c>
      <c r="O1646" s="39" t="s">
        <v>52</v>
      </c>
      <c r="P1646" s="39" t="s">
        <v>601</v>
      </c>
      <c r="Q1646" s="40">
        <v>490</v>
      </c>
      <c r="R1646" s="40">
        <v>490</v>
      </c>
    </row>
    <row r="1647" spans="1:18" s="39" customFormat="1" ht="13.45" customHeight="1" x14ac:dyDescent="0.2">
      <c r="A1647" s="39" t="s">
        <v>5192</v>
      </c>
      <c r="B1647" s="39" t="s">
        <v>100</v>
      </c>
      <c r="C1647" s="39" t="s">
        <v>120</v>
      </c>
      <c r="D1647" s="39" t="s">
        <v>160</v>
      </c>
      <c r="E1647" s="39" t="s">
        <v>251</v>
      </c>
      <c r="F1647" s="39" t="s">
        <v>5190</v>
      </c>
      <c r="G1647" s="39" t="s">
        <v>158</v>
      </c>
      <c r="J1647" s="39" t="s">
        <v>124</v>
      </c>
      <c r="L1647" s="39" t="s">
        <v>5193</v>
      </c>
      <c r="M1647" s="39" t="s">
        <v>5152</v>
      </c>
      <c r="O1647" s="39" t="s">
        <v>52</v>
      </c>
      <c r="P1647" s="39" t="s">
        <v>601</v>
      </c>
      <c r="Q1647" s="40">
        <v>490</v>
      </c>
      <c r="R1647" s="40">
        <v>490</v>
      </c>
    </row>
    <row r="1648" spans="1:18" s="39" customFormat="1" ht="13.45" customHeight="1" x14ac:dyDescent="0.2">
      <c r="A1648" s="39" t="s">
        <v>5194</v>
      </c>
      <c r="B1648" s="39" t="s">
        <v>100</v>
      </c>
      <c r="C1648" s="39" t="s">
        <v>171</v>
      </c>
      <c r="D1648" s="39" t="s">
        <v>121</v>
      </c>
      <c r="E1648" s="39" t="s">
        <v>151</v>
      </c>
      <c r="F1648" s="39" t="s">
        <v>109</v>
      </c>
      <c r="G1648" s="39" t="s">
        <v>125</v>
      </c>
      <c r="H1648" s="39" t="s">
        <v>3322</v>
      </c>
      <c r="J1648" s="39" t="s">
        <v>5556</v>
      </c>
      <c r="L1648" s="39" t="s">
        <v>5195</v>
      </c>
      <c r="M1648" s="39" t="s">
        <v>5196</v>
      </c>
      <c r="O1648" s="39" t="s">
        <v>3068</v>
      </c>
      <c r="Q1648" s="40"/>
      <c r="R1648" s="40" t="s">
        <v>1604</v>
      </c>
    </row>
    <row r="1649" spans="1:18" s="39" customFormat="1" ht="13.25" customHeight="1" x14ac:dyDescent="0.2">
      <c r="A1649" s="75" t="s">
        <v>5197</v>
      </c>
      <c r="B1649" s="75" t="s">
        <v>96</v>
      </c>
      <c r="C1649" s="75" t="s">
        <v>171</v>
      </c>
      <c r="D1649" s="75" t="s">
        <v>137</v>
      </c>
      <c r="E1649" s="75" t="s">
        <v>133</v>
      </c>
      <c r="F1649" s="100"/>
      <c r="G1649" s="75" t="s">
        <v>134</v>
      </c>
      <c r="H1649" s="75"/>
      <c r="I1649" s="75"/>
      <c r="J1649" s="75"/>
      <c r="K1649" s="75"/>
      <c r="L1649" s="75" t="s">
        <v>5198</v>
      </c>
      <c r="M1649" s="75"/>
      <c r="N1649" s="75"/>
      <c r="O1649" s="75" t="s">
        <v>52</v>
      </c>
      <c r="P1649" s="75"/>
      <c r="Q1649" s="75"/>
      <c r="R1649" s="40" t="s">
        <v>1604</v>
      </c>
    </row>
    <row r="1650" spans="1:18" s="39" customFormat="1" ht="13.45" customHeight="1" x14ac:dyDescent="0.2">
      <c r="A1650" s="39" t="s">
        <v>5199</v>
      </c>
      <c r="B1650" s="39" t="s">
        <v>96</v>
      </c>
      <c r="C1650" s="39" t="s">
        <v>171</v>
      </c>
      <c r="D1650" s="39" t="s">
        <v>137</v>
      </c>
      <c r="E1650" s="39" t="s">
        <v>133</v>
      </c>
      <c r="F1650" s="40"/>
      <c r="G1650" s="39" t="s">
        <v>134</v>
      </c>
      <c r="L1650" s="39" t="s">
        <v>5200</v>
      </c>
      <c r="M1650" s="39" t="s">
        <v>5201</v>
      </c>
      <c r="O1650" s="39" t="s">
        <v>52</v>
      </c>
      <c r="R1650" s="40" t="s">
        <v>1604</v>
      </c>
    </row>
    <row r="1651" spans="1:18" s="39" customFormat="1" ht="13.45" customHeight="1" x14ac:dyDescent="0.2">
      <c r="A1651" s="39" t="s">
        <v>5202</v>
      </c>
      <c r="B1651" s="39" t="s">
        <v>96</v>
      </c>
      <c r="C1651" s="39" t="s">
        <v>171</v>
      </c>
      <c r="D1651" s="39" t="s">
        <v>137</v>
      </c>
      <c r="E1651" s="39" t="s">
        <v>133</v>
      </c>
      <c r="F1651" s="40"/>
      <c r="G1651" s="39" t="s">
        <v>134</v>
      </c>
      <c r="L1651" s="39" t="s">
        <v>5203</v>
      </c>
      <c r="O1651" s="39" t="s">
        <v>55</v>
      </c>
      <c r="R1651" s="40" t="s">
        <v>1604</v>
      </c>
    </row>
    <row r="1652" spans="1:18" s="39" customFormat="1" ht="13.45" customHeight="1" x14ac:dyDescent="0.2">
      <c r="A1652" s="39" t="s">
        <v>5204</v>
      </c>
      <c r="B1652" s="39" t="s">
        <v>96</v>
      </c>
      <c r="C1652" s="39" t="s">
        <v>120</v>
      </c>
      <c r="D1652" s="39" t="s">
        <v>121</v>
      </c>
      <c r="E1652" s="39" t="s">
        <v>166</v>
      </c>
      <c r="F1652" s="40">
        <v>7730637814</v>
      </c>
      <c r="G1652" s="39" t="s">
        <v>125</v>
      </c>
      <c r="H1652" s="39" t="s">
        <v>1440</v>
      </c>
      <c r="L1652" s="39" t="s">
        <v>5205</v>
      </c>
      <c r="M1652" s="39" t="s">
        <v>5206</v>
      </c>
      <c r="O1652" s="39" t="s">
        <v>53</v>
      </c>
      <c r="P1652" s="39" t="s">
        <v>601</v>
      </c>
      <c r="Q1652" s="40">
        <v>7730.6378139999997</v>
      </c>
      <c r="R1652" s="40">
        <v>7730.6378139999997</v>
      </c>
    </row>
    <row r="1653" spans="1:18" s="39" customFormat="1" ht="13.45" customHeight="1" x14ac:dyDescent="0.2">
      <c r="A1653" s="39" t="s">
        <v>5207</v>
      </c>
      <c r="B1653" s="39" t="s">
        <v>96</v>
      </c>
      <c r="C1653" s="39" t="s">
        <v>177</v>
      </c>
      <c r="D1653" s="39" t="s">
        <v>137</v>
      </c>
      <c r="E1653" s="39" t="s">
        <v>133</v>
      </c>
      <c r="F1653" s="40">
        <v>1423690206</v>
      </c>
      <c r="G1653" s="39" t="s">
        <v>125</v>
      </c>
      <c r="H1653" s="39" t="s">
        <v>162</v>
      </c>
      <c r="I1653" s="39" t="s">
        <v>134</v>
      </c>
      <c r="L1653" s="39" t="s">
        <v>5208</v>
      </c>
      <c r="M1653" s="39" t="s">
        <v>5209</v>
      </c>
      <c r="O1653" s="39" t="s">
        <v>52</v>
      </c>
      <c r="P1653" s="39" t="s">
        <v>601</v>
      </c>
      <c r="Q1653" s="40">
        <v>1423.690206</v>
      </c>
      <c r="R1653" s="40">
        <v>1423.690206</v>
      </c>
    </row>
    <row r="1654" spans="1:18" s="39" customFormat="1" ht="13.45" customHeight="1" x14ac:dyDescent="0.2">
      <c r="A1654" s="39" t="s">
        <v>5210</v>
      </c>
      <c r="B1654" s="39" t="s">
        <v>96</v>
      </c>
      <c r="C1654" s="39" t="s">
        <v>120</v>
      </c>
      <c r="D1654" s="39" t="s">
        <v>121</v>
      </c>
      <c r="E1654" s="39" t="s">
        <v>151</v>
      </c>
      <c r="F1654" s="40">
        <v>8542141231</v>
      </c>
      <c r="G1654" s="39" t="s">
        <v>125</v>
      </c>
      <c r="L1654" s="39" t="s">
        <v>5211</v>
      </c>
      <c r="M1654" s="39" t="s">
        <v>5212</v>
      </c>
      <c r="O1654" s="39" t="s">
        <v>52</v>
      </c>
      <c r="P1654" s="39" t="s">
        <v>601</v>
      </c>
      <c r="Q1654" s="40">
        <v>8542.1412309999996</v>
      </c>
      <c r="R1654" s="40">
        <v>8542.1412309999996</v>
      </c>
    </row>
    <row r="1655" spans="1:18" s="39" customFormat="1" ht="13.45" customHeight="1" x14ac:dyDescent="0.2">
      <c r="A1655" s="39" t="s">
        <v>5213</v>
      </c>
      <c r="B1655" s="39" t="s">
        <v>96</v>
      </c>
      <c r="C1655" s="39" t="s">
        <v>177</v>
      </c>
      <c r="D1655" s="39" t="s">
        <v>121</v>
      </c>
      <c r="E1655" s="39" t="s">
        <v>151</v>
      </c>
      <c r="F1655" s="40">
        <v>0</v>
      </c>
      <c r="G1655" s="39" t="s">
        <v>125</v>
      </c>
      <c r="H1655" s="39" t="s">
        <v>162</v>
      </c>
      <c r="L1655" s="39" t="s">
        <v>5214</v>
      </c>
      <c r="O1655" s="39" t="s">
        <v>54</v>
      </c>
      <c r="Q1655" s="40">
        <v>0</v>
      </c>
      <c r="R1655" s="40" t="s">
        <v>1604</v>
      </c>
    </row>
    <row r="1656" spans="1:18" s="39" customFormat="1" ht="13.45" customHeight="1" x14ac:dyDescent="0.2">
      <c r="A1656" s="39" t="s">
        <v>5215</v>
      </c>
      <c r="B1656" s="39" t="s">
        <v>96</v>
      </c>
      <c r="C1656" s="39" t="s">
        <v>132</v>
      </c>
      <c r="D1656" s="39" t="s">
        <v>121</v>
      </c>
      <c r="E1656" s="39" t="s">
        <v>251</v>
      </c>
      <c r="F1656" s="40">
        <v>0</v>
      </c>
      <c r="G1656" s="39" t="s">
        <v>125</v>
      </c>
      <c r="L1656" s="39" t="s">
        <v>5216</v>
      </c>
      <c r="O1656" s="39" t="s">
        <v>54</v>
      </c>
      <c r="Q1656" s="40">
        <v>0</v>
      </c>
      <c r="R1656" s="40" t="s">
        <v>1604</v>
      </c>
    </row>
    <row r="1657" spans="1:18" s="39" customFormat="1" ht="13.45" customHeight="1" x14ac:dyDescent="0.2">
      <c r="A1657" s="39" t="s">
        <v>5217</v>
      </c>
      <c r="B1657" s="39" t="s">
        <v>96</v>
      </c>
      <c r="C1657" s="39" t="s">
        <v>177</v>
      </c>
      <c r="D1657" s="39" t="s">
        <v>121</v>
      </c>
      <c r="E1657" s="39" t="s">
        <v>151</v>
      </c>
      <c r="F1657" s="40">
        <v>0</v>
      </c>
      <c r="G1657" s="39" t="s">
        <v>125</v>
      </c>
      <c r="L1657" s="39" t="s">
        <v>5218</v>
      </c>
      <c r="M1657" s="39" t="s">
        <v>5219</v>
      </c>
      <c r="O1657" s="39" t="s">
        <v>52</v>
      </c>
      <c r="Q1657" s="40">
        <v>0</v>
      </c>
      <c r="R1657" s="40" t="s">
        <v>1604</v>
      </c>
    </row>
    <row r="1658" spans="1:18" s="39" customFormat="1" ht="13.45" customHeight="1" x14ac:dyDescent="0.2">
      <c r="A1658" s="39" t="s">
        <v>5220</v>
      </c>
      <c r="B1658" s="39" t="s">
        <v>96</v>
      </c>
      <c r="C1658" s="39" t="s">
        <v>132</v>
      </c>
      <c r="D1658" s="39" t="s">
        <v>121</v>
      </c>
      <c r="E1658" s="39" t="s">
        <v>251</v>
      </c>
      <c r="F1658" s="40">
        <v>0</v>
      </c>
      <c r="G1658" s="39" t="s">
        <v>125</v>
      </c>
      <c r="L1658" s="39" t="s">
        <v>5221</v>
      </c>
      <c r="M1658" s="39" t="s">
        <v>5222</v>
      </c>
      <c r="O1658" s="39" t="s">
        <v>54</v>
      </c>
      <c r="Q1658" s="40">
        <v>0</v>
      </c>
      <c r="R1658" s="40" t="s">
        <v>1604</v>
      </c>
    </row>
    <row r="1659" spans="1:18" s="39" customFormat="1" ht="12.4" customHeight="1" x14ac:dyDescent="0.2">
      <c r="A1659" s="39" t="s">
        <v>5223</v>
      </c>
      <c r="B1659" s="39" t="s">
        <v>96</v>
      </c>
      <c r="C1659" s="39" t="s">
        <v>177</v>
      </c>
      <c r="D1659" s="39" t="s">
        <v>121</v>
      </c>
      <c r="E1659" s="39" t="s">
        <v>151</v>
      </c>
      <c r="F1659" s="40">
        <v>465119590</v>
      </c>
      <c r="G1659" s="39" t="s">
        <v>125</v>
      </c>
      <c r="L1659" s="39" t="s">
        <v>5224</v>
      </c>
      <c r="O1659" s="39" t="s">
        <v>54</v>
      </c>
      <c r="P1659" s="39" t="s">
        <v>601</v>
      </c>
      <c r="Q1659" s="40">
        <v>465.11959000000002</v>
      </c>
      <c r="R1659" s="40">
        <v>465.11959000000002</v>
      </c>
    </row>
    <row r="1660" spans="1:18" s="39" customFormat="1" ht="13.45" customHeight="1" x14ac:dyDescent="0.2">
      <c r="A1660" s="39" t="s">
        <v>5225</v>
      </c>
      <c r="B1660" s="39" t="s">
        <v>96</v>
      </c>
      <c r="C1660" s="39" t="s">
        <v>171</v>
      </c>
      <c r="D1660" s="39" t="s">
        <v>121</v>
      </c>
      <c r="E1660" s="39" t="s">
        <v>151</v>
      </c>
      <c r="F1660" s="40">
        <v>0</v>
      </c>
      <c r="G1660" s="39" t="s">
        <v>125</v>
      </c>
      <c r="L1660" s="39" t="s">
        <v>5226</v>
      </c>
      <c r="M1660" s="39" t="s">
        <v>5227</v>
      </c>
      <c r="O1660" s="39" t="s">
        <v>54</v>
      </c>
      <c r="Q1660" s="40">
        <v>0</v>
      </c>
      <c r="R1660" s="40" t="s">
        <v>1604</v>
      </c>
    </row>
    <row r="1661" spans="1:18" s="39" customFormat="1" ht="13.45" customHeight="1" x14ac:dyDescent="0.2">
      <c r="A1661" s="39" t="s">
        <v>5228</v>
      </c>
      <c r="B1661" s="39" t="s">
        <v>96</v>
      </c>
      <c r="C1661" s="39" t="s">
        <v>171</v>
      </c>
      <c r="D1661" s="39" t="s">
        <v>121</v>
      </c>
      <c r="E1661" s="39" t="s">
        <v>147</v>
      </c>
      <c r="F1661" s="40">
        <v>0</v>
      </c>
      <c r="G1661" s="39" t="s">
        <v>125</v>
      </c>
      <c r="L1661" s="39" t="s">
        <v>5229</v>
      </c>
      <c r="M1661" s="39" t="s">
        <v>5230</v>
      </c>
      <c r="O1661" s="39" t="s">
        <v>54</v>
      </c>
      <c r="Q1661" s="40">
        <v>0</v>
      </c>
      <c r="R1661" s="40" t="s">
        <v>1604</v>
      </c>
    </row>
    <row r="1662" spans="1:18" s="39" customFormat="1" ht="13.45" customHeight="1" x14ac:dyDescent="0.2">
      <c r="A1662" s="39" t="s">
        <v>5231</v>
      </c>
      <c r="B1662" s="39" t="s">
        <v>96</v>
      </c>
      <c r="C1662" s="39" t="s">
        <v>120</v>
      </c>
      <c r="D1662" s="39" t="s">
        <v>121</v>
      </c>
      <c r="E1662" s="39" t="s">
        <v>251</v>
      </c>
      <c r="F1662" s="40">
        <v>14236902051</v>
      </c>
      <c r="G1662" s="39" t="s">
        <v>125</v>
      </c>
      <c r="H1662" s="39" t="s">
        <v>153</v>
      </c>
      <c r="L1662" s="39" t="s">
        <v>5232</v>
      </c>
      <c r="M1662" s="39" t="s">
        <v>5233</v>
      </c>
      <c r="O1662" s="39" t="s">
        <v>52</v>
      </c>
      <c r="P1662" s="39" t="s">
        <v>601</v>
      </c>
      <c r="Q1662" s="40">
        <v>14236.902050999999</v>
      </c>
      <c r="R1662" s="40">
        <v>14236.902050999999</v>
      </c>
    </row>
    <row r="1663" spans="1:18" s="39" customFormat="1" ht="13.45" customHeight="1" x14ac:dyDescent="0.2">
      <c r="A1663" s="39" t="s">
        <v>5234</v>
      </c>
      <c r="B1663" s="39" t="s">
        <v>96</v>
      </c>
      <c r="C1663" s="39" t="s">
        <v>132</v>
      </c>
      <c r="D1663" s="39" t="s">
        <v>121</v>
      </c>
      <c r="E1663" s="39" t="s">
        <v>251</v>
      </c>
      <c r="F1663" s="40">
        <v>0</v>
      </c>
      <c r="G1663" s="39" t="s">
        <v>125</v>
      </c>
      <c r="H1663" s="39" t="s">
        <v>162</v>
      </c>
      <c r="L1663" s="39" t="s">
        <v>5235</v>
      </c>
      <c r="M1663" s="39" t="s">
        <v>5236</v>
      </c>
      <c r="O1663" s="39" t="s">
        <v>52</v>
      </c>
      <c r="Q1663" s="40">
        <v>0</v>
      </c>
      <c r="R1663" s="40" t="s">
        <v>1604</v>
      </c>
    </row>
    <row r="1664" spans="1:18" s="39" customFormat="1" ht="13.45" customHeight="1" x14ac:dyDescent="0.2">
      <c r="A1664" s="39" t="s">
        <v>5237</v>
      </c>
      <c r="B1664" s="39" t="s">
        <v>96</v>
      </c>
      <c r="C1664" s="39" t="s">
        <v>132</v>
      </c>
      <c r="D1664" s="39" t="s">
        <v>121</v>
      </c>
      <c r="E1664" s="39" t="s">
        <v>251</v>
      </c>
      <c r="F1664" s="40">
        <v>1608769932</v>
      </c>
      <c r="G1664" s="39" t="s">
        <v>125</v>
      </c>
      <c r="H1664" s="39" t="s">
        <v>162</v>
      </c>
      <c r="L1664" s="39" t="s">
        <v>5238</v>
      </c>
      <c r="M1664" s="39" t="s">
        <v>5239</v>
      </c>
      <c r="O1664" s="39" t="s">
        <v>52</v>
      </c>
      <c r="P1664" s="39" t="s">
        <v>601</v>
      </c>
      <c r="Q1664" s="40">
        <v>1608.7699319999999</v>
      </c>
      <c r="R1664" s="40">
        <v>1608.7699319999999</v>
      </c>
    </row>
    <row r="1665" spans="1:18" s="39" customFormat="1" ht="13.45" customHeight="1" x14ac:dyDescent="0.2">
      <c r="A1665" s="39" t="s">
        <v>5240</v>
      </c>
      <c r="B1665" s="39" t="s">
        <v>96</v>
      </c>
      <c r="C1665" s="39" t="s">
        <v>132</v>
      </c>
      <c r="D1665" s="39" t="s">
        <v>121</v>
      </c>
      <c r="E1665" s="39" t="s">
        <v>251</v>
      </c>
      <c r="F1665" s="40">
        <v>1423690206</v>
      </c>
      <c r="G1665" s="39" t="s">
        <v>125</v>
      </c>
      <c r="H1665" s="39" t="s">
        <v>162</v>
      </c>
      <c r="L1665" s="39" t="s">
        <v>5241</v>
      </c>
      <c r="M1665" s="39" t="s">
        <v>5242</v>
      </c>
      <c r="O1665" s="39" t="s">
        <v>52</v>
      </c>
      <c r="P1665" s="39" t="s">
        <v>601</v>
      </c>
      <c r="Q1665" s="40">
        <v>1423.690206</v>
      </c>
      <c r="R1665" s="40">
        <v>1423.690206</v>
      </c>
    </row>
    <row r="1666" spans="1:18" s="39" customFormat="1" ht="13.45" customHeight="1" x14ac:dyDescent="0.2">
      <c r="A1666" s="39" t="s">
        <v>5243</v>
      </c>
      <c r="B1666" s="39" t="s">
        <v>96</v>
      </c>
      <c r="C1666" s="39" t="s">
        <v>171</v>
      </c>
      <c r="D1666" s="39" t="s">
        <v>121</v>
      </c>
      <c r="E1666" s="39" t="s">
        <v>133</v>
      </c>
      <c r="F1666" s="40"/>
      <c r="G1666" s="39" t="s">
        <v>208</v>
      </c>
      <c r="L1666" s="39" t="s">
        <v>5244</v>
      </c>
      <c r="M1666" s="39" t="s">
        <v>5245</v>
      </c>
      <c r="O1666" s="39" t="s">
        <v>52</v>
      </c>
      <c r="Q1666" s="40">
        <v>0</v>
      </c>
      <c r="R1666" s="40" t="s">
        <v>1604</v>
      </c>
    </row>
    <row r="1667" spans="1:18" s="39" customFormat="1" ht="13.45" customHeight="1" x14ac:dyDescent="0.2">
      <c r="A1667" s="39" t="s">
        <v>5246</v>
      </c>
      <c r="B1667" s="39" t="s">
        <v>96</v>
      </c>
      <c r="C1667" s="39" t="s">
        <v>280</v>
      </c>
      <c r="D1667" s="39" t="s">
        <v>121</v>
      </c>
      <c r="E1667" s="39" t="s">
        <v>251</v>
      </c>
      <c r="F1667" s="40"/>
      <c r="G1667" s="39" t="s">
        <v>125</v>
      </c>
      <c r="H1667" s="39" t="s">
        <v>162</v>
      </c>
      <c r="L1667" s="39" t="s">
        <v>5247</v>
      </c>
      <c r="O1667" s="39" t="s">
        <v>52</v>
      </c>
      <c r="Q1667" s="40">
        <v>0</v>
      </c>
      <c r="R1667" s="40" t="s">
        <v>1604</v>
      </c>
    </row>
    <row r="1668" spans="1:18" s="39" customFormat="1" ht="13.45" customHeight="1" x14ac:dyDescent="0.2">
      <c r="A1668" s="39" t="s">
        <v>5248</v>
      </c>
      <c r="B1668" s="39" t="s">
        <v>96</v>
      </c>
      <c r="C1668" s="39" t="s">
        <v>132</v>
      </c>
      <c r="D1668" s="39" t="s">
        <v>121</v>
      </c>
      <c r="E1668" s="39" t="s">
        <v>172</v>
      </c>
      <c r="F1668" s="40"/>
      <c r="G1668" s="39" t="s">
        <v>134</v>
      </c>
      <c r="L1668" s="39" t="s">
        <v>5249</v>
      </c>
      <c r="M1668" s="39" t="s">
        <v>5250</v>
      </c>
      <c r="O1668" s="39" t="s">
        <v>55</v>
      </c>
      <c r="Q1668" s="40">
        <v>0</v>
      </c>
      <c r="R1668" s="40" t="s">
        <v>1604</v>
      </c>
    </row>
    <row r="1669" spans="1:18" s="39" customFormat="1" ht="13.45" customHeight="1" x14ac:dyDescent="0.2">
      <c r="A1669" s="39" t="s">
        <v>5251</v>
      </c>
      <c r="B1669" s="39" t="s">
        <v>96</v>
      </c>
      <c r="C1669" s="39" t="s">
        <v>171</v>
      </c>
      <c r="D1669" s="39" t="s">
        <v>160</v>
      </c>
      <c r="E1669" s="39" t="s">
        <v>133</v>
      </c>
      <c r="F1669" s="40"/>
      <c r="G1669" s="39" t="s">
        <v>125</v>
      </c>
      <c r="L1669" s="39" t="s">
        <v>5252</v>
      </c>
      <c r="M1669" s="76" t="s">
        <v>5253</v>
      </c>
      <c r="O1669" s="39" t="s">
        <v>55</v>
      </c>
      <c r="Q1669" s="40">
        <v>0</v>
      </c>
      <c r="R1669" s="40" t="s">
        <v>1604</v>
      </c>
    </row>
    <row r="1670" spans="1:18" s="39" customFormat="1" ht="13.45" customHeight="1" x14ac:dyDescent="0.2">
      <c r="A1670" s="39" t="s">
        <v>5254</v>
      </c>
      <c r="B1670" s="39" t="s">
        <v>96</v>
      </c>
      <c r="C1670" s="39" t="s">
        <v>171</v>
      </c>
      <c r="D1670" s="39" t="s">
        <v>121</v>
      </c>
      <c r="E1670" s="39" t="s">
        <v>172</v>
      </c>
      <c r="F1670" s="40"/>
      <c r="G1670" s="39" t="s">
        <v>158</v>
      </c>
      <c r="L1670" s="39" t="s">
        <v>5255</v>
      </c>
      <c r="M1670" s="39" t="s">
        <v>5256</v>
      </c>
      <c r="O1670" s="39" t="s">
        <v>54</v>
      </c>
      <c r="Q1670" s="40">
        <v>0</v>
      </c>
      <c r="R1670" s="40" t="s">
        <v>1604</v>
      </c>
    </row>
    <row r="1671" spans="1:18" s="39" customFormat="1" ht="13.45" customHeight="1" x14ac:dyDescent="0.2">
      <c r="A1671" s="39" t="s">
        <v>5257</v>
      </c>
      <c r="B1671" s="39" t="s">
        <v>96</v>
      </c>
      <c r="C1671" s="39" t="s">
        <v>171</v>
      </c>
      <c r="D1671" s="39" t="s">
        <v>121</v>
      </c>
      <c r="E1671" s="39" t="s">
        <v>166</v>
      </c>
      <c r="F1671" s="40"/>
      <c r="G1671" s="39" t="s">
        <v>125</v>
      </c>
      <c r="L1671" s="39" t="s">
        <v>5258</v>
      </c>
      <c r="M1671" s="39" t="s">
        <v>5259</v>
      </c>
      <c r="O1671" s="39" t="s">
        <v>52</v>
      </c>
      <c r="Q1671" s="40">
        <v>0</v>
      </c>
      <c r="R1671" s="40" t="s">
        <v>1604</v>
      </c>
    </row>
    <row r="1672" spans="1:18" s="39" customFormat="1" ht="13.45" customHeight="1" x14ac:dyDescent="0.2">
      <c r="A1672" s="39" t="s">
        <v>5260</v>
      </c>
      <c r="B1672" s="39" t="s">
        <v>96</v>
      </c>
      <c r="C1672" s="39" t="s">
        <v>171</v>
      </c>
      <c r="D1672" s="39" t="s">
        <v>137</v>
      </c>
      <c r="E1672" s="39" t="s">
        <v>133</v>
      </c>
      <c r="F1672" s="40"/>
      <c r="G1672" s="39" t="s">
        <v>134</v>
      </c>
      <c r="L1672" s="39" t="s">
        <v>5261</v>
      </c>
      <c r="M1672" s="39" t="s">
        <v>5262</v>
      </c>
      <c r="O1672" s="39" t="s">
        <v>55</v>
      </c>
      <c r="Q1672" s="40">
        <v>0</v>
      </c>
      <c r="R1672" s="40" t="s">
        <v>1604</v>
      </c>
    </row>
    <row r="1673" spans="1:18" s="39" customFormat="1" ht="13.45" customHeight="1" x14ac:dyDescent="0.2">
      <c r="A1673" s="39" t="s">
        <v>5263</v>
      </c>
      <c r="B1673" s="39" t="s">
        <v>96</v>
      </c>
      <c r="C1673" s="39" t="s">
        <v>171</v>
      </c>
      <c r="D1673" s="39" t="s">
        <v>137</v>
      </c>
      <c r="E1673" s="39" t="s">
        <v>133</v>
      </c>
      <c r="F1673" s="40"/>
      <c r="G1673" s="39" t="s">
        <v>125</v>
      </c>
      <c r="H1673" s="39" t="s">
        <v>153</v>
      </c>
      <c r="I1673" s="39" t="s">
        <v>162</v>
      </c>
      <c r="L1673" s="39" t="s">
        <v>5264</v>
      </c>
      <c r="M1673" s="39" t="s">
        <v>5265</v>
      </c>
      <c r="O1673" s="39" t="s">
        <v>55</v>
      </c>
      <c r="Q1673" s="40">
        <v>0</v>
      </c>
      <c r="R1673" s="40" t="s">
        <v>1604</v>
      </c>
    </row>
    <row r="1674" spans="1:18" s="39" customFormat="1" ht="13.45" customHeight="1" x14ac:dyDescent="0.2">
      <c r="A1674" s="39" t="s">
        <v>5266</v>
      </c>
      <c r="B1674" s="39" t="s">
        <v>96</v>
      </c>
      <c r="C1674" s="39" t="s">
        <v>171</v>
      </c>
      <c r="D1674" s="39" t="s">
        <v>137</v>
      </c>
      <c r="E1674" s="39" t="s">
        <v>133</v>
      </c>
      <c r="F1674" s="40"/>
      <c r="G1674" s="39" t="s">
        <v>208</v>
      </c>
      <c r="H1674" s="39" t="s">
        <v>153</v>
      </c>
      <c r="L1674" s="39" t="s">
        <v>5267</v>
      </c>
      <c r="M1674" s="39" t="s">
        <v>5268</v>
      </c>
      <c r="O1674" s="39" t="s">
        <v>52</v>
      </c>
      <c r="Q1674" s="40">
        <v>0</v>
      </c>
      <c r="R1674" s="40" t="s">
        <v>1604</v>
      </c>
    </row>
    <row r="1675" spans="1:18" s="39" customFormat="1" ht="13.45" customHeight="1" x14ac:dyDescent="0.2">
      <c r="A1675" s="39" t="s">
        <v>5269</v>
      </c>
      <c r="B1675" s="39" t="s">
        <v>96</v>
      </c>
      <c r="C1675" s="39" t="s">
        <v>132</v>
      </c>
      <c r="D1675" s="39" t="s">
        <v>137</v>
      </c>
      <c r="E1675" s="39" t="s">
        <v>133</v>
      </c>
      <c r="F1675" s="40">
        <v>18280000</v>
      </c>
      <c r="G1675" s="39" t="s">
        <v>208</v>
      </c>
      <c r="H1675" s="39" t="s">
        <v>153</v>
      </c>
      <c r="L1675" s="39" t="s">
        <v>5270</v>
      </c>
      <c r="M1675" s="39" t="s">
        <v>5271</v>
      </c>
      <c r="O1675" s="39" t="s">
        <v>52</v>
      </c>
      <c r="P1675" s="39" t="s">
        <v>601</v>
      </c>
      <c r="Q1675" s="40">
        <v>18.28</v>
      </c>
      <c r="R1675" s="40">
        <v>18.28</v>
      </c>
    </row>
    <row r="1676" spans="1:18" s="39" customFormat="1" ht="13.45" customHeight="1" x14ac:dyDescent="0.2">
      <c r="A1676" s="50" t="s">
        <v>5272</v>
      </c>
      <c r="B1676" s="50" t="s">
        <v>96</v>
      </c>
      <c r="C1676" s="50" t="s">
        <v>171</v>
      </c>
      <c r="D1676" s="50" t="s">
        <v>121</v>
      </c>
      <c r="E1676" s="50" t="s">
        <v>151</v>
      </c>
      <c r="F1676" s="97">
        <v>8623</v>
      </c>
      <c r="G1676" s="50" t="s">
        <v>125</v>
      </c>
      <c r="H1676" s="50" t="s">
        <v>162</v>
      </c>
      <c r="I1676" s="50"/>
      <c r="J1676" s="50"/>
      <c r="K1676" s="50"/>
      <c r="L1676" s="50" t="s">
        <v>5273</v>
      </c>
      <c r="M1676" s="145" t="s">
        <v>5274</v>
      </c>
      <c r="N1676" s="50"/>
      <c r="O1676" s="50" t="s">
        <v>54</v>
      </c>
      <c r="P1676" s="50" t="s">
        <v>5275</v>
      </c>
      <c r="Q1676" s="97">
        <v>8.6229999999999993</v>
      </c>
      <c r="R1676" s="40">
        <v>1.2499805039240781</v>
      </c>
    </row>
    <row r="1677" spans="1:18" s="39" customFormat="1" ht="13.45" customHeight="1" x14ac:dyDescent="0.2">
      <c r="A1677" s="39" t="s">
        <v>5276</v>
      </c>
      <c r="B1677" s="39" t="s">
        <v>96</v>
      </c>
      <c r="C1677" s="39" t="s">
        <v>120</v>
      </c>
      <c r="D1677" s="39" t="s">
        <v>121</v>
      </c>
      <c r="E1677" s="39" t="s">
        <v>122</v>
      </c>
      <c r="F1677" s="40" t="s">
        <v>5277</v>
      </c>
      <c r="G1677" s="39" t="s">
        <v>125</v>
      </c>
      <c r="H1677" s="39" t="s">
        <v>162</v>
      </c>
      <c r="L1677" s="39" t="s">
        <v>5278</v>
      </c>
      <c r="M1677" s="39" t="s">
        <v>5279</v>
      </c>
      <c r="N1677" s="42" t="s">
        <v>5280</v>
      </c>
      <c r="O1677" s="39" t="s">
        <v>5140</v>
      </c>
      <c r="P1677" s="39" t="s">
        <v>5275</v>
      </c>
      <c r="Q1677" s="40">
        <v>960.23</v>
      </c>
      <c r="R1677" s="40">
        <v>139.19387443848055</v>
      </c>
    </row>
    <row r="1678" spans="1:18" s="39" customFormat="1" ht="13.45" customHeight="1" x14ac:dyDescent="0.2">
      <c r="A1678" s="42" t="s">
        <v>5281</v>
      </c>
      <c r="B1678" s="42" t="s">
        <v>96</v>
      </c>
      <c r="C1678" s="42" t="s">
        <v>177</v>
      </c>
      <c r="D1678" s="42" t="s">
        <v>137</v>
      </c>
      <c r="E1678" s="42" t="s">
        <v>133</v>
      </c>
      <c r="F1678" s="198" t="s">
        <v>109</v>
      </c>
      <c r="G1678" s="42" t="s">
        <v>125</v>
      </c>
      <c r="H1678" s="42" t="s">
        <v>162</v>
      </c>
      <c r="I1678" s="42" t="s">
        <v>134</v>
      </c>
      <c r="J1678" s="42"/>
      <c r="K1678" s="42"/>
      <c r="L1678" s="42" t="s">
        <v>5282</v>
      </c>
      <c r="M1678" s="42" t="s">
        <v>5283</v>
      </c>
      <c r="N1678" s="45" t="s">
        <v>5284</v>
      </c>
      <c r="O1678" s="175" t="s">
        <v>52</v>
      </c>
      <c r="P1678" s="42" t="s">
        <v>5275</v>
      </c>
      <c r="Q1678" s="198" t="s">
        <v>109</v>
      </c>
      <c r="R1678" s="40" t="s">
        <v>1604</v>
      </c>
    </row>
    <row r="1679" spans="1:18" s="39" customFormat="1" ht="13.45" customHeight="1" x14ac:dyDescent="0.2">
      <c r="A1679" s="39" t="s">
        <v>5285</v>
      </c>
      <c r="B1679" s="39" t="s">
        <v>96</v>
      </c>
      <c r="C1679" s="39" t="s">
        <v>177</v>
      </c>
      <c r="D1679" s="39" t="s">
        <v>121</v>
      </c>
      <c r="E1679" s="39" t="s">
        <v>151</v>
      </c>
      <c r="F1679" s="42" t="s">
        <v>5286</v>
      </c>
      <c r="G1679" s="39" t="s">
        <v>125</v>
      </c>
      <c r="H1679" s="39" t="s">
        <v>162</v>
      </c>
      <c r="I1679" s="39" t="s">
        <v>134</v>
      </c>
      <c r="L1679" s="39" t="s">
        <v>5287</v>
      </c>
      <c r="M1679" s="39" t="s">
        <v>5279</v>
      </c>
      <c r="N1679" s="76" t="s">
        <v>5288</v>
      </c>
      <c r="O1679" s="39" t="s">
        <v>54</v>
      </c>
      <c r="P1679" s="39" t="s">
        <v>5275</v>
      </c>
      <c r="Q1679" s="42">
        <v>4130</v>
      </c>
      <c r="R1679" s="40">
        <v>598.68021352272331</v>
      </c>
    </row>
    <row r="1680" spans="1:18" s="39" customFormat="1" ht="13.45" customHeight="1" x14ac:dyDescent="0.2">
      <c r="A1680" s="39" t="s">
        <v>5289</v>
      </c>
      <c r="B1680" s="39" t="s">
        <v>96</v>
      </c>
      <c r="C1680" s="39" t="s">
        <v>171</v>
      </c>
      <c r="D1680" s="39" t="s">
        <v>121</v>
      </c>
      <c r="E1680" s="39" t="s">
        <v>151</v>
      </c>
      <c r="F1680" s="40"/>
      <c r="G1680" s="39" t="s">
        <v>125</v>
      </c>
      <c r="H1680" s="39" t="s">
        <v>162</v>
      </c>
      <c r="L1680" s="39" t="s">
        <v>5290</v>
      </c>
      <c r="M1680" s="76" t="s">
        <v>5291</v>
      </c>
      <c r="O1680" s="39" t="s">
        <v>52</v>
      </c>
      <c r="Q1680" s="40"/>
      <c r="R1680" s="40" t="s">
        <v>1604</v>
      </c>
    </row>
    <row r="1681" spans="1:18" s="39" customFormat="1" ht="13.45" customHeight="1" x14ac:dyDescent="0.2">
      <c r="A1681" s="39" t="s">
        <v>5289</v>
      </c>
      <c r="B1681" s="39" t="s">
        <v>96</v>
      </c>
      <c r="C1681" s="39" t="s">
        <v>120</v>
      </c>
      <c r="D1681" s="39" t="s">
        <v>137</v>
      </c>
      <c r="E1681" s="39" t="s">
        <v>133</v>
      </c>
      <c r="F1681" s="40" t="s">
        <v>109</v>
      </c>
      <c r="G1681" s="39" t="s">
        <v>125</v>
      </c>
      <c r="H1681" s="39" t="s">
        <v>162</v>
      </c>
      <c r="L1681" s="39" t="s">
        <v>5292</v>
      </c>
      <c r="M1681" s="39" t="s">
        <v>5283</v>
      </c>
      <c r="N1681" s="76" t="s">
        <v>5293</v>
      </c>
      <c r="O1681" s="39" t="s">
        <v>53</v>
      </c>
      <c r="Q1681" s="40" t="s">
        <v>109</v>
      </c>
      <c r="R1681" s="40" t="s">
        <v>1604</v>
      </c>
    </row>
    <row r="1682" spans="1:18" s="39" customFormat="1" ht="13.45" customHeight="1" x14ac:dyDescent="0.2">
      <c r="A1682" s="39" t="s">
        <v>5294</v>
      </c>
      <c r="B1682" s="39" t="s">
        <v>96</v>
      </c>
      <c r="C1682" s="39" t="s">
        <v>177</v>
      </c>
      <c r="D1682" s="39" t="s">
        <v>137</v>
      </c>
      <c r="E1682" s="39" t="s">
        <v>133</v>
      </c>
      <c r="F1682" s="40" t="s">
        <v>109</v>
      </c>
      <c r="G1682" s="39" t="s">
        <v>125</v>
      </c>
      <c r="H1682" s="39" t="s">
        <v>162</v>
      </c>
      <c r="L1682" s="39" t="s">
        <v>5295</v>
      </c>
      <c r="M1682" s="76" t="s">
        <v>5296</v>
      </c>
      <c r="O1682" s="39" t="s">
        <v>55</v>
      </c>
      <c r="Q1682" s="40"/>
      <c r="R1682" s="40" t="s">
        <v>1604</v>
      </c>
    </row>
    <row r="1683" spans="1:18" s="39" customFormat="1" ht="13.45" customHeight="1" x14ac:dyDescent="0.25">
      <c r="A1683" s="39" t="s">
        <v>5297</v>
      </c>
      <c r="B1683" s="39" t="s">
        <v>96</v>
      </c>
      <c r="C1683" s="39" t="s">
        <v>177</v>
      </c>
      <c r="D1683" s="39" t="s">
        <v>137</v>
      </c>
      <c r="E1683" s="39" t="s">
        <v>133</v>
      </c>
      <c r="F1683" s="40"/>
      <c r="G1683" s="39" t="s">
        <v>125</v>
      </c>
      <c r="H1683" s="39" t="s">
        <v>162</v>
      </c>
      <c r="L1683" s="39" t="s">
        <v>5298</v>
      </c>
      <c r="M1683" s="76"/>
      <c r="O1683" s="39" t="s">
        <v>55</v>
      </c>
      <c r="Q1683" s="40"/>
      <c r="R1683" s="40" t="s">
        <v>1604</v>
      </c>
    </row>
    <row r="1684" spans="1:18" s="39" customFormat="1" ht="13.45" customHeight="1" x14ac:dyDescent="0.2">
      <c r="A1684" s="39" t="s">
        <v>5299</v>
      </c>
      <c r="B1684" s="39" t="s">
        <v>96</v>
      </c>
      <c r="C1684" s="39" t="s">
        <v>171</v>
      </c>
      <c r="D1684" s="39" t="s">
        <v>121</v>
      </c>
      <c r="E1684" s="39" t="s">
        <v>172</v>
      </c>
      <c r="F1684" s="40"/>
      <c r="G1684" s="39" t="s">
        <v>1441</v>
      </c>
      <c r="L1684" s="39" t="s">
        <v>5300</v>
      </c>
      <c r="M1684" s="76"/>
      <c r="O1684" s="39" t="s">
        <v>52</v>
      </c>
      <c r="Q1684" s="40"/>
      <c r="R1684" s="40" t="s">
        <v>1604</v>
      </c>
    </row>
    <row r="1685" spans="1:18" s="39" customFormat="1" ht="13.45" customHeight="1" x14ac:dyDescent="0.2">
      <c r="A1685" s="75" t="s">
        <v>5301</v>
      </c>
      <c r="B1685" s="75" t="s">
        <v>97</v>
      </c>
      <c r="C1685" s="75" t="s">
        <v>171</v>
      </c>
      <c r="D1685" s="75" t="s">
        <v>137</v>
      </c>
      <c r="E1685" s="75" t="s">
        <v>133</v>
      </c>
      <c r="F1685" s="75"/>
      <c r="G1685" s="75" t="s">
        <v>125</v>
      </c>
      <c r="H1685" s="75"/>
      <c r="I1685" s="75"/>
      <c r="J1685" s="75" t="s">
        <v>124</v>
      </c>
      <c r="K1685" s="75"/>
      <c r="L1685" s="75" t="s">
        <v>5302</v>
      </c>
      <c r="M1685" s="99" t="s">
        <v>5303</v>
      </c>
      <c r="N1685" s="75"/>
      <c r="O1685" s="75" t="s">
        <v>52</v>
      </c>
      <c r="P1685" s="75"/>
      <c r="Q1685" s="100"/>
      <c r="R1685" s="40" t="s">
        <v>1604</v>
      </c>
    </row>
    <row r="1686" spans="1:18" s="39" customFormat="1" ht="13.45" customHeight="1" x14ac:dyDescent="0.2">
      <c r="A1686" s="39" t="s">
        <v>5304</v>
      </c>
      <c r="B1686" s="39" t="s">
        <v>97</v>
      </c>
      <c r="C1686" s="39" t="s">
        <v>188</v>
      </c>
      <c r="D1686" s="39" t="s">
        <v>121</v>
      </c>
      <c r="E1686" s="39" t="s">
        <v>151</v>
      </c>
      <c r="F1686" s="39" t="s">
        <v>5305</v>
      </c>
      <c r="G1686" s="39" t="s">
        <v>125</v>
      </c>
      <c r="H1686" s="39" t="s">
        <v>134</v>
      </c>
      <c r="I1686" s="39" t="s">
        <v>158</v>
      </c>
      <c r="J1686" s="39" t="s">
        <v>124</v>
      </c>
      <c r="L1686" s="39" t="s">
        <v>5306</v>
      </c>
      <c r="M1686" s="76" t="s">
        <v>5303</v>
      </c>
      <c r="O1686" s="39" t="s">
        <v>54</v>
      </c>
      <c r="P1686" s="39" t="s">
        <v>601</v>
      </c>
      <c r="Q1686" s="40">
        <v>203.54</v>
      </c>
      <c r="R1686" s="40">
        <v>203.54</v>
      </c>
    </row>
    <row r="1687" spans="1:18" s="39" customFormat="1" ht="13.45" customHeight="1" x14ac:dyDescent="0.2">
      <c r="A1687" s="39" t="s">
        <v>5307</v>
      </c>
      <c r="B1687" s="39" t="s">
        <v>97</v>
      </c>
      <c r="C1687" s="39" t="s">
        <v>177</v>
      </c>
      <c r="D1687" s="39" t="s">
        <v>121</v>
      </c>
      <c r="E1687" s="39" t="s">
        <v>147</v>
      </c>
      <c r="F1687" s="39" t="s">
        <v>5308</v>
      </c>
      <c r="G1687" s="39" t="s">
        <v>134</v>
      </c>
      <c r="H1687" s="39" t="s">
        <v>153</v>
      </c>
      <c r="I1687" s="39" t="s">
        <v>162</v>
      </c>
      <c r="J1687" s="39" t="s">
        <v>124</v>
      </c>
      <c r="L1687" s="39" t="s">
        <v>5309</v>
      </c>
      <c r="M1687" s="76" t="s">
        <v>5303</v>
      </c>
      <c r="O1687" s="39" t="s">
        <v>52</v>
      </c>
      <c r="P1687" s="39" t="s">
        <v>601</v>
      </c>
      <c r="Q1687" s="40">
        <v>1830</v>
      </c>
      <c r="R1687" s="40">
        <v>1830</v>
      </c>
    </row>
    <row r="1688" spans="1:18" s="39" customFormat="1" ht="13.45" customHeight="1" x14ac:dyDescent="0.2">
      <c r="A1688" s="39" t="s">
        <v>5310</v>
      </c>
      <c r="B1688" s="39" t="s">
        <v>97</v>
      </c>
      <c r="C1688" s="39" t="s">
        <v>177</v>
      </c>
      <c r="D1688" s="39" t="s">
        <v>121</v>
      </c>
      <c r="E1688" s="39" t="s">
        <v>151</v>
      </c>
      <c r="F1688" s="39" t="s">
        <v>5311</v>
      </c>
      <c r="G1688" s="39" t="s">
        <v>125</v>
      </c>
      <c r="H1688" s="39" t="s">
        <v>158</v>
      </c>
      <c r="J1688" s="39" t="s">
        <v>124</v>
      </c>
      <c r="L1688" s="39" t="s">
        <v>5312</v>
      </c>
      <c r="M1688" s="76" t="s">
        <v>5303</v>
      </c>
      <c r="O1688" s="39" t="s">
        <v>52</v>
      </c>
      <c r="P1688" s="39" t="s">
        <v>601</v>
      </c>
      <c r="Q1688" s="40">
        <v>1320</v>
      </c>
      <c r="R1688" s="40">
        <v>1320</v>
      </c>
    </row>
    <row r="1689" spans="1:18" s="39" customFormat="1" ht="13.45" customHeight="1" x14ac:dyDescent="0.2">
      <c r="A1689" s="39" t="s">
        <v>5313</v>
      </c>
      <c r="B1689" s="39" t="s">
        <v>97</v>
      </c>
      <c r="C1689" s="39" t="s">
        <v>171</v>
      </c>
      <c r="D1689" s="39" t="s">
        <v>121</v>
      </c>
      <c r="E1689" s="39" t="s">
        <v>151</v>
      </c>
      <c r="G1689" s="39" t="s">
        <v>125</v>
      </c>
      <c r="H1689" s="39" t="s">
        <v>162</v>
      </c>
      <c r="I1689" s="39" t="s">
        <v>158</v>
      </c>
      <c r="J1689" s="39" t="s">
        <v>124</v>
      </c>
      <c r="L1689" s="39" t="s">
        <v>5314</v>
      </c>
      <c r="M1689" s="76" t="s">
        <v>5303</v>
      </c>
      <c r="O1689" s="39" t="s">
        <v>52</v>
      </c>
      <c r="Q1689" s="40"/>
      <c r="R1689" s="40" t="s">
        <v>1604</v>
      </c>
    </row>
    <row r="1690" spans="1:18" s="39" customFormat="1" ht="13.45" customHeight="1" x14ac:dyDescent="0.2">
      <c r="A1690" s="39" t="s">
        <v>5315</v>
      </c>
      <c r="B1690" s="39" t="s">
        <v>97</v>
      </c>
      <c r="C1690" s="39" t="s">
        <v>171</v>
      </c>
      <c r="D1690" s="39" t="s">
        <v>121</v>
      </c>
      <c r="E1690" s="39" t="s">
        <v>151</v>
      </c>
      <c r="G1690" s="39" t="s">
        <v>125</v>
      </c>
      <c r="H1690" s="39" t="s">
        <v>134</v>
      </c>
      <c r="I1690" s="39" t="s">
        <v>158</v>
      </c>
      <c r="J1690" s="39" t="s">
        <v>124</v>
      </c>
      <c r="L1690" s="39" t="s">
        <v>5316</v>
      </c>
      <c r="M1690" s="76" t="s">
        <v>5303</v>
      </c>
      <c r="O1690" s="39" t="s">
        <v>54</v>
      </c>
      <c r="Q1690" s="40"/>
      <c r="R1690" s="40" t="s">
        <v>1604</v>
      </c>
    </row>
    <row r="1691" spans="1:18" s="39" customFormat="1" ht="13.45" customHeight="1" x14ac:dyDescent="0.2">
      <c r="A1691" s="39" t="s">
        <v>5317</v>
      </c>
      <c r="B1691" s="39" t="s">
        <v>97</v>
      </c>
      <c r="C1691" s="39" t="s">
        <v>177</v>
      </c>
      <c r="D1691" s="39" t="s">
        <v>121</v>
      </c>
      <c r="E1691" s="39" t="s">
        <v>151</v>
      </c>
      <c r="G1691" s="39" t="s">
        <v>125</v>
      </c>
      <c r="H1691" s="39" t="s">
        <v>134</v>
      </c>
      <c r="I1691" s="39" t="s">
        <v>158</v>
      </c>
      <c r="J1691" s="39" t="s">
        <v>124</v>
      </c>
      <c r="L1691" s="39" t="s">
        <v>5318</v>
      </c>
      <c r="M1691" s="76" t="s">
        <v>5303</v>
      </c>
      <c r="O1691" s="39" t="s">
        <v>54</v>
      </c>
      <c r="Q1691" s="40"/>
      <c r="R1691" s="40" t="s">
        <v>1604</v>
      </c>
    </row>
    <row r="1692" spans="1:18" s="39" customFormat="1" ht="13.45" customHeight="1" x14ac:dyDescent="0.2">
      <c r="A1692" s="39" t="s">
        <v>5319</v>
      </c>
      <c r="B1692" s="39" t="s">
        <v>97</v>
      </c>
      <c r="C1692" s="39" t="s">
        <v>171</v>
      </c>
      <c r="D1692" s="39" t="s">
        <v>121</v>
      </c>
      <c r="E1692" s="39" t="s">
        <v>151</v>
      </c>
      <c r="G1692" s="39" t="s">
        <v>125</v>
      </c>
      <c r="H1692" s="39" t="s">
        <v>162</v>
      </c>
      <c r="I1692" s="39" t="s">
        <v>158</v>
      </c>
      <c r="J1692" s="39" t="s">
        <v>124</v>
      </c>
      <c r="L1692" s="39" t="s">
        <v>5320</v>
      </c>
      <c r="M1692" s="76" t="s">
        <v>5303</v>
      </c>
      <c r="O1692" s="39" t="s">
        <v>3068</v>
      </c>
      <c r="Q1692" s="40"/>
      <c r="R1692" s="40" t="s">
        <v>1604</v>
      </c>
    </row>
    <row r="1693" spans="1:18" s="39" customFormat="1" ht="13.45" customHeight="1" x14ac:dyDescent="0.2">
      <c r="A1693" s="39" t="s">
        <v>5321</v>
      </c>
      <c r="B1693" s="39" t="s">
        <v>97</v>
      </c>
      <c r="C1693" s="39" t="s">
        <v>120</v>
      </c>
      <c r="D1693" s="39" t="s">
        <v>121</v>
      </c>
      <c r="E1693" s="39" t="s">
        <v>122</v>
      </c>
      <c r="F1693" s="39" t="s">
        <v>5322</v>
      </c>
      <c r="G1693" s="39" t="s">
        <v>125</v>
      </c>
      <c r="H1693" s="39" t="s">
        <v>134</v>
      </c>
      <c r="I1693" s="39" t="s">
        <v>158</v>
      </c>
      <c r="J1693" s="39" t="s">
        <v>124</v>
      </c>
      <c r="L1693" s="39" t="s">
        <v>5323</v>
      </c>
      <c r="M1693" s="76" t="s">
        <v>5303</v>
      </c>
      <c r="O1693" s="39" t="s">
        <v>54</v>
      </c>
      <c r="P1693" s="39" t="s">
        <v>601</v>
      </c>
      <c r="Q1693" s="40">
        <v>151.16999999999999</v>
      </c>
      <c r="R1693" s="40">
        <v>151.16999999999999</v>
      </c>
    </row>
    <row r="1694" spans="1:18" s="39" customFormat="1" ht="13.45" customHeight="1" x14ac:dyDescent="0.2">
      <c r="A1694" s="39" t="s">
        <v>5324</v>
      </c>
      <c r="B1694" s="39" t="s">
        <v>97</v>
      </c>
      <c r="C1694" s="104" t="s">
        <v>171</v>
      </c>
      <c r="D1694" s="39" t="s">
        <v>121</v>
      </c>
      <c r="E1694" s="39" t="s">
        <v>151</v>
      </c>
      <c r="G1694" s="39" t="s">
        <v>125</v>
      </c>
      <c r="H1694" s="39" t="s">
        <v>134</v>
      </c>
      <c r="I1694" s="39" t="s">
        <v>158</v>
      </c>
      <c r="J1694" s="39" t="s">
        <v>124</v>
      </c>
      <c r="L1694" s="39" t="s">
        <v>5325</v>
      </c>
      <c r="M1694" s="76" t="s">
        <v>5303</v>
      </c>
      <c r="N1694" s="199"/>
      <c r="O1694" s="39" t="s">
        <v>53</v>
      </c>
      <c r="P1694" s="54"/>
      <c r="Q1694" s="161"/>
      <c r="R1694" s="40" t="s">
        <v>1604</v>
      </c>
    </row>
    <row r="1695" spans="1:18" s="39" customFormat="1" ht="13.45" customHeight="1" x14ac:dyDescent="0.2">
      <c r="A1695" s="39" t="s">
        <v>5326</v>
      </c>
      <c r="B1695" s="39" t="s">
        <v>97</v>
      </c>
      <c r="C1695" s="39" t="s">
        <v>120</v>
      </c>
      <c r="D1695" s="39" t="s">
        <v>121</v>
      </c>
      <c r="E1695" s="39" t="s">
        <v>251</v>
      </c>
      <c r="F1695" s="39" t="s">
        <v>5327</v>
      </c>
      <c r="G1695" s="39" t="s">
        <v>125</v>
      </c>
      <c r="H1695" s="39" t="s">
        <v>134</v>
      </c>
      <c r="I1695" s="39" t="s">
        <v>158</v>
      </c>
      <c r="J1695" s="39" t="s">
        <v>124</v>
      </c>
      <c r="L1695" s="39" t="s">
        <v>5328</v>
      </c>
      <c r="M1695" s="76" t="s">
        <v>5303</v>
      </c>
      <c r="O1695" s="39" t="s">
        <v>54</v>
      </c>
      <c r="P1695" s="39" t="s">
        <v>601</v>
      </c>
      <c r="Q1695" s="40">
        <v>346.7</v>
      </c>
      <c r="R1695" s="40">
        <v>346.7</v>
      </c>
    </row>
    <row r="1696" spans="1:18" s="39" customFormat="1" ht="13.45" customHeight="1" x14ac:dyDescent="0.2">
      <c r="A1696" s="39" t="s">
        <v>5329</v>
      </c>
      <c r="B1696" s="39" t="s">
        <v>97</v>
      </c>
      <c r="C1696" s="50" t="s">
        <v>188</v>
      </c>
      <c r="D1696" s="39" t="s">
        <v>121</v>
      </c>
      <c r="E1696" s="39" t="s">
        <v>122</v>
      </c>
      <c r="F1696" s="39" t="s">
        <v>5330</v>
      </c>
      <c r="G1696" s="39" t="s">
        <v>125</v>
      </c>
      <c r="H1696" s="39" t="s">
        <v>134</v>
      </c>
      <c r="I1696" s="39" t="s">
        <v>158</v>
      </c>
      <c r="J1696" s="39" t="s">
        <v>124</v>
      </c>
      <c r="L1696" s="39" t="s">
        <v>5331</v>
      </c>
      <c r="M1696" s="76" t="s">
        <v>5303</v>
      </c>
      <c r="N1696" s="50"/>
      <c r="O1696" s="50" t="s">
        <v>54</v>
      </c>
      <c r="P1696" s="50" t="s">
        <v>601</v>
      </c>
      <c r="Q1696" s="97">
        <v>324.52999999999997</v>
      </c>
      <c r="R1696" s="40">
        <v>324.52999999999997</v>
      </c>
    </row>
    <row r="1697" spans="1:18" s="50" customFormat="1" ht="13.45" customHeight="1" x14ac:dyDescent="0.2">
      <c r="A1697" s="39" t="s">
        <v>5332</v>
      </c>
      <c r="B1697" s="39" t="s">
        <v>97</v>
      </c>
      <c r="C1697" s="39" t="s">
        <v>188</v>
      </c>
      <c r="D1697" s="39" t="s">
        <v>121</v>
      </c>
      <c r="E1697" s="39" t="s">
        <v>151</v>
      </c>
      <c r="F1697" s="39"/>
      <c r="G1697" s="39" t="s">
        <v>125</v>
      </c>
      <c r="H1697" s="39" t="s">
        <v>134</v>
      </c>
      <c r="I1697" s="39" t="s">
        <v>158</v>
      </c>
      <c r="J1697" s="39" t="s">
        <v>124</v>
      </c>
      <c r="K1697" s="39"/>
      <c r="L1697" s="39" t="s">
        <v>5333</v>
      </c>
      <c r="M1697" s="76" t="s">
        <v>5303</v>
      </c>
      <c r="N1697" s="39"/>
      <c r="O1697" s="39" t="s">
        <v>54</v>
      </c>
      <c r="P1697" s="39"/>
      <c r="Q1697" s="40"/>
      <c r="R1697" s="40" t="s">
        <v>1604</v>
      </c>
    </row>
    <row r="1698" spans="1:18" s="39" customFormat="1" ht="13.45" customHeight="1" x14ac:dyDescent="0.2">
      <c r="A1698" s="39" t="s">
        <v>5334</v>
      </c>
      <c r="B1698" s="39" t="s">
        <v>97</v>
      </c>
      <c r="C1698" s="39" t="s">
        <v>171</v>
      </c>
      <c r="D1698" s="39" t="s">
        <v>137</v>
      </c>
      <c r="E1698" s="39" t="s">
        <v>133</v>
      </c>
      <c r="G1698" s="39" t="s">
        <v>5105</v>
      </c>
      <c r="J1698" s="39" t="s">
        <v>124</v>
      </c>
      <c r="L1698" s="39" t="s">
        <v>5335</v>
      </c>
      <c r="M1698" s="76" t="s">
        <v>5336</v>
      </c>
      <c r="O1698" s="39" t="s">
        <v>52</v>
      </c>
      <c r="Q1698" s="40"/>
      <c r="R1698" s="40" t="s">
        <v>1604</v>
      </c>
    </row>
    <row r="1699" spans="1:18" ht="13.45" customHeight="1" x14ac:dyDescent="0.2">
      <c r="A1699" s="32"/>
      <c r="B1699" s="32"/>
      <c r="C1699" s="32"/>
      <c r="D1699" s="32"/>
      <c r="E1699" s="32"/>
      <c r="F1699" s="32"/>
      <c r="G1699" s="32"/>
      <c r="H1699" s="32"/>
      <c r="I1699" s="125"/>
      <c r="J1699" s="125"/>
      <c r="K1699" s="125"/>
      <c r="L1699" s="125"/>
      <c r="M1699" s="33"/>
      <c r="N1699" s="32"/>
      <c r="O1699" s="32"/>
    </row>
    <row r="1700" spans="1:18" ht="13.45" customHeight="1" x14ac:dyDescent="0.2">
      <c r="A1700" s="32"/>
      <c r="B1700" s="32"/>
      <c r="C1700" s="32"/>
      <c r="D1700" s="32"/>
      <c r="E1700" s="32"/>
      <c r="F1700" s="32"/>
      <c r="G1700" s="32"/>
      <c r="H1700" s="32"/>
      <c r="I1700" s="125"/>
      <c r="J1700" s="125"/>
      <c r="K1700" s="125"/>
      <c r="L1700" s="125"/>
      <c r="M1700" s="33"/>
      <c r="N1700" s="33"/>
      <c r="O1700" s="32"/>
    </row>
    <row r="1701" spans="1:18" ht="13.45" customHeight="1" x14ac:dyDescent="0.2">
      <c r="A1701" s="32"/>
      <c r="B1701" s="32"/>
      <c r="C1701" s="32"/>
      <c r="D1701" s="32"/>
      <c r="E1701" s="32"/>
      <c r="F1701" s="32"/>
      <c r="G1701" s="32"/>
      <c r="H1701" s="32"/>
      <c r="I1701" s="125"/>
      <c r="J1701" s="125"/>
      <c r="K1701" s="125"/>
      <c r="L1701" s="125"/>
      <c r="M1701" s="33"/>
      <c r="N1701" s="32"/>
      <c r="O1701" s="32"/>
    </row>
    <row r="1702" spans="1:18" ht="13.45" customHeight="1" x14ac:dyDescent="0.2">
      <c r="A1702" s="32"/>
      <c r="B1702" s="32"/>
      <c r="D1702" s="32"/>
      <c r="E1702" s="32"/>
      <c r="F1702" s="32"/>
      <c r="G1702" s="32"/>
      <c r="H1702" s="32"/>
      <c r="I1702" s="125"/>
      <c r="J1702" s="125"/>
      <c r="K1702" s="125"/>
      <c r="L1702" s="125"/>
      <c r="M1702" s="33"/>
      <c r="N1702" s="33"/>
    </row>
    <row r="1703" spans="1:18" ht="13.45" customHeight="1" x14ac:dyDescent="0.2">
      <c r="A1703" s="32"/>
      <c r="B1703" s="32"/>
      <c r="C1703" s="32"/>
      <c r="D1703" s="32"/>
      <c r="E1703" s="32"/>
      <c r="F1703" s="32"/>
      <c r="G1703" s="32"/>
      <c r="H1703" s="32"/>
      <c r="I1703" s="125"/>
      <c r="J1703" s="125"/>
      <c r="K1703" s="125"/>
      <c r="L1703" s="125"/>
      <c r="M1703" s="33"/>
      <c r="N1703" s="32"/>
      <c r="O1703" s="32"/>
    </row>
    <row r="1704" spans="1:18" ht="13.45" customHeight="1" x14ac:dyDescent="0.2">
      <c r="A1704" s="32"/>
      <c r="B1704" s="32"/>
      <c r="C1704" s="32"/>
      <c r="D1704" s="32"/>
      <c r="E1704" s="32"/>
      <c r="F1704" s="32"/>
      <c r="G1704" s="32"/>
      <c r="H1704" s="32"/>
      <c r="I1704" s="125"/>
      <c r="J1704" s="125"/>
      <c r="K1704" s="125"/>
      <c r="L1704" s="125"/>
      <c r="M1704" s="33"/>
      <c r="N1704" s="32"/>
      <c r="O1704" s="32"/>
    </row>
    <row r="1705" spans="1:18" ht="13.45" customHeight="1" x14ac:dyDescent="0.2">
      <c r="A1705" s="32"/>
      <c r="B1705" s="32"/>
      <c r="D1705" s="32"/>
      <c r="E1705" s="32"/>
      <c r="F1705" s="32"/>
      <c r="G1705" s="32"/>
      <c r="H1705" s="32"/>
      <c r="I1705" s="125"/>
      <c r="J1705" s="125"/>
      <c r="K1705" s="125"/>
      <c r="L1705" s="182"/>
      <c r="M1705" s="33"/>
      <c r="N1705" s="33"/>
      <c r="O1705" s="32"/>
    </row>
    <row r="1706" spans="1:18" ht="13.45" customHeight="1" x14ac:dyDescent="0.2">
      <c r="A1706" s="32"/>
      <c r="B1706" s="32"/>
      <c r="C1706" s="32"/>
      <c r="D1706" s="32"/>
      <c r="E1706" s="32"/>
      <c r="F1706" s="32"/>
      <c r="G1706" s="32"/>
      <c r="H1706" s="32"/>
      <c r="I1706" s="125"/>
      <c r="J1706" s="125"/>
      <c r="K1706" s="125"/>
      <c r="L1706" s="125"/>
      <c r="M1706" s="33"/>
      <c r="N1706" s="34"/>
      <c r="O1706" s="32"/>
    </row>
    <row r="1707" spans="1:18" ht="13.45" customHeight="1" x14ac:dyDescent="0.2">
      <c r="A1707" s="32"/>
      <c r="B1707" s="32"/>
      <c r="C1707" s="32"/>
      <c r="D1707" s="32"/>
      <c r="E1707" s="32"/>
      <c r="F1707" s="32"/>
      <c r="G1707" s="32"/>
      <c r="H1707" s="32"/>
      <c r="I1707" s="125"/>
      <c r="J1707" s="125"/>
      <c r="K1707" s="125"/>
      <c r="L1707" s="125"/>
      <c r="M1707" s="33"/>
      <c r="N1707" s="32"/>
      <c r="O1707" s="32"/>
    </row>
    <row r="1708" spans="1:18" ht="13.45" customHeight="1" x14ac:dyDescent="0.2">
      <c r="A1708" s="32"/>
      <c r="B1708" s="32"/>
      <c r="C1708" s="32"/>
      <c r="D1708" s="32"/>
      <c r="E1708" s="32"/>
      <c r="F1708" s="32"/>
      <c r="G1708" s="32"/>
      <c r="H1708" s="32"/>
      <c r="I1708" s="125"/>
      <c r="J1708" s="125"/>
      <c r="K1708" s="125"/>
      <c r="L1708" s="125"/>
      <c r="M1708" s="33"/>
      <c r="N1708" s="32"/>
      <c r="O1708" s="32"/>
    </row>
    <row r="1709" spans="1:18" ht="13.45" customHeight="1" x14ac:dyDescent="0.2">
      <c r="A1709" s="32"/>
      <c r="B1709" s="32"/>
      <c r="D1709" s="32"/>
      <c r="E1709" s="32"/>
      <c r="F1709" s="32"/>
      <c r="G1709" s="32"/>
      <c r="H1709" s="32"/>
      <c r="I1709" s="125"/>
      <c r="J1709" s="125"/>
      <c r="K1709" s="125"/>
      <c r="L1709" s="125"/>
      <c r="M1709" s="33"/>
      <c r="N1709" s="32"/>
      <c r="O1709" s="32"/>
    </row>
    <row r="1710" spans="1:18" ht="13.45" customHeight="1" x14ac:dyDescent="0.2">
      <c r="A1710" s="32"/>
      <c r="B1710" s="32"/>
      <c r="C1710" s="32"/>
      <c r="D1710" s="32"/>
      <c r="E1710" s="32"/>
      <c r="F1710" s="32"/>
      <c r="G1710" s="32"/>
      <c r="H1710" s="32"/>
      <c r="I1710" s="125"/>
      <c r="J1710" s="125"/>
      <c r="K1710" s="125"/>
      <c r="L1710" s="125"/>
      <c r="M1710" s="33"/>
      <c r="N1710" s="32"/>
      <c r="O1710" s="32"/>
    </row>
    <row r="1711" spans="1:18" ht="13.45" customHeight="1" x14ac:dyDescent="0.2">
      <c r="A1711" s="32"/>
      <c r="B1711" s="32"/>
      <c r="C1711" s="32"/>
      <c r="D1711" s="32"/>
      <c r="E1711" s="32"/>
      <c r="F1711" s="32"/>
      <c r="G1711" s="32"/>
      <c r="H1711" s="32"/>
      <c r="I1711" s="125"/>
      <c r="J1711" s="125"/>
      <c r="K1711" s="125"/>
      <c r="L1711" s="125"/>
      <c r="M1711" s="33"/>
      <c r="N1711" s="32"/>
      <c r="O1711" s="32"/>
    </row>
    <row r="1712" spans="1:18" ht="13.45" customHeight="1" x14ac:dyDescent="0.2">
      <c r="A1712" s="32"/>
      <c r="B1712" s="32"/>
      <c r="C1712" s="32"/>
      <c r="D1712" s="32"/>
      <c r="E1712" s="32"/>
      <c r="F1712" s="32"/>
      <c r="G1712" s="32"/>
      <c r="H1712" s="32"/>
      <c r="I1712" s="125"/>
      <c r="J1712" s="125"/>
      <c r="K1712" s="125"/>
      <c r="L1712" s="125"/>
      <c r="M1712" s="33"/>
      <c r="N1712" s="32"/>
      <c r="O1712" s="32"/>
    </row>
    <row r="1713" spans="1:17" ht="13.45" customHeight="1" x14ac:dyDescent="0.2">
      <c r="A1713" s="32"/>
      <c r="B1713" s="32"/>
      <c r="C1713" s="32"/>
      <c r="D1713" s="32"/>
      <c r="E1713" s="32"/>
      <c r="F1713" s="32"/>
      <c r="G1713" s="32"/>
      <c r="H1713" s="32"/>
      <c r="I1713" s="125"/>
      <c r="J1713" s="125"/>
      <c r="K1713" s="125"/>
      <c r="L1713" s="125"/>
      <c r="M1713" s="33"/>
      <c r="N1713" s="32"/>
      <c r="O1713" s="32"/>
    </row>
    <row r="1714" spans="1:17" ht="13.45" customHeight="1" x14ac:dyDescent="0.2">
      <c r="A1714" s="32"/>
      <c r="B1714" s="32"/>
      <c r="C1714" s="32"/>
      <c r="D1714" s="32"/>
      <c r="E1714" s="32"/>
      <c r="F1714" s="32"/>
      <c r="G1714" s="32"/>
      <c r="H1714" s="32"/>
      <c r="I1714" s="125"/>
      <c r="J1714" s="125"/>
      <c r="K1714" s="125"/>
      <c r="L1714" s="125"/>
      <c r="M1714" s="33"/>
      <c r="N1714" s="32"/>
      <c r="O1714" s="32"/>
    </row>
    <row r="1715" spans="1:17" ht="13.45" customHeight="1" x14ac:dyDescent="0.2">
      <c r="A1715" s="32"/>
      <c r="B1715" s="32"/>
      <c r="D1715" s="32"/>
      <c r="E1715" s="32"/>
      <c r="F1715" s="32"/>
      <c r="G1715" s="32"/>
      <c r="H1715" s="32"/>
      <c r="I1715" s="125"/>
      <c r="J1715" s="125"/>
      <c r="K1715" s="125"/>
      <c r="L1715" s="125"/>
      <c r="M1715" s="33"/>
      <c r="N1715" s="32"/>
      <c r="O1715" s="32"/>
    </row>
    <row r="1716" spans="1:17" ht="13.45" customHeight="1" x14ac:dyDescent="0.2">
      <c r="A1716" s="32"/>
      <c r="B1716" s="32"/>
      <c r="D1716" s="32"/>
      <c r="E1716" s="32"/>
      <c r="F1716" s="32"/>
      <c r="G1716" s="32"/>
      <c r="H1716" s="32"/>
      <c r="I1716" s="125"/>
      <c r="J1716" s="125"/>
      <c r="K1716" s="125"/>
      <c r="L1716" s="125"/>
      <c r="M1716" s="32"/>
      <c r="N1716" s="32"/>
      <c r="O1716" s="32"/>
    </row>
    <row r="1717" spans="1:17" ht="13.45" customHeight="1" x14ac:dyDescent="0.2">
      <c r="A1717" s="32"/>
      <c r="B1717" s="32"/>
      <c r="C1717" s="32"/>
      <c r="D1717" s="32"/>
      <c r="E1717" s="32"/>
      <c r="F1717" s="32"/>
      <c r="G1717" s="32"/>
      <c r="H1717" s="32"/>
      <c r="I1717" s="125"/>
      <c r="J1717" s="125"/>
      <c r="K1717" s="125"/>
      <c r="L1717" s="125"/>
      <c r="M1717" s="33"/>
      <c r="N1717" s="32"/>
      <c r="O1717" s="32"/>
    </row>
    <row r="1718" spans="1:17" ht="13.45" customHeight="1" x14ac:dyDescent="0.2">
      <c r="A1718" s="32"/>
      <c r="B1718" s="32"/>
      <c r="C1718" s="32"/>
      <c r="D1718" s="32"/>
      <c r="E1718" s="32"/>
      <c r="F1718" s="32"/>
      <c r="G1718" s="32"/>
      <c r="H1718" s="32"/>
      <c r="I1718" s="125"/>
      <c r="J1718" s="125"/>
      <c r="K1718" s="125"/>
      <c r="L1718" s="125"/>
      <c r="M1718" s="33"/>
      <c r="N1718" s="32"/>
      <c r="O1718" s="32"/>
    </row>
    <row r="1719" spans="1:17" ht="13.45" customHeight="1" x14ac:dyDescent="0.2">
      <c r="A1719" s="32"/>
      <c r="B1719" s="32"/>
      <c r="C1719" s="32"/>
      <c r="D1719" s="32"/>
      <c r="E1719" s="32"/>
      <c r="F1719" s="32"/>
      <c r="G1719" s="32"/>
      <c r="H1719" s="32"/>
      <c r="I1719" s="125"/>
      <c r="J1719" s="125"/>
      <c r="K1719" s="125"/>
      <c r="L1719" s="125"/>
      <c r="M1719" s="33"/>
      <c r="N1719" s="32"/>
      <c r="O1719" s="32"/>
    </row>
    <row r="1720" spans="1:17" ht="13.45" customHeight="1" x14ac:dyDescent="0.2">
      <c r="A1720" s="32"/>
      <c r="B1720" s="32"/>
      <c r="D1720" s="32"/>
      <c r="E1720" s="32"/>
      <c r="F1720" s="32"/>
      <c r="G1720" s="32"/>
      <c r="H1720" s="32"/>
      <c r="I1720" s="125"/>
      <c r="J1720" s="125"/>
      <c r="K1720" s="125"/>
      <c r="L1720" s="125"/>
      <c r="M1720" s="33"/>
      <c r="N1720" s="32"/>
      <c r="O1720" s="32"/>
    </row>
    <row r="1721" spans="1:17" ht="13.45" customHeight="1" x14ac:dyDescent="0.2">
      <c r="A1721" s="32"/>
      <c r="B1721" s="32"/>
      <c r="D1721" s="32"/>
      <c r="E1721" s="32"/>
      <c r="F1721" s="32"/>
      <c r="G1721" s="32"/>
      <c r="H1721" s="32"/>
      <c r="I1721" s="125"/>
      <c r="J1721" s="125"/>
      <c r="K1721" s="125"/>
      <c r="L1721" s="125"/>
      <c r="M1721" s="32"/>
      <c r="N1721" s="32"/>
      <c r="O1721" s="32"/>
    </row>
    <row r="1722" spans="1:17" ht="13.45" customHeight="1" x14ac:dyDescent="0.2">
      <c r="A1722" s="32"/>
      <c r="B1722" s="32"/>
      <c r="C1722" s="32"/>
      <c r="D1722" s="32"/>
      <c r="E1722" s="32"/>
      <c r="F1722" s="32"/>
      <c r="G1722" s="32"/>
      <c r="H1722" s="32"/>
      <c r="I1722" s="125"/>
      <c r="J1722" s="125"/>
      <c r="K1722" s="125"/>
      <c r="L1722" s="125"/>
      <c r="M1722" s="32"/>
      <c r="N1722" s="32"/>
    </row>
    <row r="1723" spans="1:17" ht="13.45" customHeight="1" x14ac:dyDescent="0.2">
      <c r="A1723" s="35"/>
      <c r="B1723" s="35"/>
      <c r="C1723" s="35"/>
      <c r="D1723" s="35"/>
      <c r="E1723" s="35"/>
      <c r="F1723" s="35"/>
      <c r="G1723" s="35"/>
      <c r="H1723" s="35"/>
      <c r="I1723" s="115"/>
      <c r="J1723" s="115"/>
      <c r="K1723" s="115"/>
      <c r="L1723" s="115"/>
      <c r="M1723" s="36"/>
      <c r="N1723" s="35"/>
      <c r="O1723" s="35"/>
      <c r="P1723" s="12"/>
      <c r="Q1723" s="15"/>
    </row>
    <row r="1724" spans="1:17" ht="13.45" customHeight="1" x14ac:dyDescent="0.2">
      <c r="P1724" s="13"/>
      <c r="Q1724" s="14"/>
    </row>
    <row r="1725" spans="1:17" ht="13.45" customHeight="1" x14ac:dyDescent="0.2"/>
    <row r="1726" spans="1:17" ht="13.45" customHeight="1" x14ac:dyDescent="0.2"/>
    <row r="1727" spans="1:17" ht="13.45" customHeight="1" x14ac:dyDescent="0.2"/>
    <row r="1728" spans="1:17" ht="13.45" customHeight="1" x14ac:dyDescent="0.2"/>
    <row r="1729" spans="1:17" ht="13.45" customHeight="1" x14ac:dyDescent="0.2">
      <c r="C1729" s="1"/>
    </row>
    <row r="1730" spans="1:17" ht="13.45" customHeight="1" x14ac:dyDescent="0.2">
      <c r="C1730" s="1"/>
    </row>
    <row r="1731" spans="1:17" ht="13.45" customHeight="1" x14ac:dyDescent="0.2">
      <c r="A1731" s="12"/>
      <c r="B1731" s="12"/>
      <c r="C1731" s="12"/>
      <c r="D1731" s="12"/>
      <c r="E1731" s="12"/>
      <c r="F1731" s="12"/>
      <c r="G1731" s="12"/>
      <c r="H1731" s="12"/>
      <c r="I1731" s="50"/>
      <c r="J1731" s="50"/>
      <c r="K1731" s="50"/>
      <c r="L1731" s="50"/>
      <c r="M1731" s="12"/>
      <c r="N1731" s="12"/>
      <c r="O1731" s="12"/>
      <c r="P1731" s="12"/>
      <c r="Q1731" s="15"/>
    </row>
    <row r="1732" spans="1:17" ht="13.45" customHeight="1" x14ac:dyDescent="0.2"/>
    <row r="1733" spans="1:17" ht="13.45" customHeight="1" x14ac:dyDescent="0.2"/>
    <row r="1734" spans="1:17" ht="13.45" customHeight="1" x14ac:dyDescent="0.2"/>
    <row r="1735" spans="1:17" ht="13.45" customHeight="1" x14ac:dyDescent="0.2"/>
    <row r="1736" spans="1:17" ht="13.45" customHeight="1" x14ac:dyDescent="0.2"/>
    <row r="1737" spans="1:17" ht="13.45" customHeight="1" x14ac:dyDescent="0.2"/>
    <row r="1738" spans="1:17" ht="13.45" customHeight="1" x14ac:dyDescent="0.2"/>
    <row r="1739" spans="1:17" ht="13.45" customHeight="1" x14ac:dyDescent="0.2"/>
    <row r="1740" spans="1:17" ht="13.45" customHeight="1" x14ac:dyDescent="0.2"/>
    <row r="1741" spans="1:17" ht="13.45" customHeight="1" x14ac:dyDescent="0.2">
      <c r="F1741" s="11"/>
      <c r="M1741" s="17"/>
    </row>
    <row r="1742" spans="1:17" ht="13.45" customHeight="1" x14ac:dyDescent="0.2">
      <c r="F1742" s="11"/>
      <c r="M1742" s="16"/>
    </row>
    <row r="1743" spans="1:17" ht="13.45" customHeight="1" x14ac:dyDescent="0.2">
      <c r="M1743" s="16"/>
    </row>
    <row r="1744" spans="1:17" ht="13.45" customHeight="1" x14ac:dyDescent="0.2">
      <c r="M1744" s="16"/>
    </row>
    <row r="1745" spans="6:14" ht="13.45" customHeight="1" x14ac:dyDescent="0.2">
      <c r="M1745" s="27"/>
    </row>
    <row r="1746" spans="6:14" ht="13.45" customHeight="1" x14ac:dyDescent="0.2"/>
    <row r="1747" spans="6:14" ht="13.45" customHeight="1" x14ac:dyDescent="0.2"/>
    <row r="1748" spans="6:14" ht="13.45" customHeight="1" x14ac:dyDescent="0.2"/>
    <row r="1749" spans="6:14" ht="13.45" customHeight="1" x14ac:dyDescent="0.2">
      <c r="N1749" s="16"/>
    </row>
    <row r="1750" spans="6:14" ht="13.45" customHeight="1" x14ac:dyDescent="0.2"/>
    <row r="1751" spans="6:14" ht="13.45" customHeight="1" x14ac:dyDescent="0.2"/>
    <row r="1752" spans="6:14" ht="13.45" customHeight="1" x14ac:dyDescent="0.2">
      <c r="N1752" s="16"/>
    </row>
    <row r="1753" spans="6:14" ht="13.45" customHeight="1" x14ac:dyDescent="0.2"/>
    <row r="1754" spans="6:14" ht="13.45" customHeight="1" x14ac:dyDescent="0.2"/>
    <row r="1755" spans="6:14" ht="13.45" customHeight="1" x14ac:dyDescent="0.2">
      <c r="F1755" s="11"/>
    </row>
    <row r="1756" spans="6:14" ht="13.45" customHeight="1" x14ac:dyDescent="0.2">
      <c r="F1756" s="11"/>
    </row>
    <row r="1757" spans="6:14" ht="13.45" customHeight="1" x14ac:dyDescent="0.2">
      <c r="F1757" s="11"/>
    </row>
    <row r="1758" spans="6:14" ht="13.45" customHeight="1" x14ac:dyDescent="0.2">
      <c r="F1758" s="11"/>
    </row>
    <row r="1759" spans="6:14" ht="13.45" customHeight="1" x14ac:dyDescent="0.2">
      <c r="F1759" s="11"/>
    </row>
    <row r="1760" spans="6:14" ht="13.45" customHeight="1" x14ac:dyDescent="0.2">
      <c r="F1760" s="11"/>
    </row>
    <row r="1761" spans="6:14" ht="13.45" customHeight="1" x14ac:dyDescent="0.2">
      <c r="F1761" s="11"/>
      <c r="M1761" s="16"/>
    </row>
    <row r="1762" spans="6:14" ht="13.45" customHeight="1" x14ac:dyDescent="0.2">
      <c r="F1762" s="11"/>
      <c r="N1762" s="16"/>
    </row>
    <row r="1763" spans="6:14" x14ac:dyDescent="0.2">
      <c r="F1763" s="11"/>
    </row>
    <row r="1764" spans="6:14" ht="13.45" customHeight="1" x14ac:dyDescent="0.2">
      <c r="F1764" s="11"/>
    </row>
    <row r="1765" spans="6:14" ht="13.45" customHeight="1" x14ac:dyDescent="0.2">
      <c r="F1765" s="11"/>
    </row>
    <row r="1766" spans="6:14" ht="13.45" customHeight="1" x14ac:dyDescent="0.2"/>
    <row r="1767" spans="6:14" ht="13.45" customHeight="1" x14ac:dyDescent="0.2"/>
    <row r="1768" spans="6:14" ht="13.45" customHeight="1" x14ac:dyDescent="0.2"/>
    <row r="1769" spans="6:14" ht="13.45" customHeight="1" x14ac:dyDescent="0.2">
      <c r="M1769" s="16"/>
    </row>
    <row r="1770" spans="6:14" ht="13.45" customHeight="1" x14ac:dyDescent="0.2">
      <c r="M1770" s="29"/>
    </row>
    <row r="1771" spans="6:14" ht="13.45" customHeight="1" x14ac:dyDescent="0.2">
      <c r="M1771" s="28"/>
    </row>
    <row r="1772" spans="6:14" ht="13.45" customHeight="1" x14ac:dyDescent="0.2">
      <c r="M1772" s="16"/>
    </row>
    <row r="1773" spans="6:14" ht="13.45" customHeight="1" x14ac:dyDescent="0.2">
      <c r="M1773" s="16"/>
    </row>
    <row r="1774" spans="6:14" ht="13.45" customHeight="1" x14ac:dyDescent="0.2">
      <c r="M1774" s="17"/>
    </row>
    <row r="1775" spans="6:14" ht="13.45" customHeight="1" x14ac:dyDescent="0.2">
      <c r="M1775" s="17"/>
    </row>
    <row r="1776" spans="6:14" ht="13.45" customHeight="1" x14ac:dyDescent="0.2">
      <c r="M1776" s="16"/>
    </row>
    <row r="1777" spans="1:17" ht="13.45" customHeight="1" x14ac:dyDescent="0.2">
      <c r="M1777" s="16"/>
    </row>
    <row r="1778" spans="1:17" ht="13.45" customHeight="1" x14ac:dyDescent="0.2">
      <c r="A1778" s="12"/>
      <c r="B1778" s="12"/>
      <c r="C1778" s="12"/>
      <c r="D1778" s="12"/>
      <c r="E1778" s="12"/>
      <c r="F1778" s="12"/>
      <c r="G1778" s="12"/>
      <c r="H1778" s="12"/>
      <c r="I1778" s="50"/>
      <c r="J1778" s="50"/>
      <c r="K1778" s="50"/>
      <c r="L1778" s="50"/>
      <c r="M1778" s="19"/>
      <c r="N1778" s="12"/>
      <c r="O1778" s="12"/>
      <c r="P1778" s="12"/>
      <c r="Q1778" s="15"/>
    </row>
    <row r="1779" spans="1:17" ht="13.45" customHeight="1" x14ac:dyDescent="0.2">
      <c r="F1779" s="11"/>
      <c r="Q1779" s="10"/>
    </row>
    <row r="1780" spans="1:17" ht="13.45" customHeight="1" x14ac:dyDescent="0.2">
      <c r="F1780" s="11"/>
      <c r="Q1780" s="10"/>
    </row>
    <row r="1781" spans="1:17" ht="13.45" customHeight="1" x14ac:dyDescent="0.2">
      <c r="F1781" s="11"/>
      <c r="Q1781" s="10"/>
    </row>
    <row r="1782" spans="1:17" ht="13.45" customHeight="1" x14ac:dyDescent="0.2">
      <c r="F1782" s="11"/>
    </row>
    <row r="1783" spans="1:17" ht="13.45" customHeight="1" x14ac:dyDescent="0.2">
      <c r="F1783" s="11"/>
    </row>
    <row r="1784" spans="1:17" ht="13.45" customHeight="1" x14ac:dyDescent="0.2">
      <c r="F1784" s="11"/>
    </row>
    <row r="1785" spans="1:17" ht="13.45" customHeight="1" x14ac:dyDescent="0.2">
      <c r="F1785" s="11"/>
    </row>
    <row r="1786" spans="1:17" ht="13.45" customHeight="1" x14ac:dyDescent="0.2">
      <c r="F1786" s="11"/>
    </row>
    <row r="1787" spans="1:17" ht="13.45" customHeight="1" x14ac:dyDescent="0.2">
      <c r="F1787" s="11"/>
    </row>
    <row r="1788" spans="1:17" ht="13.45" customHeight="1" x14ac:dyDescent="0.2">
      <c r="F1788" s="11"/>
    </row>
    <row r="1789" spans="1:17" ht="13.45" customHeight="1" x14ac:dyDescent="0.2">
      <c r="F1789" s="11"/>
    </row>
    <row r="1790" spans="1:17" ht="13.45" customHeight="1" x14ac:dyDescent="0.2">
      <c r="F1790" s="11"/>
    </row>
    <row r="1791" spans="1:17" ht="13.45" customHeight="1" x14ac:dyDescent="0.2">
      <c r="F1791" s="11"/>
    </row>
    <row r="1792" spans="1:17" x14ac:dyDescent="0.2">
      <c r="F1792" s="11"/>
    </row>
    <row r="1793" spans="1:17" ht="13.45" customHeight="1" x14ac:dyDescent="0.2">
      <c r="F1793" s="11"/>
    </row>
    <row r="1794" spans="1:17" ht="13.45" customHeight="1" x14ac:dyDescent="0.2">
      <c r="F1794" s="11"/>
    </row>
    <row r="1795" spans="1:17" ht="13.45" customHeight="1" x14ac:dyDescent="0.2">
      <c r="F1795" s="11"/>
    </row>
    <row r="1796" spans="1:17" ht="13.45" customHeight="1" x14ac:dyDescent="0.2">
      <c r="F1796" s="11"/>
    </row>
    <row r="1797" spans="1:17" ht="13.45" customHeight="1" x14ac:dyDescent="0.2">
      <c r="F1797" s="11"/>
    </row>
    <row r="1798" spans="1:17" ht="13.45" customHeight="1" x14ac:dyDescent="0.2">
      <c r="F1798" s="11"/>
    </row>
    <row r="1799" spans="1:17" ht="13.45" customHeight="1" x14ac:dyDescent="0.2">
      <c r="F1799" s="11"/>
    </row>
    <row r="1800" spans="1:17" ht="13.45" customHeight="1" x14ac:dyDescent="0.2">
      <c r="F1800" s="11"/>
    </row>
    <row r="1801" spans="1:17" ht="13.45" customHeight="1" x14ac:dyDescent="0.2">
      <c r="F1801" s="11"/>
    </row>
    <row r="1802" spans="1:17" ht="13.45" customHeight="1" x14ac:dyDescent="0.2">
      <c r="F1802" s="11"/>
    </row>
    <row r="1803" spans="1:17" ht="13.45" customHeight="1" x14ac:dyDescent="0.2">
      <c r="F1803" s="11"/>
    </row>
    <row r="1804" spans="1:17" ht="13.45" customHeight="1" x14ac:dyDescent="0.2">
      <c r="F1804" s="11"/>
    </row>
    <row r="1805" spans="1:17" ht="13.45" customHeight="1" x14ac:dyDescent="0.2">
      <c r="F1805" s="11"/>
    </row>
    <row r="1806" spans="1:17" ht="13.45" customHeight="1" x14ac:dyDescent="0.2">
      <c r="F1806" s="11"/>
    </row>
    <row r="1807" spans="1:17" ht="13.45" customHeight="1" x14ac:dyDescent="0.2">
      <c r="F1807" s="11"/>
    </row>
    <row r="1808" spans="1:17" ht="13.45" customHeight="1" x14ac:dyDescent="0.2">
      <c r="A1808" s="12"/>
      <c r="B1808" s="12"/>
      <c r="C1808" s="12"/>
      <c r="D1808" s="12"/>
      <c r="E1808" s="12"/>
      <c r="F1808" s="15"/>
      <c r="G1808" s="12"/>
      <c r="H1808" s="12"/>
      <c r="I1808" s="50"/>
      <c r="J1808" s="50"/>
      <c r="K1808" s="50"/>
      <c r="L1808" s="50"/>
      <c r="M1808" s="31"/>
      <c r="N1808" s="12"/>
      <c r="O1808" s="12"/>
      <c r="P1808" s="12"/>
      <c r="Q1808" s="15"/>
    </row>
    <row r="1809" spans="1:17" ht="13.45" customHeight="1" x14ac:dyDescent="0.2">
      <c r="Q1809" s="10"/>
    </row>
    <row r="1810" spans="1:17" ht="13.45" customHeight="1" x14ac:dyDescent="0.2">
      <c r="L1810" s="167"/>
      <c r="Q1810" s="10"/>
    </row>
    <row r="1811" spans="1:17" ht="13.45" customHeight="1" x14ac:dyDescent="0.2">
      <c r="Q1811" s="10"/>
    </row>
    <row r="1812" spans="1:17" ht="13.45" customHeight="1" x14ac:dyDescent="0.2">
      <c r="F1812" s="9"/>
      <c r="Q1812" s="10"/>
    </row>
    <row r="1813" spans="1:17" ht="13.45" customHeight="1" x14ac:dyDescent="0.2">
      <c r="F1813" s="9"/>
      <c r="Q1813" s="10"/>
    </row>
    <row r="1814" spans="1:17" ht="13.45" customHeight="1" x14ac:dyDescent="0.2">
      <c r="F1814" s="9"/>
    </row>
    <row r="1815" spans="1:17" ht="13.45" customHeight="1" x14ac:dyDescent="0.2">
      <c r="F1815" s="9"/>
    </row>
    <row r="1816" spans="1:17" ht="13.45" customHeight="1" x14ac:dyDescent="0.2">
      <c r="F1816" s="9"/>
    </row>
    <row r="1817" spans="1:17" ht="13.45" customHeight="1" x14ac:dyDescent="0.2">
      <c r="F1817" s="9"/>
    </row>
    <row r="1818" spans="1:17" ht="13.45" customHeight="1" x14ac:dyDescent="0.2">
      <c r="F1818" s="9"/>
    </row>
    <row r="1819" spans="1:17" ht="13.45" customHeight="1" x14ac:dyDescent="0.2">
      <c r="A1819" s="12"/>
      <c r="B1819" s="12"/>
      <c r="C1819" s="12"/>
      <c r="D1819" s="12"/>
      <c r="E1819" s="12"/>
      <c r="F1819" s="30"/>
      <c r="G1819" s="12"/>
      <c r="H1819" s="12"/>
      <c r="I1819" s="50"/>
      <c r="J1819" s="50"/>
      <c r="K1819" s="50"/>
      <c r="L1819" s="50"/>
      <c r="M1819" s="12"/>
      <c r="N1819" s="12"/>
      <c r="O1819" s="12"/>
      <c r="P1819" s="12"/>
      <c r="Q1819" s="15"/>
    </row>
    <row r="1820" spans="1:17" ht="13.45" customHeight="1" x14ac:dyDescent="0.2">
      <c r="F1820" s="9"/>
    </row>
    <row r="1821" spans="1:17" ht="13.45" customHeight="1" x14ac:dyDescent="0.2">
      <c r="A1821" s="12"/>
      <c r="B1821" s="12"/>
      <c r="C1821" s="12"/>
      <c r="D1821" s="12"/>
      <c r="E1821" s="12"/>
      <c r="F1821" s="30"/>
      <c r="G1821" s="12"/>
      <c r="H1821" s="12"/>
      <c r="I1821" s="50"/>
      <c r="J1821" s="50"/>
      <c r="K1821" s="50"/>
      <c r="L1821" s="50"/>
      <c r="M1821" s="12"/>
      <c r="N1821" s="12"/>
      <c r="O1821" s="12"/>
      <c r="P1821" s="12"/>
      <c r="Q1821" s="15"/>
    </row>
    <row r="1822" spans="1:17" ht="13.45" customHeight="1" x14ac:dyDescent="0.2">
      <c r="F1822" s="9"/>
      <c r="L1822" s="167"/>
      <c r="M1822" s="16"/>
      <c r="N1822" s="16"/>
    </row>
    <row r="1823" spans="1:17" ht="13.45" customHeight="1" x14ac:dyDescent="0.2">
      <c r="F1823" s="9"/>
    </row>
    <row r="1824" spans="1:17" ht="13.45" customHeight="1" x14ac:dyDescent="0.2">
      <c r="F1824" s="9"/>
    </row>
    <row r="1825" spans="1:17" ht="13.45" customHeight="1" x14ac:dyDescent="0.2">
      <c r="F1825" s="9"/>
    </row>
    <row r="1826" spans="1:17" ht="13.45" customHeight="1" x14ac:dyDescent="0.2">
      <c r="F1826" s="9"/>
    </row>
    <row r="1827" spans="1:17" ht="13.45" customHeight="1" x14ac:dyDescent="0.2">
      <c r="F1827" s="9"/>
    </row>
    <row r="1828" spans="1:17" ht="13.45" customHeight="1" x14ac:dyDescent="0.2">
      <c r="F1828" s="9"/>
    </row>
    <row r="1829" spans="1:17" ht="13.45" customHeight="1" x14ac:dyDescent="0.2">
      <c r="F1829" s="9"/>
    </row>
    <row r="1830" spans="1:17" ht="13.45" customHeight="1" x14ac:dyDescent="0.2">
      <c r="F1830" s="9"/>
    </row>
    <row r="1831" spans="1:17" ht="13.45" customHeight="1" x14ac:dyDescent="0.2">
      <c r="F1831" s="9"/>
      <c r="N1831" s="16"/>
    </row>
    <row r="1832" spans="1:17" ht="13.45" customHeight="1" x14ac:dyDescent="0.2">
      <c r="F1832" s="9"/>
    </row>
    <row r="1833" spans="1:17" ht="13.45" customHeight="1" x14ac:dyDescent="0.2">
      <c r="F1833" s="9"/>
    </row>
    <row r="1834" spans="1:17" ht="13.45" customHeight="1" x14ac:dyDescent="0.2">
      <c r="F1834" s="9"/>
    </row>
    <row r="1835" spans="1:17" ht="13.45" customHeight="1" x14ac:dyDescent="0.2">
      <c r="M1835" s="16"/>
    </row>
    <row r="1836" spans="1:17" ht="13.45" customHeight="1" x14ac:dyDescent="0.2">
      <c r="M1836" s="16"/>
    </row>
    <row r="1837" spans="1:17" ht="13.45" customHeight="1" x14ac:dyDescent="0.2">
      <c r="A1837" s="12"/>
      <c r="B1837" s="12"/>
      <c r="C1837" s="12"/>
      <c r="D1837" s="12"/>
      <c r="E1837" s="12"/>
      <c r="F1837" s="12"/>
      <c r="G1837" s="12"/>
      <c r="H1837" s="12"/>
      <c r="I1837" s="50"/>
      <c r="J1837" s="50"/>
      <c r="K1837" s="50"/>
      <c r="L1837" s="50"/>
      <c r="M1837" s="12"/>
      <c r="N1837" s="12"/>
      <c r="O1837" s="12"/>
      <c r="P1837" s="12"/>
      <c r="Q1837" s="15"/>
    </row>
    <row r="1838" spans="1:17" ht="13.45" customHeight="1" x14ac:dyDescent="0.2"/>
    <row r="1839" spans="1:17" ht="13.45" customHeight="1" x14ac:dyDescent="0.25">
      <c r="A1839" s="37"/>
    </row>
    <row r="1840" spans="1:17" ht="13.45" customHeight="1" x14ac:dyDescent="0.2"/>
    <row r="1841" spans="12:16" ht="13.45" customHeight="1" x14ac:dyDescent="0.2">
      <c r="P1841" s="38"/>
    </row>
    <row r="1842" spans="12:16" ht="13.45" customHeight="1" x14ac:dyDescent="0.2">
      <c r="P1842" s="38"/>
    </row>
    <row r="1843" spans="12:16" ht="13.45" customHeight="1" x14ac:dyDescent="0.2">
      <c r="L1843" s="205"/>
      <c r="P1843" s="38"/>
    </row>
    <row r="1844" spans="12:16" ht="13.45" customHeight="1" x14ac:dyDescent="0.2"/>
    <row r="1845" spans="12:16" ht="13.45" customHeight="1" x14ac:dyDescent="0.2"/>
    <row r="1846" spans="12:16" ht="13.45" customHeight="1" x14ac:dyDescent="0.2"/>
    <row r="1847" spans="12:16" ht="13.45" customHeight="1" x14ac:dyDescent="0.2"/>
    <row r="1848" spans="12:16" ht="13.45" customHeight="1" x14ac:dyDescent="0.2"/>
    <row r="1849" spans="12:16" ht="13.45" customHeight="1" x14ac:dyDescent="0.2"/>
    <row r="1850" spans="12:16" ht="13.45" customHeight="1" x14ac:dyDescent="0.2"/>
    <row r="1851" spans="12:16" ht="13.45" customHeight="1" x14ac:dyDescent="0.2"/>
    <row r="1852" spans="12:16" ht="13.45" customHeight="1" x14ac:dyDescent="0.2"/>
    <row r="1853" spans="12:16" ht="13.45" customHeight="1" x14ac:dyDescent="0.2"/>
    <row r="1854" spans="12:16" ht="13.45" customHeight="1" x14ac:dyDescent="0.2"/>
    <row r="1855" spans="12:16" ht="13.45" customHeight="1" x14ac:dyDescent="0.2"/>
    <row r="1856" spans="12:16" ht="13.45" customHeight="1" x14ac:dyDescent="0.2"/>
    <row r="1857" ht="13.45" customHeight="1" x14ac:dyDescent="0.2"/>
  </sheetData>
  <autoFilter ref="A1:R1698"/>
  <customSheetViews>
    <customSheetView guid="{9E1FDF60-6EDD-426D-BEDD-EF1B7062BA4A}" scale="80" showAutoFilter="1">
      <pane xSplit="2" ySplit="1" topLeftCell="N1589" activePane="bottomRight" state="frozen"/>
      <selection pane="bottomRight" activeCell="S1617" sqref="S1617"/>
      <pageMargins left="0" right="0" top="0" bottom="0" header="0" footer="0"/>
      <pageSetup paperSize="9" orientation="portrait" r:id="rId1"/>
      <autoFilter ref="A1:AF1711"/>
    </customSheetView>
  </customSheetViews>
  <phoneticPr fontId="19" type="noConversion"/>
  <dataValidations count="2">
    <dataValidation type="list" allowBlank="1" showInputMessage="1" showErrorMessage="1" sqref="C1829:C1839">
      <formula1>Grant_Loan__including_interest_free_loans</formula1>
    </dataValidation>
    <dataValidation allowBlank="1" showInputMessage="1" sqref="Q1429:Q1431 M1445:M1459 F1429:F1441 A1429:B1479 M1429:N1444 L1429:L1435 P1429:P1479"/>
  </dataValidations>
  <hyperlinks>
    <hyperlink ref="N11" r:id="rId2"/>
    <hyperlink ref="M12" r:id="rId3"/>
    <hyperlink ref="M15" r:id="rId4"/>
    <hyperlink ref="M36" r:id="rId5"/>
    <hyperlink ref="M37" r:id="rId6"/>
    <hyperlink ref="L38" r:id="rId7" display="https://budget.gov.au/2021-22/content/download/glossy_jobs.pdf"/>
    <hyperlink ref="M38" r:id="rId8"/>
    <hyperlink ref="M6" r:id="rId9"/>
    <hyperlink ref="M226" r:id="rId10"/>
    <hyperlink ref="M227" r:id="rId11"/>
    <hyperlink ref="M228" r:id="rId12"/>
    <hyperlink ref="N233" r:id="rId13"/>
    <hyperlink ref="N236" r:id="rId14"/>
    <hyperlink ref="M245" display="https://web.archive.org/save/, https://www.bndes.gov.br/wps/portal/site/home/imprensa/noticias/conteudo/bndes-fecha-com-bancos-a-operacao-da-conta-covid-destinada-ao-setor-eletrico/!ut/p/z1/xVTBcpswFPyWHDjKUpAo0BuTYLs1rqdt3AQuHiEJUGskImRo_77C9aGTqZ3ppJlyg"/>
    <hyperlink ref="N246" r:id="rId15" display="http://www.mme.gov.br/web/guest/todas-as-noticias/-/asset_publisher/pdAS9IcdBICN/content/73-leilao-de-biodiesel-negocia-1-19-bilhao-de-litros?inheritRedirect=false&amp;redirect="/>
    <hyperlink ref="M253" r:id="rId16"/>
    <hyperlink ref="M255" r:id="rId17" display="https://antigo.mma.gov.br/agenda-ambiental-urbana/res%C3%ADduos-s%C3%B3lidos.html"/>
    <hyperlink ref="M256" r:id="rId18" location=":~:text=O%20presidente%20Jair%20Bolsonaro%20sancionou,em%20troca%20do%20bem%20preservado."/>
    <hyperlink ref="M257" r:id="rId19"/>
    <hyperlink ref="M260" r:id="rId20"/>
    <hyperlink ref="M254" r:id="rId21"/>
    <hyperlink ref="M224" r:id="rId22"/>
    <hyperlink ref="M216" r:id="rId23"/>
    <hyperlink ref="M262" r:id="rId24" location=":~:text=Estabelece%20os%20crit%C3%A9rios%20e%20condi%C3%A7%C3%B5es,de%20novos%20empreendimentos%20de%20gera%C3%A7%C3%A3o. (accessed 4/3/2021)"/>
    <hyperlink ref="M264" r:id="rId25" display="https://www.gov.br/mme/pt-br/assuntos/noticias/mme-estabelece-diretrizes-para-leiloes-de-compra-de-energia-eletri"/>
    <hyperlink ref="M263" r:id="rId26"/>
    <hyperlink ref="M265" display="http://www.aneel.gov.br/sala-de-imprensa-exibicao-2/-/asset_publisher/zXQREz8EVlZ6/content/aneel-conclui-maior-leilao-de-infraestrutura-do-brasil-em-2020-com-cerca-de-r-7-34-bilhoes-em-investimentos/656877?inheritRedirect=false&amp;redirect=, http%3A%2F%2Fwww"/>
    <hyperlink ref="M268" r:id="rId27" display="http://antigo.mme.gov.br/documents/36074/1045888/Resolu%C3%A7%C3%A3o+CNPE+N%C2%BA+9_2020.pdf/0635580f-73bf-038c-ee6c-7e8f6810d91c"/>
    <hyperlink ref="M269" r:id="rId28"/>
    <hyperlink ref="M273" r:id="rId29"/>
    <hyperlink ref="M274" r:id="rId30"/>
    <hyperlink ref="M275" r:id="rId31"/>
    <hyperlink ref="M276" r:id="rId32"/>
    <hyperlink ref="M277" r:id="rId33"/>
    <hyperlink ref="M278" r:id="rId34"/>
    <hyperlink ref="M279" r:id="rId35" display="https://www.in.gov.br/web/dou/-/lei-n-14.182-de-12-de-julho-de-2021-331549377"/>
    <hyperlink ref="N280" r:id="rId36"/>
    <hyperlink ref="M354" r:id="rId37"/>
    <hyperlink ref="N367" r:id="rId38"/>
    <hyperlink ref="N333" r:id="rId39"/>
    <hyperlink ref="N372" r:id="rId40"/>
    <hyperlink ref="N373" r:id="rId41"/>
    <hyperlink ref="N376" r:id="rId42"/>
    <hyperlink ref="N388" r:id="rId43"/>
    <hyperlink ref="N393" r:id="rId44"/>
    <hyperlink ref="N394" r:id="rId45"/>
    <hyperlink ref="N396" r:id="rId46"/>
    <hyperlink ref="N397" r:id="rId47"/>
    <hyperlink ref="N398" r:id="rId48"/>
    <hyperlink ref="N400" r:id="rId49"/>
    <hyperlink ref="N402" r:id="rId50"/>
    <hyperlink ref="N405" r:id="rId51"/>
    <hyperlink ref="N406" r:id="rId52"/>
    <hyperlink ref="N410" r:id="rId53"/>
    <hyperlink ref="N415" r:id="rId54"/>
    <hyperlink ref="N433" r:id="rId55"/>
    <hyperlink ref="N437" r:id="rId56"/>
    <hyperlink ref="N439" r:id="rId57"/>
    <hyperlink ref="N370" r:id="rId58"/>
    <hyperlink ref="N395" r:id="rId59"/>
    <hyperlink ref="M444" r:id="rId60"/>
    <hyperlink ref="M476" r:id="rId61"/>
    <hyperlink ref="M475" r:id="rId62"/>
    <hyperlink ref="N474" r:id="rId63"/>
    <hyperlink ref="M477" r:id="rId64"/>
    <hyperlink ref="N477" r:id="rId65"/>
    <hyperlink ref="M506" r:id="rId66" display="https://compromisoporcolombia.gov.co/"/>
    <hyperlink ref="M487" r:id="rId67" display="https://compromisoporcolombia.gov.co/"/>
    <hyperlink ref="N505" r:id="rId68"/>
    <hyperlink ref="N503" r:id="rId69"/>
    <hyperlink ref="N481" r:id="rId70"/>
    <hyperlink ref="N494" r:id="rId71"/>
    <hyperlink ref="M489" r:id="rId72"/>
    <hyperlink ref="N489" r:id="rId73"/>
    <hyperlink ref="M502" r:id="rId74"/>
    <hyperlink ref="N501" r:id="rId75" display="https://www.mincit.gov.co/prensa/noticias/documentos-noticias/ley-2068-del-31-de-diciembre-de-2020.aspx"/>
    <hyperlink ref="M501" r:id="rId76" display="https://coronaviruscolombia.gov.co/Covid19/acciones/acciones-de-turismo.html"/>
    <hyperlink ref="N482" r:id="rId77" display="https://coronaviruscolombia.gov.co/Covid19/acciones/acciones-de-economia.html"/>
    <hyperlink ref="M500" r:id="rId78" display="https://coronaviruscolombia.gov.co/Covid19/acciones/acciones-de-economia.html"/>
    <hyperlink ref="M494" r:id="rId79"/>
    <hyperlink ref="N480" r:id="rId80"/>
    <hyperlink ref="M478" r:id="rId81"/>
    <hyperlink ref="M480" r:id="rId82"/>
    <hyperlink ref="N499" r:id="rId83"/>
    <hyperlink ref="N498" r:id="rId84"/>
    <hyperlink ref="N496" r:id="rId85" display="https://recovery.smithschool.ox.ac.uk/tracking/"/>
    <hyperlink ref="M497" r:id="rId86"/>
    <hyperlink ref="M496" r:id="rId87"/>
    <hyperlink ref="M488" r:id="rId88"/>
    <hyperlink ref="N488" r:id="rId89"/>
    <hyperlink ref="M515" r:id="rId90"/>
    <hyperlink ref="M516" r:id="rId91" location="U"/>
    <hyperlink ref="M517" r:id="rId92"/>
    <hyperlink ref="M523" r:id="rId93" display="http://www.planobnovycr.cz/"/>
    <hyperlink ref="M524" r:id="rId94" display="http://www.planobnovycr.cz/"/>
    <hyperlink ref="M525" r:id="rId95" display="http://www.planobnovycr.cz/"/>
    <hyperlink ref="M526" r:id="rId96" display="http://www.planobnovycr.cz/"/>
    <hyperlink ref="M527" r:id="rId97" display="http://www.planobnovycr.cz/"/>
    <hyperlink ref="M528" r:id="rId98" display="http://www.planobnovycr.cz/"/>
    <hyperlink ref="M529" r:id="rId99" display="http://www.planobnovycr.cz/"/>
    <hyperlink ref="M530" r:id="rId100" display="http://www.planobnovycr.cz/"/>
    <hyperlink ref="M531" r:id="rId101"/>
    <hyperlink ref="M532" r:id="rId102"/>
    <hyperlink ref="M533" r:id="rId103"/>
    <hyperlink ref="M534" r:id="rId104"/>
    <hyperlink ref="M535" r:id="rId105"/>
    <hyperlink ref="M536" r:id="rId106"/>
    <hyperlink ref="M537" r:id="rId107"/>
    <hyperlink ref="M538" r:id="rId108"/>
    <hyperlink ref="M539" r:id="rId109"/>
    <hyperlink ref="M540" r:id="rId110"/>
    <hyperlink ref="M541" r:id="rId111"/>
    <hyperlink ref="M519" r:id="rId112"/>
    <hyperlink ref="M520" r:id="rId113"/>
    <hyperlink ref="M521" r:id="rId114"/>
    <hyperlink ref="M522" r:id="rId115"/>
    <hyperlink ref="M546" r:id="rId116"/>
    <hyperlink ref="N544" r:id="rId117"/>
    <hyperlink ref="N545" r:id="rId118"/>
    <hyperlink ref="M543" r:id="rId119"/>
    <hyperlink ref="M542" r:id="rId120"/>
    <hyperlink ref="M548" r:id="rId121"/>
    <hyperlink ref="M549:M551" r:id="rId122" display="https://www.bundesfinanzministerium.de/Content/DE/Standardartikel/Themen/Schlaglichter/Konjunkturpaket/2020-06-03-eckpunktepapier.pdf?__blob=publicationFile"/>
    <hyperlink ref="N547" r:id="rId123"/>
    <hyperlink ref="M552:M555" r:id="rId124" display="https://www.bundesfinanzministerium.de/Content/DE/Standardartikel/Themen/Schlaglichter/Konjunkturpaket/2020-06-03-eckpunktepapier.pdf?__blob=publicationFile"/>
    <hyperlink ref="M556" r:id="rId125"/>
    <hyperlink ref="M562" r:id="rId126"/>
    <hyperlink ref="N560" r:id="rId127"/>
    <hyperlink ref="N561" r:id="rId128"/>
    <hyperlink ref="N562" r:id="rId129"/>
    <hyperlink ref="M545" r:id="rId130"/>
    <hyperlink ref="M547" r:id="rId131"/>
    <hyperlink ref="M544" r:id="rId132"/>
    <hyperlink ref="M580" r:id="rId133"/>
    <hyperlink ref="M581" r:id="rId134"/>
    <hyperlink ref="M582" r:id="rId135"/>
    <hyperlink ref="M583" r:id="rId136"/>
    <hyperlink ref="M584" r:id="rId137"/>
    <hyperlink ref="M616" r:id="rId138"/>
    <hyperlink ref="M615" r:id="rId139"/>
    <hyperlink ref="M614" r:id="rId140" display="https://www.xunta.gal/notas-de-prensa/-/nova/54020/xunta-licita-senda-peatonal-ciclista-carretera-531-lugar-devesa-ayuntamiento?langId=es_ES"/>
    <hyperlink ref="M618" r:id="rId141"/>
    <hyperlink ref="M617" r:id="rId142"/>
    <hyperlink ref="M620" r:id="rId143"/>
    <hyperlink ref="M621" r:id="rId144"/>
    <hyperlink ref="M619" r:id="rId145"/>
    <hyperlink ref="M622" r:id="rId146"/>
    <hyperlink ref="M623" r:id="rId147"/>
    <hyperlink ref="M624" r:id="rId148"/>
    <hyperlink ref="M625" r:id="rId149" display="https://www.lamoncloa.gob.es/temas/fondos-recuperacion/Documents/160621-Plan_Recuperacion_Transformacion_Resiliencia.pdf page 146)"/>
    <hyperlink ref="M626" r:id="rId150"/>
    <hyperlink ref="M627" r:id="rId151"/>
    <hyperlink ref="M628" r:id="rId152"/>
    <hyperlink ref="M629" r:id="rId153"/>
    <hyperlink ref="M630" r:id="rId154" display="https://www.lamoncloa.gob.es/temas/fondos-recuperacion/Documents/160621-Plan_Recuperacion_Transformacion_Resiliencia.pdf page 148) content/EN/TXT/PDF/?uri=CELEX:52021SC0147&amp;from=EN"/>
    <hyperlink ref="M631" r:id="rId155"/>
    <hyperlink ref="M632" r:id="rId156"/>
    <hyperlink ref="M633" r:id="rId157"/>
    <hyperlink ref="M634" r:id="rId158"/>
    <hyperlink ref="M635" r:id="rId159"/>
    <hyperlink ref="M636" r:id="rId160" display="https://www.lamoncloa.gob.es/temas/fondos-recuperacion/Documents/160621-Plan_Recuperacion_Transformacion_Resiliencia.pdf page 150)"/>
    <hyperlink ref="M637" r:id="rId161" display="https://www.lamoncloa.gob.es/temas/fondos-recuperacion/Documents/160621-Plan_Recuperacion_Transformacion_Resiliencia.pdf page 150)"/>
    <hyperlink ref="M640" r:id="rId162"/>
    <hyperlink ref="M641" r:id="rId163"/>
    <hyperlink ref="M642" r:id="rId164"/>
    <hyperlink ref="M638" r:id="rId165"/>
    <hyperlink ref="M639" r:id="rId166"/>
    <hyperlink ref="M643" r:id="rId167" display="https://www.lamoncloa.gob.es/temas/fondos-recuperacion/Documents/160621-Plan_Recuperacion_Transformacion_Resiliencia.pdf (pag 152)"/>
    <hyperlink ref="M644" r:id="rId168"/>
    <hyperlink ref="M645" r:id="rId169"/>
    <hyperlink ref="M646" r:id="rId170"/>
    <hyperlink ref="M647" r:id="rId171"/>
    <hyperlink ref="M648" r:id="rId172" display="https://www.lamoncloa.gob.es/temas/fondos-recuperacion/Documents/160621-Plan_Recuperacion_Transformacion_Resiliencia.pdf (pag 153)"/>
    <hyperlink ref="M649" r:id="rId173"/>
    <hyperlink ref="M650" r:id="rId174"/>
    <hyperlink ref="M651" r:id="rId175"/>
    <hyperlink ref="M652" r:id="rId176" display="https://www.lamoncloa.gob.es/temas/fondos-recuperacion/Documents/160621-Plan_Recuperacion_Transformacion_Resiliencia.pdf (pag 156) "/>
    <hyperlink ref="N674" r:id="rId177"/>
    <hyperlink ref="M675" r:id="rId178"/>
    <hyperlink ref="N675" r:id="rId179" location="liquid-fuels-and-electricity"/>
    <hyperlink ref="M674" r:id="rId180"/>
    <hyperlink ref="M686" r:id="rId181"/>
    <hyperlink ref="M687" r:id="rId182"/>
    <hyperlink ref="M715" r:id="rId183"/>
    <hyperlink ref="M709" r:id="rId184"/>
    <hyperlink ref="M718" r:id="rId185"/>
    <hyperlink ref="M717" r:id="rId186"/>
    <hyperlink ref="M723" r:id="rId187"/>
    <hyperlink ref="N730" r:id="rId188"/>
    <hyperlink ref="N729" r:id="rId189"/>
    <hyperlink ref="M742" r:id="rId190"/>
    <hyperlink ref="M769" r:id="rId191"/>
    <hyperlink ref="M784" r:id="rId192"/>
    <hyperlink ref="M798" r:id="rId193"/>
    <hyperlink ref="M787" r:id="rId194"/>
    <hyperlink ref="M796" r:id="rId195"/>
    <hyperlink ref="M794" r:id="rId196"/>
    <hyperlink ref="M844" r:id="rId197"/>
    <hyperlink ref="M845" r:id="rId198" tooltip="https://assets.publishing.service.gov.uk/government/uploads/system/uploads/attachment_data/file/966868/budget_2021_-_web.pdf"/>
    <hyperlink ref="M846" r:id="rId199" tooltip="https://assets.publishing.service.gov.uk/government/uploads/system/uploads/attachment_data/file/966868/budget_2021_-_web.pdf"/>
    <hyperlink ref="M847" r:id="rId200" tooltip="https://assets.publishing.service.gov.uk/government/uploads/system/uploads/attachment_data/file/966868/budget_2021_-_web.pdf"/>
    <hyperlink ref="M848" r:id="rId201"/>
    <hyperlink ref="M800" r:id="rId202"/>
    <hyperlink ref="M788" r:id="rId203"/>
    <hyperlink ref="N786" r:id="rId204"/>
    <hyperlink ref="M795" r:id="rId205"/>
    <hyperlink ref="M808" r:id="rId206"/>
    <hyperlink ref="M839" r:id="rId207"/>
    <hyperlink ref="M861" r:id="rId208"/>
    <hyperlink ref="M863" r:id="rId209"/>
    <hyperlink ref="M864" r:id="rId210"/>
    <hyperlink ref="M865" r:id="rId211"/>
    <hyperlink ref="M866" r:id="rId212"/>
    <hyperlink ref="M867" r:id="rId213"/>
    <hyperlink ref="M868" r:id="rId214"/>
    <hyperlink ref="M870" r:id="rId215"/>
    <hyperlink ref="M871" r:id="rId216"/>
    <hyperlink ref="M872" r:id="rId217"/>
    <hyperlink ref="M878" r:id="rId218"/>
    <hyperlink ref="M881" r:id="rId219"/>
    <hyperlink ref="M957" r:id="rId220"/>
    <hyperlink ref="M958" r:id="rId221"/>
    <hyperlink ref="M965" r:id="rId222"/>
    <hyperlink ref="M967" r:id="rId223"/>
    <hyperlink ref="M964" r:id="rId224"/>
    <hyperlink ref="M966" r:id="rId225"/>
    <hyperlink ref="M986" r:id="rId226" display="../ECO-ENV.xlsx?d=w2b9f105b27e04485899c65e83a6166dc"/>
    <hyperlink ref="M1004" r:id="rId227"/>
    <hyperlink ref="N1006" r:id="rId228"/>
    <hyperlink ref="M1008" r:id="rId229"/>
    <hyperlink ref="M1009" r:id="rId230"/>
    <hyperlink ref="M1012" r:id="rId231"/>
    <hyperlink ref="M1011" r:id="rId232"/>
    <hyperlink ref="M1016" r:id="rId233"/>
    <hyperlink ref="N1016" r:id="rId234"/>
    <hyperlink ref="M1051" r:id="rId235" location="the-plan" display="https://www.gov.ie/en/publication/49b23-overview-of-economic-recovery-plan-2021/#the-plan"/>
    <hyperlink ref="M1037" r:id="rId236" display="https://www.gov.ie/en/publication/d4939-national-recovery-and-resilience-plan-2021/"/>
    <hyperlink ref="M1047" r:id="rId237"/>
    <hyperlink ref="M1049" r:id="rId238"/>
    <hyperlink ref="M1040" r:id="rId239"/>
    <hyperlink ref="M1014" r:id="rId240"/>
    <hyperlink ref="M1026" r:id="rId241"/>
    <hyperlink ref="M1032" r:id="rId242"/>
    <hyperlink ref="M1039" r:id="rId243" display="https://globalambition.ie/climate-action-boosting-low-carbon-agendas/"/>
    <hyperlink ref="M1034" r:id="rId244"/>
    <hyperlink ref="N1058" r:id="rId245" location="Tab5"/>
    <hyperlink ref="M1061" r:id="rId246"/>
    <hyperlink ref="M1060" r:id="rId247"/>
    <hyperlink ref="M1212" r:id="rId248"/>
    <hyperlink ref="M1213" r:id="rId249"/>
    <hyperlink ref="M1214" r:id="rId250"/>
    <hyperlink ref="M1215" r:id="rId251"/>
    <hyperlink ref="M1216" r:id="rId252"/>
    <hyperlink ref="M1217" r:id="rId253"/>
    <hyperlink ref="M1218" r:id="rId254"/>
    <hyperlink ref="M1219" r:id="rId255"/>
    <hyperlink ref="M1220" r:id="rId256"/>
    <hyperlink ref="M1211" r:id="rId257" display="https://www5.cao.go.jp/keizai1/keizaitaisaku/2020-2/20201208_economic_measures.pdf"/>
    <hyperlink ref="N1211" r:id="rId258"/>
    <hyperlink ref="M1223" r:id="rId259"/>
    <hyperlink ref="M1235" r:id="rId260"/>
    <hyperlink ref="M1242" r:id="rId261" display="../../../OECD staff contribute/ENV-OECDall-workspace/FOR COMMENTS/22-06-21 Draft G20 FFS report.docx"/>
    <hyperlink ref="M1236" r:id="rId262"/>
    <hyperlink ref="M1240" r:id="rId263"/>
    <hyperlink ref="M1241" r:id="rId264"/>
    <hyperlink ref="M1245" r:id="rId265" location="L"/>
    <hyperlink ref="M1243" r:id="rId266" location="L"/>
    <hyperlink ref="M1246" r:id="rId267" location="L"/>
    <hyperlink ref="N1245" r:id="rId268"/>
    <hyperlink ref="N1246" r:id="rId269"/>
    <hyperlink ref="M1281" r:id="rId270" display="https://mfin.gouvernement.lu/fr/dossiers/2021/planderelance.html (p.18)"/>
    <hyperlink ref="M1283:M1284" r:id="rId271" display="https://mfin.gouvernement.lu/fr/dossiers/2021/planderelance.html (p.18)"/>
    <hyperlink ref="M1282" r:id="rId272" display="https://mfin.gouvernement.lu/fr/dossiers/2021/planderelance.html (p.18)"/>
    <hyperlink ref="N1286" r:id="rId273" display="https://m.likumi.lv/ta/id/315751-par-atbalstitajiem-pasvaldibu-investiciju-projektiem-valsts-aizdevumu-pieskirsanai-arkartejas-situacijas-ietekmes-mazinasanai-un-noversanai-saistiba-ar-covid-19-izplatibu"/>
    <hyperlink ref="N1287" r:id="rId274"/>
    <hyperlink ref="M1289" r:id="rId275"/>
    <hyperlink ref="M1290" r:id="rId276"/>
    <hyperlink ref="M1291" r:id="rId277"/>
    <hyperlink ref="N1289" r:id="rId278" display="https://www.greenrecoverytracker.org/country-reports/latvia"/>
    <hyperlink ref="N1290" r:id="rId279" display="https://www.greenrecoverytracker.org/country-reports/latvia"/>
    <hyperlink ref="N1291" r:id="rId280" display="https://www.greenrecoverytracker.org/country-reports/latvia"/>
    <hyperlink ref="M1287" r:id="rId281"/>
    <hyperlink ref="M1301" r:id="rId282"/>
    <hyperlink ref="N1307" r:id="rId283"/>
    <hyperlink ref="M1302" r:id="rId284"/>
    <hyperlink ref="M1316" r:id="rId285"/>
    <hyperlink ref="N1324" r:id="rId286"/>
    <hyperlink ref="M1325" r:id="rId287"/>
    <hyperlink ref="M1321" r:id="rId288"/>
    <hyperlink ref="M1315" r:id="rId289"/>
    <hyperlink ref="M1322" r:id="rId290"/>
    <hyperlink ref="M1326" r:id="rId291"/>
    <hyperlink ref="M1327" r:id="rId292"/>
    <hyperlink ref="M1346" r:id="rId293"/>
    <hyperlink ref="M1349" r:id="rId294"/>
    <hyperlink ref="M1333" r:id="rId295"/>
    <hyperlink ref="M1358" r:id="rId296"/>
    <hyperlink ref="M1377" r:id="rId297"/>
    <hyperlink ref="N1377" r:id="rId298" display="https://dziennikustaw.gov.pl/D2020000069501.pdfhttps://wyborcza.pl/7,155287,25821533,sa-juz-gotowe-projekty-ustaw-o-pomocy-pracownikom-i-firmom.html"/>
    <hyperlink ref="N1388" r:id="rId299"/>
    <hyperlink ref="M1387" r:id="rId300"/>
    <hyperlink ref="M1393" r:id="rId301"/>
    <hyperlink ref="M1394" r:id="rId302"/>
    <hyperlink ref="M1395" r:id="rId303"/>
    <hyperlink ref="M1399" r:id="rId304"/>
    <hyperlink ref="M1400" r:id="rId305"/>
    <hyperlink ref="M1402" r:id="rId306"/>
    <hyperlink ref="M1403" r:id="rId307"/>
    <hyperlink ref="M1404" r:id="rId308"/>
    <hyperlink ref="M1405" r:id="rId309"/>
    <hyperlink ref="L1406" r:id="rId310" display="http://nfosigw.gov.pl/o-nfosigw/aktualnosci/art,1697,wsparcie-nfosigw-na-modernizacje-oswietlenia-zewnetrznego-w-pieciu-wojewodztwach.html"/>
    <hyperlink ref="N1406" r:id="rId311"/>
    <hyperlink ref="M1406" r:id="rId312"/>
    <hyperlink ref="M1407" r:id="rId313"/>
    <hyperlink ref="M1408" r:id="rId314"/>
    <hyperlink ref="M1410" r:id="rId315"/>
    <hyperlink ref="M1432" r:id="rId316"/>
    <hyperlink ref="M1433" r:id="rId317"/>
    <hyperlink ref="M1434" r:id="rId318"/>
    <hyperlink ref="M1435" r:id="rId319"/>
    <hyperlink ref="M1436" r:id="rId320"/>
    <hyperlink ref="M1438" r:id="rId321"/>
    <hyperlink ref="M1439" r:id="rId322"/>
    <hyperlink ref="M1440" r:id="rId323"/>
    <hyperlink ref="M1441" r:id="rId324"/>
    <hyperlink ref="M1442" r:id="rId325"/>
    <hyperlink ref="M1443" r:id="rId326"/>
    <hyperlink ref="M1444" r:id="rId327"/>
    <hyperlink ref="M1445" r:id="rId328"/>
    <hyperlink ref="M1446" r:id="rId329"/>
    <hyperlink ref="M1447" r:id="rId330"/>
    <hyperlink ref="M1448" r:id="rId331"/>
    <hyperlink ref="M1449" r:id="rId332"/>
    <hyperlink ref="M1450" r:id="rId333"/>
    <hyperlink ref="M1451" r:id="rId334"/>
    <hyperlink ref="M1452" r:id="rId335"/>
    <hyperlink ref="M1453" r:id="rId336"/>
    <hyperlink ref="M1454" r:id="rId337"/>
    <hyperlink ref="M1455" r:id="rId338"/>
    <hyperlink ref="M1456" r:id="rId339"/>
    <hyperlink ref="M1457" r:id="rId340"/>
    <hyperlink ref="M1458" r:id="rId341"/>
    <hyperlink ref="M1459" r:id="rId342"/>
    <hyperlink ref="M1437" r:id="rId343"/>
    <hyperlink ref="M1494" r:id="rId344"/>
    <hyperlink ref="M1495" r:id="rId345"/>
    <hyperlink ref="M1496" r:id="rId346"/>
    <hyperlink ref="M1497" r:id="rId347"/>
    <hyperlink ref="M1498" r:id="rId348"/>
    <hyperlink ref="M1489" r:id="rId349"/>
    <hyperlink ref="M1493" r:id="rId350"/>
    <hyperlink ref="M1492" r:id="rId351"/>
    <hyperlink ref="M1491" r:id="rId352"/>
    <hyperlink ref="M1490" r:id="rId353"/>
    <hyperlink ref="M1499" r:id="rId354"/>
    <hyperlink ref="M1486" r:id="rId355"/>
    <hyperlink ref="M1487" r:id="rId356"/>
    <hyperlink ref="M1488" r:id="rId357"/>
    <hyperlink ref="M1546" r:id="rId358"/>
    <hyperlink ref="M1550" r:id="rId359"/>
    <hyperlink ref="M1542" r:id="rId360"/>
    <hyperlink ref="M1561" r:id="rId361"/>
    <hyperlink ref="M1562" r:id="rId362"/>
    <hyperlink ref="N1562" r:id="rId363"/>
    <hyperlink ref="N1563" r:id="rId364"/>
    <hyperlink ref="N1564" r:id="rId365"/>
    <hyperlink ref="M1567" r:id="rId366"/>
    <hyperlink ref="M1568" r:id="rId367"/>
    <hyperlink ref="M1569" r:id="rId368"/>
    <hyperlink ref="M1570" r:id="rId369"/>
    <hyperlink ref="M1575" r:id="rId370"/>
    <hyperlink ref="M1576" r:id="rId371"/>
    <hyperlink ref="M1571" r:id="rId372"/>
    <hyperlink ref="M1572" r:id="rId373"/>
    <hyperlink ref="M1574" r:id="rId374"/>
    <hyperlink ref="M1579" r:id="rId375"/>
    <hyperlink ref="M1582" r:id="rId376"/>
    <hyperlink ref="M1577" r:id="rId377"/>
    <hyperlink ref="M1580" r:id="rId378"/>
    <hyperlink ref="M1578" r:id="rId379"/>
    <hyperlink ref="M1581" r:id="rId380"/>
    <hyperlink ref="M1583" r:id="rId381"/>
    <hyperlink ref="M1585" r:id="rId382"/>
    <hyperlink ref="N1567" r:id="rId383"/>
    <hyperlink ref="N1574" r:id="rId384"/>
    <hyperlink ref="N1571" r:id="rId385"/>
    <hyperlink ref="N1569" r:id="rId386"/>
    <hyperlink ref="M1587" r:id="rId387"/>
    <hyperlink ref="M1588" r:id="rId388"/>
    <hyperlink ref="M1586" r:id="rId389"/>
    <hyperlink ref="M1593" r:id="rId390"/>
    <hyperlink ref="M1597" r:id="rId391"/>
    <hyperlink ref="M1610" r:id="rId392"/>
    <hyperlink ref="M1611" r:id="rId393"/>
    <hyperlink ref="M1612" r:id="rId394"/>
    <hyperlink ref="M1613" r:id="rId395"/>
    <hyperlink ref="M1614" r:id="rId396"/>
    <hyperlink ref="M1615" r:id="rId397"/>
    <hyperlink ref="M1600" r:id="rId398"/>
    <hyperlink ref="M1604" r:id="rId399"/>
    <hyperlink ref="N1634" r:id="rId400"/>
    <hyperlink ref="M1638" r:id="rId401"/>
    <hyperlink ref="M1639" r:id="rId402"/>
    <hyperlink ref="M1625" r:id="rId403"/>
    <hyperlink ref="N1625" r:id="rId404"/>
    <hyperlink ref="N1642" r:id="rId405" display="https://recovery.smithschool.ox.ac.uk/tracking/"/>
    <hyperlink ref="M1676" r:id="rId406"/>
    <hyperlink ref="N1678" r:id="rId407" display="http://english.www.gov.cn/news/videos/202103/06/content_WS60439b2bc6d0719374afa476.html ; "/>
    <hyperlink ref="N1679" r:id="rId408"/>
    <hyperlink ref="M1669" r:id="rId409"/>
    <hyperlink ref="M1685" r:id="rId410"/>
    <hyperlink ref="M1686:M1689" r:id="rId411" display="https://www.energypolicytracker.org/country/russia"/>
    <hyperlink ref="M1690" r:id="rId412"/>
    <hyperlink ref="M1691" r:id="rId413"/>
    <hyperlink ref="M1692" r:id="rId414"/>
    <hyperlink ref="M1693" r:id="rId415"/>
    <hyperlink ref="M1694" r:id="rId416"/>
    <hyperlink ref="M1695" r:id="rId417"/>
    <hyperlink ref="M1696" r:id="rId418"/>
    <hyperlink ref="M1697" r:id="rId419"/>
    <hyperlink ref="M1698" r:id="rId420" display="https://platform2020redesign.org/countries/russia/"/>
    <hyperlink ref="M1687" r:id="rId421"/>
    <hyperlink ref="M732" r:id="rId422"/>
    <hyperlink ref="M1323" r:id="rId423"/>
    <hyperlink ref="M985" r:id="rId424"/>
    <hyperlink ref="M1548" r:id="rId425"/>
    <hyperlink ref="M1537" r:id="rId426"/>
    <hyperlink ref="M1230" r:id="rId427"/>
    <hyperlink ref="N1231" r:id="rId428"/>
    <hyperlink ref="N1232" r:id="rId429"/>
    <hyperlink ref="N1233" r:id="rId430"/>
    <hyperlink ref="N1032" r:id="rId431"/>
    <hyperlink ref="M1013" r:id="rId432"/>
    <hyperlink ref="M1006" r:id="rId433"/>
    <hyperlink ref="N1410" r:id="rId434"/>
    <hyperlink ref="M1419" r:id="rId435"/>
    <hyperlink ref="M1420" r:id="rId436"/>
    <hyperlink ref="M1421" r:id="rId437"/>
    <hyperlink ref="M1422" r:id="rId438"/>
    <hyperlink ref="M1423" r:id="rId439"/>
    <hyperlink ref="M1424" r:id="rId440"/>
    <hyperlink ref="M1425" r:id="rId441"/>
    <hyperlink ref="M1426" r:id="rId442"/>
    <hyperlink ref="N1215" r:id="rId443"/>
    <hyperlink ref="M466" r:id="rId444"/>
    <hyperlink ref="M460" r:id="rId445"/>
    <hyperlink ref="M469" r:id="rId446"/>
    <hyperlink ref="M458" r:id="rId447"/>
    <hyperlink ref="M43" r:id="rId448" location="new"/>
    <hyperlink ref="M44" r:id="rId449"/>
    <hyperlink ref="N45" r:id="rId450"/>
    <hyperlink ref="M45" r:id="rId451"/>
    <hyperlink ref="M46" r:id="rId452"/>
    <hyperlink ref="M47" r:id="rId453"/>
    <hyperlink ref="M48" r:id="rId454" location="nine"/>
    <hyperlink ref="M51" r:id="rId455"/>
    <hyperlink ref="M53" r:id="rId456"/>
    <hyperlink ref="M50" r:id="rId457"/>
    <hyperlink ref="M52" r:id="rId458"/>
    <hyperlink ref="M54" r:id="rId459"/>
    <hyperlink ref="M49" r:id="rId460" display="https://www.pm.gov.au/media/australia-announces-100-million-initiative-protect-our-oceans"/>
    <hyperlink ref="M55" r:id="rId461"/>
    <hyperlink ref="M63" r:id="rId462"/>
    <hyperlink ref="M56" r:id="rId463"/>
    <hyperlink ref="M64" r:id="rId464"/>
    <hyperlink ref="M75" r:id="rId465"/>
    <hyperlink ref="M74" r:id="rId466"/>
    <hyperlink ref="M73" r:id="rId467"/>
    <hyperlink ref="M72" r:id="rId468"/>
    <hyperlink ref="M84" r:id="rId469"/>
    <hyperlink ref="M76" r:id="rId470"/>
    <hyperlink ref="M78" r:id="rId471"/>
    <hyperlink ref="M82" r:id="rId472"/>
    <hyperlink ref="M81" r:id="rId473"/>
    <hyperlink ref="M107" r:id="rId474"/>
    <hyperlink ref="M100" r:id="rId475"/>
  </hyperlinks>
  <pageMargins left="0.7" right="0.7" top="0.75" bottom="0.75" header="0.3" footer="0.3"/>
  <pageSetup paperSize="9" orientation="portrait" r:id="rId476"/>
  <extLst>
    <ext xmlns:x14="http://schemas.microsoft.com/office/spreadsheetml/2009/9/main" uri="{CCE6A557-97BC-4b89-ADB6-D9C93CAAB3DF}">
      <x14:dataValidations xmlns:xm="http://schemas.microsoft.com/office/excel/2006/main" count="10">
        <x14:dataValidation type="list" allowBlank="1" showInputMessage="1" showErrorMessage="1">
          <x14:formula1>
            <xm:f>'selection lists'!$C$2:$C$7</xm:f>
          </x14:formula1>
          <xm:sqref>C1699:C1828</xm:sqref>
        </x14:dataValidation>
        <x14:dataValidation type="list" allowBlank="1" showInputMessage="1" showErrorMessage="1">
          <x14:formula1>
            <xm:f>'selection lists'!$E$2:$E$5</xm:f>
          </x14:formula1>
          <xm:sqref>D1699:D1854</xm:sqref>
        </x14:dataValidation>
        <x14:dataValidation type="list" allowBlank="1" showInputMessage="1" showErrorMessage="1">
          <x14:formula1>
            <xm:f>'https://portal.oecd.org/eshare/env/pc/Deliverables/GreenRecoveryTaskForce/Database/II round - country files/[OECD_ENV_COVID-recovery-database_FINAL - RUS.xlsx]selection lists'!#REF!</xm:f>
          </x14:formula1>
          <xm:sqref>L467 N49:N92 B49:C92 F49:F92 O1429:O1698 C1429:D1698 C93:D1410 O2:O1410 C2:D48</xm:sqref>
        </x14:dataValidation>
        <x14:dataValidation type="list" allowBlank="1" showInputMessage="1" showErrorMessage="1">
          <x14:formula1>
            <xm:f>'selection lists'!$N$2:$N$5</xm:f>
          </x14:formula1>
          <xm:sqref>O1699:O1701 O1703:O1856 O506</xm:sqref>
        </x14:dataValidation>
        <x14:dataValidation type="list" allowBlank="1" showInputMessage="1" showErrorMessage="1">
          <x14:formula1>
            <xm:f>'selection lists'!$L$2:$L$9</xm:f>
          </x14:formula1>
          <xm:sqref>G1:I48 G49:H92 G93:I1048576</xm:sqref>
        </x14:dataValidation>
        <x14:dataValidation type="list" allowBlank="1" showInputMessage="1" showErrorMessage="1">
          <x14:formula1>
            <xm:f>'selection lists'!$H$2:$H$11</xm:f>
          </x14:formula1>
          <xm:sqref>D49:D92 E94:E1048576 E1:E48</xm:sqref>
        </x14:dataValidation>
        <x14:dataValidation type="list" allowBlank="1" showInputMessage="1" showErrorMessage="1">
          <x14:formula1>
            <xm:f>'https://portal.oecd.org/eshare/env/pc/Deliverables/GreenRecoveryTaskForce/Database/II round - country files/[OECD_ENV_COVID-recovery-database_FINAL - July edition.xlsx]selection lists'!#REF!</xm:f>
          </x14:formula1>
          <xm:sqref>J1:K1</xm:sqref>
        </x14:dataValidation>
        <x14:dataValidation type="list" allowBlank="1" showInputMessage="1" showErrorMessage="1">
          <x14:formula1>
            <xm:f>'[OECD_ENV_COVID-recovery-database_v7f_with-country-changes.xlsm]selection lists'!#REF!</xm:f>
          </x14:formula1>
          <xm:sqref>K49:K92</xm:sqref>
        </x14:dataValidation>
        <x14:dataValidation type="list" allowBlank="1" showInputMessage="1" showErrorMessage="1">
          <x14:formula1>
            <xm:f>'https://portal.oecd.org/eshare/env/pc/Deliverables/GreenRecoveryTaskForce/Database/II round - country files/[OECD_ENV_COVID-recovery-database_FINAL - RUS.xlsx]selection lists'!#REF!</xm:f>
          </x14:formula1>
          <xm:sqref>J49:J1410 J1429:J1698 K93:K1698 J2:K48</xm:sqref>
        </x14:dataValidation>
        <x14:dataValidation type="list" allowBlank="1" showInputMessage="1" showErrorMessage="1">
          <x14:formula1>
            <xm:f>'[OECD_ENV_COVID-recovery-database_v7f_with-country-changes.xlsm]selection lists'!#REF!</xm:f>
          </x14:formula1>
          <xm:sqref>J1831:K1850 J1699:K1828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1"/>
  <sheetViews>
    <sheetView tabSelected="1" workbookViewId="0">
      <selection activeCell="P1" sqref="P1"/>
    </sheetView>
  </sheetViews>
  <sheetFormatPr defaultRowHeight="12.9" x14ac:dyDescent="0.2"/>
  <cols>
    <col min="1" max="1" width="9.125" style="7"/>
    <col min="3" max="3" width="20.5" style="7" customWidth="1"/>
    <col min="5" max="5" width="9.125" style="7"/>
    <col min="8" max="8" width="9.125" style="7"/>
    <col min="12" max="12" width="11" style="7" bestFit="1" customWidth="1"/>
    <col min="14" max="14" width="25.875" customWidth="1"/>
  </cols>
  <sheetData>
    <row r="1" spans="1:16" ht="23.8" thickBot="1" x14ac:dyDescent="0.25">
      <c r="A1" s="5" t="s">
        <v>11</v>
      </c>
      <c r="C1" s="5" t="s">
        <v>5338</v>
      </c>
      <c r="E1" s="5" t="s">
        <v>14</v>
      </c>
      <c r="H1" s="5" t="s">
        <v>17</v>
      </c>
      <c r="J1" s="6" t="s">
        <v>5339</v>
      </c>
      <c r="L1" s="5" t="s">
        <v>5340</v>
      </c>
      <c r="N1" s="6" t="s">
        <v>5341</v>
      </c>
      <c r="P1" s="207" t="s">
        <v>5555</v>
      </c>
    </row>
    <row r="2" spans="1:16" x14ac:dyDescent="0.2">
      <c r="A2" s="1" t="s">
        <v>5342</v>
      </c>
      <c r="C2" s="1" t="s">
        <v>188</v>
      </c>
      <c r="E2" s="1" t="s">
        <v>121</v>
      </c>
      <c r="H2" s="1" t="s">
        <v>151</v>
      </c>
      <c r="J2" s="2" t="s">
        <v>124</v>
      </c>
      <c r="L2" s="1" t="s">
        <v>5337</v>
      </c>
      <c r="N2" t="s">
        <v>55</v>
      </c>
      <c r="P2" s="10" t="s">
        <v>5558</v>
      </c>
    </row>
    <row r="3" spans="1:16" x14ac:dyDescent="0.2">
      <c r="A3" s="1" t="s">
        <v>101</v>
      </c>
      <c r="C3" s="1" t="s">
        <v>120</v>
      </c>
      <c r="E3" s="1" t="s">
        <v>137</v>
      </c>
      <c r="H3" s="1" t="s">
        <v>251</v>
      </c>
      <c r="J3" s="2" t="s">
        <v>157</v>
      </c>
      <c r="L3" s="1" t="s">
        <v>162</v>
      </c>
      <c r="N3" t="s">
        <v>53</v>
      </c>
      <c r="P3" s="10" t="s">
        <v>5561</v>
      </c>
    </row>
    <row r="4" spans="1:16" x14ac:dyDescent="0.2">
      <c r="A4" s="1" t="s">
        <v>102</v>
      </c>
      <c r="C4" s="1" t="s">
        <v>171</v>
      </c>
      <c r="E4" s="1" t="s">
        <v>160</v>
      </c>
      <c r="H4" s="1" t="s">
        <v>133</v>
      </c>
      <c r="J4" s="2" t="s">
        <v>295</v>
      </c>
      <c r="L4" s="1" t="s">
        <v>134</v>
      </c>
      <c r="N4" t="s">
        <v>54</v>
      </c>
      <c r="P4" s="10" t="s">
        <v>5563</v>
      </c>
    </row>
    <row r="5" spans="1:16" x14ac:dyDescent="0.2">
      <c r="A5" s="3"/>
      <c r="C5" s="1" t="s">
        <v>177</v>
      </c>
      <c r="E5" s="7" t="s">
        <v>5343</v>
      </c>
      <c r="H5" s="3" t="s">
        <v>172</v>
      </c>
      <c r="L5" s="1" t="s">
        <v>153</v>
      </c>
      <c r="N5" t="s">
        <v>52</v>
      </c>
      <c r="P5" s="10" t="s">
        <v>5557</v>
      </c>
    </row>
    <row r="6" spans="1:16" x14ac:dyDescent="0.2">
      <c r="A6" s="3"/>
      <c r="C6" s="3" t="s">
        <v>226</v>
      </c>
      <c r="H6" s="1" t="s">
        <v>147</v>
      </c>
      <c r="L6" s="1" t="s">
        <v>158</v>
      </c>
      <c r="P6" s="203"/>
    </row>
    <row r="7" spans="1:16" x14ac:dyDescent="0.2">
      <c r="A7" s="3"/>
      <c r="C7" s="1" t="s">
        <v>280</v>
      </c>
      <c r="H7" s="1" t="s">
        <v>166</v>
      </c>
      <c r="L7" s="1" t="s">
        <v>152</v>
      </c>
    </row>
    <row r="8" spans="1:16" x14ac:dyDescent="0.2">
      <c r="A8" s="8"/>
      <c r="H8" s="1" t="s">
        <v>122</v>
      </c>
      <c r="L8" s="1" t="s">
        <v>323</v>
      </c>
    </row>
    <row r="9" spans="1:16" x14ac:dyDescent="0.2">
      <c r="H9" s="7" t="s">
        <v>292</v>
      </c>
      <c r="L9" s="3" t="s">
        <v>208</v>
      </c>
    </row>
    <row r="10" spans="1:16" x14ac:dyDescent="0.2">
      <c r="H10" s="1" t="s">
        <v>734</v>
      </c>
    </row>
    <row r="11" spans="1:16" x14ac:dyDescent="0.2">
      <c r="H11" s="1" t="s">
        <v>199</v>
      </c>
      <c r="L11" s="1"/>
    </row>
  </sheetData>
  <customSheetViews>
    <customSheetView guid="{9E1FDF60-6EDD-426D-BEDD-EF1B7062BA4A}" topLeftCell="D1">
      <selection activeCell="L3" sqref="L3"/>
      <pageMargins left="0" right="0" top="0" bottom="0" header="0" footer="0"/>
    </customSheetView>
  </customSheetView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'https://portal.oecd.org/eshare/env/pc/Deliverables/GreenRecoveryTaskForce/Database/II round - country files/[OECD_ENV_COVID-recovery-database_FINAL - RUS.xlsx]selection lists'!#REF!</xm:f>
          </x14:formula1>
          <xm:sqref>P6 P2:P4</xm:sqref>
        </x14:dataValidation>
        <x14:dataValidation type="list" allowBlank="1" showInputMessage="1" showErrorMessage="1">
          <x14:formula1>
            <xm:f>'https://portal.oecd.org/eshare/env/pc/Deliverables/GreenRecoveryTaskForce/Database/II round - country files/[OECD_ENV_COVID-recovery-database_FINAL - July edition.xlsx]selection lists'!#REF!</xm:f>
          </x14:formula1>
          <xm:sqref>P1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2.xml><?xml version="1.0" encoding="utf-8"?>
<?mso-contentType ?>
<FormTemplates xmlns="http://schemas.microsoft.com/sharepoint/v3/contenttype/forms">
  <Display>OECDListFormCollapsible</Display>
  <Edit>OECDListFormCollapsible</Edit>
  <New>OECDListFormCollapsible</New>
</FormTemplates>
</file>

<file path=customXml/item3.xml><?xml version="1.0" encoding="utf-8"?>
<ct:contentTypeSchema xmlns:ct="http://schemas.microsoft.com/office/2006/metadata/contentType" xmlns:ma="http://schemas.microsoft.com/office/2006/metadata/properties/metaAttributes" ct:_="" ma:_="" ma:contentTypeName="Table" ma:contentTypeID="0x0101008B4DD370EC31429186F3AD49F0D3098F0095A07BC15F6341D582BCF47827507C9A00ABDAE8FDB5AE49D49A834635C19508E10052BD35650F669841A20D2DBE2B9A6C12" ma:contentTypeVersion="177" ma:contentTypeDescription="" ma:contentTypeScope="" ma:versionID="081299a1135ef2ecacf0585f10dea18c">
  <xsd:schema xmlns:xsd="http://www.w3.org/2001/XMLSchema" xmlns:xs="http://www.w3.org/2001/XMLSchema" xmlns:p="http://schemas.microsoft.com/office/2006/metadata/properties" xmlns:ns2="54c4cd27-f286-408f-9ce0-33c1e0f3ab39" xmlns:ns3="e36e4070-fdd8-494c-ae17-1a8cf14e7707" xmlns:ns4="ca82dde9-3436-4d3d-bddd-d31447390034" xmlns:ns5="7348197b-4e95-41c6-b270-341eaa4cbbb2" xmlns:ns6="c9f238dd-bb73-4aef-a7a5-d644ad823e52" targetNamespace="http://schemas.microsoft.com/office/2006/metadata/properties" ma:root="true" ma:fieldsID="389d670b38e1b1f625cc4eed6e7ae81a" ns2:_="" ns3:_="" ns4:_="" ns5:_="" ns6:_="">
    <xsd:import namespace="54c4cd27-f286-408f-9ce0-33c1e0f3ab39"/>
    <xsd:import namespace="e36e4070-fdd8-494c-ae17-1a8cf14e7707"/>
    <xsd:import namespace="ca82dde9-3436-4d3d-bddd-d31447390034"/>
    <xsd:import namespace="7348197b-4e95-41c6-b270-341eaa4cbbb2"/>
    <xsd:import namespace="c9f238dd-bb73-4aef-a7a5-d644ad823e52"/>
    <xsd:element name="properties">
      <xsd:complexType>
        <xsd:sequence>
          <xsd:element name="documentManagement">
            <xsd:complexType>
              <xsd:all>
                <xsd:element ref="ns2:OECDMeetingDate" minOccurs="0"/>
                <xsd:element ref="ns4:OECDlanguage" minOccurs="0"/>
                <xsd:element ref="ns3:OECDExpirationDate" minOccurs="0"/>
                <xsd:element ref="ns5:OECDProjectLookup" minOccurs="0"/>
                <xsd:element ref="ns5:OECDProjectManager" minOccurs="0"/>
                <xsd:element ref="ns5:OECDProjectMembers" minOccurs="0"/>
                <xsd:element ref="ns5:OECDMainProject" minOccurs="0"/>
                <xsd:element ref="ns5:OECDPinnedBy" minOccurs="0"/>
                <xsd:element ref="ns2:OECDKimStatus" minOccurs="0"/>
                <xsd:element ref="ns3:_dlc_DocIdUrl" minOccurs="0"/>
                <xsd:element ref="ns6:eShareKeywordsTaxHTField0" minOccurs="0"/>
                <xsd:element ref="ns6:eShareTopicTaxHTField0" minOccurs="0"/>
                <xsd:element ref="ns6:eShareCountryTaxHTField0" minOccurs="0"/>
                <xsd:element ref="ns5:n8655da54a064da182923cf6cbb46907" minOccurs="0"/>
                <xsd:element ref="ns3:_dlc_DocIdPersistId" minOccurs="0"/>
                <xsd:element ref="ns4:aa366335bba64f7186c6f91b1ae503c2" minOccurs="0"/>
                <xsd:element ref="ns4:TaxCatchAll" minOccurs="0"/>
                <xsd:element ref="ns5:Project_x003a_Project_x0020_status" minOccurs="0"/>
                <xsd:element ref="ns6:eShareCommitteeTaxHTField0" minOccurs="0"/>
                <xsd:element ref="ns6:eSharePWBTaxHTField0" minOccurs="0"/>
                <xsd:element ref="ns4:TaxCatchAllLabel" minOccurs="0"/>
                <xsd:element ref="ns4:pb5335f8765c484a86ddd10580650a95" minOccurs="0"/>
                <xsd:element ref="ns3:g1cb84c392954f02b97ef964d7fd5f94" minOccurs="0"/>
                <xsd:element ref="ns5:a5c695ec21c747a0bdb8a6375755520a" minOccurs="0"/>
                <xsd:element ref="ns3:_dlc_DocId" minOccurs="0"/>
                <xsd:element ref="ns5:OECDTagsCache" minOccurs="0"/>
                <xsd:element ref="ns2:OECDKimBussinessContext" minOccurs="0"/>
                <xsd:element ref="ns2:OECDKimProvena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MeetingDate" ma:index="4" nillable="true" ma:displayName="Meeting Date" ma:default="" ma:format="DateOnly" ma:hidden="true" ma:internalName="OECDMeetingDate" ma:readOnly="false">
      <xsd:simpleType>
        <xsd:restriction base="dms:DateTime"/>
      </xsd:simpleType>
    </xsd:element>
    <xsd:element name="OECDKimStatus" ma:index="16" nillable="true" ma:displayName="Kim status" ma:default="Draft" ma:description="" ma:format="Dropdown" ma:hidden="true" ma:internalName="OECDKimStatus">
      <xsd:simpleType>
        <xsd:restriction base="dms:Choice">
          <xsd:enumeration value="Draft"/>
          <xsd:enumeration value="Final"/>
        </xsd:restriction>
      </xsd:simpleType>
    </xsd:element>
    <xsd:element name="OECDKimBussinessContext" ma:index="41" nillable="true" ma:displayName="Kim business context" ma:description="" ma:hidden="true" ma:internalName="OECDKimBussinessContext" ma:readOnly="false">
      <xsd:simpleType>
        <xsd:restriction base="dms:Text"/>
      </xsd:simpleType>
    </xsd:element>
    <xsd:element name="OECDKimProvenance" ma:index="42" nillable="true" ma:displayName="Kim provenance" ma:description="" ma:hidden="true" ma:internalName="OECDKimProvenanc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36e4070-fdd8-494c-ae17-1a8cf14e7707"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_dlc_DocIdUrl" ma:index="22" nillable="true" ma:displayName="Document ID" ma:description=""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element name="g1cb84c392954f02b97ef964d7fd5f94" ma:index="37" nillable="true" ma:taxonomy="true" ma:internalName="g1cb84c392954f02b97ef964d7fd5f94" ma:taxonomyFieldName="OECDHorizontalProjects" ma:displayName="Horizontal project" ma:readOnly="false" ma:default="" ma:fieldId="{01cb84c3-9295-4f02-b97e-f964d7fd5f94}"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_dlc_DocId" ma:index="39" nillable="true" ma:displayName="Document ID" ma:description="" ma:hidden="true" ma:internalName="_dlc_DocId"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OECDlanguage" ma:index="5"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element name="aa366335bba64f7186c6f91b1ae503c2" ma:index="28" nillable="true" ma:displayName="Country_0" ma:hidden="true" ma:internalName="aa366335bba64f7186c6f91b1ae503c2">
      <xsd:simpleType>
        <xsd:restriction base="dms:Note"/>
      </xsd:simpleType>
    </xsd:element>
    <xsd:element name="TaxCatchAll" ma:index="31" nillable="true" ma:displayName="Taxonomy Catch All Column" ma:hidden="true" ma:list="{e92eb940-6ce3-49f1-938f-e905cf32b7e4}" ma:internalName="TaxCatchAll" ma:showField="CatchAllData"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TaxCatchAllLabel" ma:index="35" nillable="true" ma:displayName="Taxonomy Catch All Column1" ma:hidden="true" ma:list="{e92eb940-6ce3-49f1-938f-e905cf32b7e4}" ma:internalName="TaxCatchAllLabel" ma:readOnly="true" ma:showField="CatchAllDataLabel"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pb5335f8765c484a86ddd10580650a95" ma:index="36" nillable="true" ma:displayName="Topic_0" ma:hidden="true" ma:internalName="pb5335f8765c484a86ddd10580650a95">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348197b-4e95-41c6-b270-341eaa4cbbb2"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79d7b38c-e11d-4327-b506-f1b1b5675f7d" ma:internalName="OECDProjectLookup" ma:readOnly="false" ma:showField="OECDShortProjectName" ma:web="7348197b-4e95-41c6-b270-341eaa4cbbb2">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79d7b38c-e11d-4327-b506-f1b1b5675f7d"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8655da54a064da182923cf6cbb46907" ma:index="26" nillable="true" ma:displayName="Deliverable partners_0" ma:hidden="true" ma:internalName="n8655da54a064da182923cf6cbb46907">
      <xsd:simpleType>
        <xsd:restriction base="dms:Note"/>
      </xsd:simpleType>
    </xsd:element>
    <xsd:element name="Project_x003a_Project_x0020_status" ma:index="32" nillable="true" ma:displayName="Project:Project status" ma:hidden="true" ma:list="79d7b38c-e11d-4327-b506-f1b1b5675f7d" ma:internalName="Project_x003A_Project_x0020_status" ma:readOnly="true" ma:showField="OECDProjectStatus" ma:web="7348197b-4e95-41c6-b270-341eaa4cbbb2">
      <xsd:simpleType>
        <xsd:restriction base="dms:Lookup"/>
      </xsd:simpleType>
    </xsd:element>
    <xsd:element name="a5c695ec21c747a0bdb8a6375755520a" ma:index="38" nillable="true" ma:taxonomy="true" ma:internalName="a5c695ec21c747a0bdb8a6375755520a" ma:taxonomyFieldName="OECDProjectOwnerStructure" ma:displayName="Project owner" ma:readOnly="false" ma:default="" ma:fieldId="a5c695ec-21c7-47a0-bdb8-a6375755520a"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TagsCache" ma:index="40" nillable="true" ma:displayName="Tags cache" ma:description="" ma:hidden="true" ma:internalName="OECDTagsCach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KeywordsTaxHTField0" ma:index="23"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TopicTaxHTField0" ma:index="24" nillable="true" ma:taxonomy="true" ma:internalName="eShareTopicTaxHTField0" ma:taxonomyFieldName="OECDTopic" ma:displayName="Topic" ma:readOnly="false"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CountryTaxHTField0" ma:index="25" nillable="true" ma:taxonomy="true" ma:internalName="eShareCountryTaxHTField0" ma:taxonomyFieldName="OECDCountry" ma:displayName="Country" ma:readOnly="false"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CommitteeTaxHTField0" ma:index="33" nillable="true" ma:taxonomy="true" ma:internalName="eShareCommitteeTaxHTField0" ma:taxonomyFieldName="OECDCommittee" ma:displayName="Committee" ma:readOnly="false" ma:default=""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34" nillable="true" ma:taxonomy="true" ma:internalName="eSharePWBTaxHTField0" ma:taxonomyFieldName="OECDPWB" ma:displayName="PWB" ma:readOnly="false" ma:default=""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9"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OECDTagsCache xmlns="7348197b-4e95-41c6-b270-341eaa4cbbb2" xsi:nil="true"/>
    <OECDProjectManager xmlns="7348197b-4e95-41c6-b270-341eaa4cbbb2">
      <UserInfo>
        <DisplayName/>
        <AccountId>111</AccountId>
        <AccountType/>
      </UserInfo>
    </OECDProjectManager>
    <OECDKimBussinessContext xmlns="54c4cd27-f286-408f-9ce0-33c1e0f3ab39" xsi:nil="true"/>
    <g1cb84c392954f02b97ef964d7fd5f94 xmlns="e36e4070-fdd8-494c-ae17-1a8cf14e7707">
      <Terms xmlns="http://schemas.microsoft.com/office/infopath/2007/PartnerControls"/>
    </g1cb84c392954f02b97ef964d7fd5f94>
    <OECDlanguage xmlns="ca82dde9-3436-4d3d-bddd-d31447390034">English</OECDlanguage>
    <eSharePWBTaxHTField0 xmlns="c9f238dd-bb73-4aef-a7a5-d644ad823e52">
      <Terms xmlns="http://schemas.microsoft.com/office/infopath/2007/PartnerControls">
        <TermInfo xmlns="http://schemas.microsoft.com/office/infopath/2007/PartnerControls">
          <TermName xmlns="http://schemas.microsoft.com/office/infopath/2007/PartnerControls">2.3.1 Environmental Peer Reviews, Indicators and Outlooks</TermName>
          <TermId xmlns="http://schemas.microsoft.com/office/infopath/2007/PartnerControls">3996ec45-8abc-425e-9a15-cc44b9a83721</TermId>
        </TermInfo>
      </Terms>
    </eSharePWBTaxHTField0>
    <OECDExpirationDate xmlns="e36e4070-fdd8-494c-ae17-1a8cf14e7707" xsi:nil="true"/>
    <a5c695ec21c747a0bdb8a6375755520a xmlns="7348197b-4e95-41c6-b270-341eaa4cbbb2">
      <Terms xmlns="http://schemas.microsoft.com/office/infopath/2007/PartnerControls"/>
    </a5c695ec21c747a0bdb8a6375755520a>
    <OECDProjectLookup xmlns="7348197b-4e95-41c6-b270-341eaa4cbbb2">200</OECDProjectLookup>
    <OECDMeetingDate xmlns="54c4cd27-f286-408f-9ce0-33c1e0f3ab39" xsi:nil="true"/>
    <OECDPinnedBy xmlns="7348197b-4e95-41c6-b270-341eaa4cbbb2">
      <UserInfo>
        <DisplayName/>
        <AccountId xsi:nil="true"/>
        <AccountType/>
      </UserInfo>
    </OECDPinnedBy>
    <eShareCommitteeTaxHTField0 xmlns="c9f238dd-bb73-4aef-a7a5-d644ad823e52">
      <Terms xmlns="http://schemas.microsoft.com/office/infopath/2007/PartnerControls"/>
    </eShareCommitteeTaxHTField0>
    <OECDMainProject xmlns="7348197b-4e95-41c6-b270-341eaa4cbbb2">46</OECDMainProject>
    <OECDKimProvenance xmlns="54c4cd27-f286-408f-9ce0-33c1e0f3ab39" xsi:nil="true"/>
    <n8655da54a064da182923cf6cbb46907 xmlns="7348197b-4e95-41c6-b270-341eaa4cbbb2" xsi:nil="true"/>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TaxCatchAll xmlns="ca82dde9-3436-4d3d-bddd-d31447390034">
      <Value>904</Value>
    </TaxCatchAll>
    <OECDProjectMembers xmlns="7348197b-4e95-41c6-b270-341eaa4cbbb2">
      <UserInfo>
        <DisplayName>PRAG Andrew, ENV</DisplayName>
        <AccountId>173</AccountId>
        <AccountType/>
      </UserInfo>
      <UserInfo>
        <DisplayName>PICCOLO Alexa, SGE/SHPA</DisplayName>
        <AccountId>558</AccountId>
        <AccountType/>
      </UserInfo>
      <UserInfo>
        <DisplayName>THEOPHILIDOU Christina, ENV</DisplayName>
        <AccountId>2117</AccountId>
        <AccountType/>
      </UserInfo>
      <UserInfo>
        <DisplayName>DEL BOURGO Beth, ENV</DisplayName>
        <AccountId>643</AccountId>
        <AccountType/>
      </UserInfo>
      <UserInfo>
        <DisplayName>RÖTTGERS Dirk, ENV/ETR</DisplayName>
        <AccountId>1083</AccountId>
        <AccountType/>
      </UserInfo>
    </OECDProjectMembers>
    <pb5335f8765c484a86ddd10580650a95 xmlns="ca82dde9-3436-4d3d-bddd-d31447390034" xsi:nil="true"/>
    <aa366335bba64f7186c6f91b1ae503c2 xmlns="ca82dde9-3436-4d3d-bddd-d31447390034" xsi:nil="true"/>
  </documentManagement>
</p:properties>
</file>

<file path=customXml/item5.xml><?xml version="1.0" encoding="utf-8"?>
<?mso-contentType ?>
<SharedContentType xmlns="Microsoft.SharePoint.Taxonomy.ContentTypeSync" SourceId="27ec883c-a62c-444f-a935-fcddb579e39d" ContentTypeId="0x0101008B4DD370EC31429186F3AD49F0D3098F0095A07BC15F6341D582BCF47827507C9A" PreviousValue="false"/>
</file>

<file path=customXml/item6.xml><?xml version="1.0" encoding="utf-8"?>
<?mso-contentType ?>
<spe:Receivers xmlns:spe="http://schemas.microsoft.com/sharepoint/events"/>
</file>

<file path=customXml/itemProps1.xml><?xml version="1.0" encoding="utf-8"?>
<ds:datastoreItem xmlns:ds="http://schemas.openxmlformats.org/officeDocument/2006/customXml" ds:itemID="{37135818-2467-4D16-B799-5F9DE42C1EBB}">
  <ds:schemaRefs>
    <ds:schemaRef ds:uri="http://www.oecd.org/eshare/projectsentre/CtFieldPriority/"/>
    <ds:schemaRef ds:uri="http://schemas.microsoft.com/2003/10/Serialization/Arrays"/>
  </ds:schemaRefs>
</ds:datastoreItem>
</file>

<file path=customXml/itemProps2.xml><?xml version="1.0" encoding="utf-8"?>
<ds:datastoreItem xmlns:ds="http://schemas.openxmlformats.org/officeDocument/2006/customXml" ds:itemID="{AE3F0B54-B724-4936-981C-3E16B3426B1D}">
  <ds:schemaRefs>
    <ds:schemaRef ds:uri="http://schemas.microsoft.com/sharepoint/v3/contenttype/forms"/>
  </ds:schemaRefs>
</ds:datastoreItem>
</file>

<file path=customXml/itemProps3.xml><?xml version="1.0" encoding="utf-8"?>
<ds:datastoreItem xmlns:ds="http://schemas.openxmlformats.org/officeDocument/2006/customXml" ds:itemID="{E701A589-2CD2-4FDA-B15F-DFE931F501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c4cd27-f286-408f-9ce0-33c1e0f3ab39"/>
    <ds:schemaRef ds:uri="e36e4070-fdd8-494c-ae17-1a8cf14e7707"/>
    <ds:schemaRef ds:uri="ca82dde9-3436-4d3d-bddd-d31447390034"/>
    <ds:schemaRef ds:uri="7348197b-4e95-41c6-b270-341eaa4cbbb2"/>
    <ds:schemaRef ds:uri="c9f238dd-bb73-4aef-a7a5-d644ad823e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4347DB2-02A9-48BD-9329-8AC02EF54EBB}">
  <ds:schemaRefs>
    <ds:schemaRef ds:uri="ca82dde9-3436-4d3d-bddd-d31447390034"/>
    <ds:schemaRef ds:uri="http://purl.org/dc/elements/1.1/"/>
    <ds:schemaRef ds:uri="http://schemas.microsoft.com/office/2006/metadata/properties"/>
    <ds:schemaRef ds:uri="e36e4070-fdd8-494c-ae17-1a8cf14e7707"/>
    <ds:schemaRef ds:uri="54c4cd27-f286-408f-9ce0-33c1e0f3ab39"/>
    <ds:schemaRef ds:uri="http://purl.org/dc/terms/"/>
    <ds:schemaRef ds:uri="http://schemas.openxmlformats.org/package/2006/metadata/core-properties"/>
    <ds:schemaRef ds:uri="c9f238dd-bb73-4aef-a7a5-d644ad823e52"/>
    <ds:schemaRef ds:uri="http://schemas.microsoft.com/office/2006/documentManagement/types"/>
    <ds:schemaRef ds:uri="http://schemas.microsoft.com/office/infopath/2007/PartnerControls"/>
    <ds:schemaRef ds:uri="7348197b-4e95-41c6-b270-341eaa4cbbb2"/>
    <ds:schemaRef ds:uri="http://www.w3.org/XML/1998/namespace"/>
    <ds:schemaRef ds:uri="http://purl.org/dc/dcmitype/"/>
  </ds:schemaRefs>
</ds:datastoreItem>
</file>

<file path=customXml/itemProps5.xml><?xml version="1.0" encoding="utf-8"?>
<ds:datastoreItem xmlns:ds="http://schemas.openxmlformats.org/officeDocument/2006/customXml" ds:itemID="{CC30D7FF-4268-4CE6-939A-4E40DEAFB8CE}">
  <ds:schemaRefs>
    <ds:schemaRef ds:uri="Microsoft.SharePoint.Taxonomy.ContentTypeSync"/>
  </ds:schemaRefs>
</ds:datastoreItem>
</file>

<file path=customXml/itemProps6.xml><?xml version="1.0" encoding="utf-8"?>
<ds:datastoreItem xmlns:ds="http://schemas.openxmlformats.org/officeDocument/2006/customXml" ds:itemID="{33F6A495-44F5-420E-83B5-27BB04E6B1D5}">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Description of columns</vt:lpstr>
      <vt:lpstr>Measures</vt:lpstr>
      <vt:lpstr>selection lists</vt:lpstr>
      <vt:lpstr>Grant</vt:lpstr>
      <vt:lpstr>Grant_Loan__including_interest_free_loans</vt:lpstr>
    </vt:vector>
  </TitlesOfParts>
  <Manager/>
  <Company>OECD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DOBRINEVSKI Alexander</dc:creator>
  <cp:keywords/>
  <dc:description/>
  <cp:lastModifiedBy>BOTTA Enrico</cp:lastModifiedBy>
  <cp:revision/>
  <dcterms:created xsi:type="dcterms:W3CDTF">2020-07-31T11:24:08Z</dcterms:created>
  <dcterms:modified xsi:type="dcterms:W3CDTF">2021-09-14T17:43:52Z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0x0101008B4DD370EC31429186F3AD49F0D3098F0095A07BC15F6341D582BCF47827507C9A00ABDAE8FDB5AE49D49A834635C19508E10052BD35650F669841A20D2DBE2B9A6C12</vt:lpwstr>
  </property>
  <property fmtid="{D5CDD505-2E9C-101B-9397-08002B2CF9AE}" pid="3" name="OECDProjectOwnerStructure">
    <vt:lpwstr/>
  </property>
  <property fmtid="{D5CDD505-2E9C-101B-9397-08002B2CF9AE}" pid="4" name="OECDHorizontalProjects">
    <vt:lpwstr/>
  </property>
  <property fmtid="{D5CDD505-2E9C-101B-9397-08002B2CF9AE}" pid="5" name="OECDCountry">
    <vt:lpwstr/>
  </property>
  <property fmtid="{D5CDD505-2E9C-101B-9397-08002B2CF9AE}" pid="6" name="OECDTopic">
    <vt:lpwstr/>
  </property>
  <property fmtid="{D5CDD505-2E9C-101B-9397-08002B2CF9AE}" pid="7" name="OECDCommittee">
    <vt:lpwstr/>
  </property>
  <property fmtid="{D5CDD505-2E9C-101B-9397-08002B2CF9AE}" pid="8" name="OECDPWB">
    <vt:lpwstr>904;#2.3.1 Environmental Peer Reviews, Indicators and Outlooks|3996ec45-8abc-425e-9a15-cc44b9a83721</vt:lpwstr>
  </property>
  <property fmtid="{D5CDD505-2E9C-101B-9397-08002B2CF9AE}" pid="9" name="OECDKeywords">
    <vt:lpwstr/>
  </property>
  <property fmtid="{D5CDD505-2E9C-101B-9397-08002B2CF9AE}" pid="10" name="OECDDeliverablePartnersStructure">
    <vt:lpwstr/>
  </property>
  <property fmtid="{D5CDD505-2E9C-101B-9397-08002B2CF9AE}" pid="11" name="eShareOrganisationTaxHTField0">
    <vt:lpwstr/>
  </property>
  <property fmtid="{D5CDD505-2E9C-101B-9397-08002B2CF9AE}" pid="12" name="OECDOrganisation">
    <vt:lpwstr/>
  </property>
  <property fmtid="{D5CDD505-2E9C-101B-9397-08002B2CF9AE}" pid="13" name="_docset_NoMedatataSyncRequired">
    <vt:lpwstr>False</vt:lpwstr>
  </property>
</Properties>
</file>